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_MapaCodigos" sheetId="3" state="visible" r:id="rId3"/>
    <sheet xmlns:r="http://schemas.openxmlformats.org/officeDocument/2006/relationships" name="_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6" max="6"/>
    <col width="14" customWidth="1" min="7" max="7"/>
  </cols>
  <sheetData>
    <row r="1">
      <c r="A1" s="1" t="inlineStr">
        <is>
          <t>codigo</t>
        </is>
      </c>
      <c r="B1" s="1" t="inlineStr">
        <is>
          <t>sociedad</t>
        </is>
      </c>
      <c r="C1" s="1" t="inlineStr">
        <is>
          <t>banco</t>
        </is>
      </c>
      <c r="D1" s="1" t="inlineStr">
        <is>
          <t>moneda</t>
        </is>
      </c>
      <c r="E1" s="1" t="inlineStr">
        <is>
          <t>tipo_cuenta</t>
        </is>
      </c>
      <c r="F1" s="1" t="inlineStr">
        <is>
          <t>concepto</t>
        </is>
      </c>
      <c r="G1" s="1" t="inlineStr">
        <is>
          <t>saldo_dia</t>
        </is>
      </c>
      <c r="H1" s="2" t="n">
        <v>46235</v>
      </c>
      <c r="I1" s="2" t="n">
        <v>46236</v>
      </c>
      <c r="J1" s="2" t="n">
        <v>46237</v>
      </c>
      <c r="K1" s="2" t="n">
        <v>46238</v>
      </c>
      <c r="L1" s="2" t="n">
        <v>46239</v>
      </c>
      <c r="M1" s="2" t="n">
        <v>46240</v>
      </c>
      <c r="N1" s="2" t="n">
        <v>46241</v>
      </c>
      <c r="O1" s="2" t="n">
        <v>46242</v>
      </c>
      <c r="P1" s="2" t="n">
        <v>46243</v>
      </c>
      <c r="Q1" s="2" t="n">
        <v>46244</v>
      </c>
      <c r="R1" s="2" t="n">
        <v>46245</v>
      </c>
      <c r="S1" s="2" t="n">
        <v>46246</v>
      </c>
      <c r="T1" s="2" t="n">
        <v>46247</v>
      </c>
      <c r="U1" s="2" t="n">
        <v>46248</v>
      </c>
      <c r="V1" s="2" t="n">
        <v>46249</v>
      </c>
      <c r="W1" s="2" t="n">
        <v>46250</v>
      </c>
      <c r="X1" s="2" t="n">
        <v>46251</v>
      </c>
      <c r="Y1" s="2" t="n">
        <v>46252</v>
      </c>
      <c r="Z1" s="2" t="n">
        <v>46253</v>
      </c>
      <c r="AA1" s="2" t="n">
        <v>46254</v>
      </c>
      <c r="AB1" s="2" t="n">
        <v>46255</v>
      </c>
      <c r="AC1" s="2" t="n">
        <v>46256</v>
      </c>
      <c r="AD1" s="2" t="n">
        <v>46257</v>
      </c>
      <c r="AE1" s="2" t="n">
        <v>46258</v>
      </c>
      <c r="AF1" s="2" t="n">
        <v>46259</v>
      </c>
      <c r="AG1" s="2" t="n">
        <v>46260</v>
      </c>
      <c r="AH1" s="2" t="n">
        <v>46261</v>
      </c>
      <c r="AI1" s="2" t="n">
        <v>46262</v>
      </c>
      <c r="AJ1" s="2" t="n">
        <v>46263</v>
      </c>
      <c r="AK1" s="2" t="n">
        <v>46264</v>
      </c>
      <c r="AL1" s="2" t="n">
        <v>46265</v>
      </c>
    </row>
    <row r="2">
      <c r="A2" t="inlineStr">
        <is>
          <t>BIY|MACRO|ARS|CC</t>
        </is>
      </c>
      <c r="B2" t="inlineStr">
        <is>
          <t>BIY</t>
        </is>
      </c>
      <c r="C2" t="inlineStr">
        <is>
          <t>MACRO</t>
        </is>
      </c>
      <c r="D2" t="inlineStr">
        <is>
          <t>ARS</t>
        </is>
      </c>
      <c r="E2" t="inlineStr">
        <is>
          <t>CC</t>
        </is>
      </c>
      <c r="F2" t="inlineStr">
        <is>
          <t>1) PESOS (CC)</t>
        </is>
      </c>
      <c r="G2">
        <f>IFERROR(INDEX(H2:AL2,MATCH(Resumen!$E$1,H$1:AL$1,0)),0)</f>
        <v/>
      </c>
      <c r="H2" s="3" t="n">
        <v>-56288018.25</v>
      </c>
      <c r="I2" s="3" t="n">
        <v>-56288018.25</v>
      </c>
      <c r="J2" s="3" t="n">
        <v>27202569.19</v>
      </c>
      <c r="K2" s="3" t="n">
        <v>-589793529.04</v>
      </c>
      <c r="L2" s="3" t="n">
        <v>-545210014.72</v>
      </c>
      <c r="M2" s="3" t="n">
        <v>-390906482.31</v>
      </c>
      <c r="N2" s="3" t="n">
        <v>-479663848.72</v>
      </c>
      <c r="O2" s="3" t="n">
        <v>-479663848.72</v>
      </c>
      <c r="P2" s="3" t="n">
        <v>-479663848.72</v>
      </c>
      <c r="Q2" s="3" t="n">
        <v>-349002295.34</v>
      </c>
      <c r="R2" s="3" t="n">
        <v>-883400773.4299999</v>
      </c>
      <c r="S2" s="3" t="n">
        <v>-952648492.29</v>
      </c>
      <c r="T2" s="3" t="n">
        <v>-763212477.5599999</v>
      </c>
      <c r="U2" s="3" t="n">
        <v>-764241234.74</v>
      </c>
      <c r="V2" s="3" t="n">
        <v>-764241234.74</v>
      </c>
      <c r="W2" s="3" t="n">
        <v>-764241234.74</v>
      </c>
      <c r="X2" s="3" t="n">
        <v>-850356307.47</v>
      </c>
      <c r="Y2" s="3" t="n">
        <v>-850356307.47</v>
      </c>
      <c r="Z2" s="3" t="n">
        <v>-886897086.87</v>
      </c>
      <c r="AA2" s="3" t="n">
        <v>-780456300.62</v>
      </c>
      <c r="AB2" s="3" t="n">
        <v>-744985750.79</v>
      </c>
      <c r="AC2" s="3" t="n">
        <v>-744985750.79</v>
      </c>
      <c r="AD2" s="3" t="n">
        <v>-744985750.79</v>
      </c>
      <c r="AE2" s="3" t="n">
        <v>-542507563.62</v>
      </c>
      <c r="AF2" s="3" t="n">
        <v>-532478948.62</v>
      </c>
      <c r="AG2" s="3" t="n">
        <v>-468426501.92</v>
      </c>
      <c r="AH2" s="3" t="n">
        <v>-282890461.84</v>
      </c>
      <c r="AI2" s="3" t="n">
        <v>-223862623.19</v>
      </c>
      <c r="AJ2" s="3" t="n">
        <v>-223862623.19</v>
      </c>
      <c r="AK2" s="3" t="n">
        <v>-223862623.19</v>
      </c>
      <c r="AL2" s="3" t="n">
        <v>-146097132.46</v>
      </c>
    </row>
    <row r="3">
      <c r="A3" t="inlineStr">
        <is>
          <t>BIY|MACRO|ARS|TRANSITO</t>
        </is>
      </c>
      <c r="B3" t="inlineStr">
        <is>
          <t>BIY</t>
        </is>
      </c>
      <c r="C3" t="inlineStr">
        <is>
          <t>MACRO</t>
        </is>
      </c>
      <c r="D3" t="inlineStr">
        <is>
          <t>ARS</t>
        </is>
      </c>
      <c r="E3" t="inlineStr">
        <is>
          <t>TRANSITO</t>
        </is>
      </c>
      <c r="F3" t="inlineStr">
        <is>
          <t>Depósitos en Tránsito</t>
        </is>
      </c>
      <c r="G3">
        <f>IFERROR(INDEX(H3:AL3,MATCH(Resumen!$E$1,H$1:AL$1,0)),0)</f>
        <v/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</row>
    <row r="4">
      <c r="A4" t="inlineStr">
        <is>
          <t>BIY|MACRO|USD|CC</t>
        </is>
      </c>
      <c r="B4" t="inlineStr">
        <is>
          <t>BIY</t>
        </is>
      </c>
      <c r="C4" t="inlineStr">
        <is>
          <t>MACRO</t>
        </is>
      </c>
      <c r="D4" t="inlineStr">
        <is>
          <t>USD</t>
        </is>
      </c>
      <c r="E4" t="inlineStr">
        <is>
          <t>CC</t>
        </is>
      </c>
      <c r="F4" t="inlineStr">
        <is>
          <t>2) DOLARES (CC)</t>
        </is>
      </c>
      <c r="G4">
        <f>IFERROR(INDEX(H4:AL4,MATCH(Resumen!$E$1,H$1:AL$1,0)),0)</f>
        <v/>
      </c>
      <c r="H4" s="3" t="n">
        <v>45197.68</v>
      </c>
      <c r="I4" s="3" t="n">
        <v>45197.68</v>
      </c>
      <c r="J4" s="3" t="n">
        <v>45197.68</v>
      </c>
      <c r="K4" s="3" t="n">
        <v>45197.68</v>
      </c>
      <c r="L4" s="3" t="n">
        <v>45197.68</v>
      </c>
      <c r="M4" s="3" t="n">
        <v>45197.68</v>
      </c>
      <c r="N4" s="3" t="n">
        <v>45197.68</v>
      </c>
      <c r="O4" s="3" t="n">
        <v>45197.68</v>
      </c>
      <c r="P4" s="3" t="n">
        <v>45197.68</v>
      </c>
      <c r="Q4" s="3" t="n">
        <v>45197.68</v>
      </c>
      <c r="R4" s="3" t="n">
        <v>45197.68</v>
      </c>
      <c r="S4" s="3" t="n">
        <v>45197.68</v>
      </c>
      <c r="T4" s="3" t="n">
        <v>45197.68</v>
      </c>
      <c r="U4" s="3" t="n">
        <v>45197.68</v>
      </c>
      <c r="V4" s="3" t="n">
        <v>45197.68</v>
      </c>
      <c r="W4" s="3" t="n">
        <v>45197.68</v>
      </c>
      <c r="X4" s="3" t="n">
        <v>45197.68</v>
      </c>
      <c r="Y4" s="3" t="n">
        <v>45197.68</v>
      </c>
      <c r="Z4" s="3" t="n">
        <v>45197.68</v>
      </c>
      <c r="AA4" s="3" t="n">
        <v>45197.68</v>
      </c>
      <c r="AB4" s="3" t="n">
        <v>45197.68</v>
      </c>
      <c r="AC4" s="3" t="n">
        <v>45197.68</v>
      </c>
      <c r="AD4" s="3" t="n">
        <v>45197.68</v>
      </c>
      <c r="AE4" s="3" t="n">
        <v>45197.68</v>
      </c>
      <c r="AF4" s="3" t="n">
        <v>45197.68</v>
      </c>
      <c r="AG4" s="3" t="n">
        <v>45197.68</v>
      </c>
      <c r="AH4" s="3" t="n">
        <v>45197.68</v>
      </c>
      <c r="AI4" s="3" t="n">
        <v>63888.17</v>
      </c>
      <c r="AJ4" s="3" t="n">
        <v>63888.17</v>
      </c>
      <c r="AK4" s="3" t="n">
        <v>63888.17</v>
      </c>
      <c r="AL4" s="3" t="n">
        <v>63856.78</v>
      </c>
    </row>
    <row r="5">
      <c r="A5" t="inlineStr">
        <is>
          <t>BIY|MACRO|USD|TRANSITO</t>
        </is>
      </c>
      <c r="B5" t="inlineStr">
        <is>
          <t>BIY</t>
        </is>
      </c>
      <c r="C5" t="inlineStr">
        <is>
          <t>MACRO</t>
        </is>
      </c>
      <c r="D5" t="inlineStr">
        <is>
          <t>USD</t>
        </is>
      </c>
      <c r="E5" t="inlineStr">
        <is>
          <t>TRANSITO</t>
        </is>
      </c>
      <c r="F5" t="inlineStr">
        <is>
          <t>Depósitos en Tránsito</t>
        </is>
      </c>
      <c r="G5">
        <f>IFERROR(INDEX(H5:AL5,MATCH(Resumen!$E$1,H$1:AL$1,0)),0)</f>
        <v/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</row>
    <row r="6">
      <c r="A6" t="inlineStr">
        <is>
          <t>BIY|ITAU|ARS|CC</t>
        </is>
      </c>
      <c r="B6" t="inlineStr">
        <is>
          <t>BIY</t>
        </is>
      </c>
      <c r="C6" t="inlineStr">
        <is>
          <t>ITAU</t>
        </is>
      </c>
      <c r="D6" t="inlineStr">
        <is>
          <t>ARS</t>
        </is>
      </c>
      <c r="E6" t="inlineStr">
        <is>
          <t>CC</t>
        </is>
      </c>
      <c r="F6" t="inlineStr">
        <is>
          <t>1) PESOS (CC)</t>
        </is>
      </c>
      <c r="G6">
        <f>IFERROR(INDEX(H6:AL6,MATCH(Resumen!$E$1,H$1:AL$1,0)),0)</f>
        <v/>
      </c>
      <c r="H6" s="3" t="n">
        <v>13184910.98</v>
      </c>
      <c r="I6" s="3" t="n">
        <v>13184910.98</v>
      </c>
      <c r="J6" s="3" t="n">
        <v>10239674.18</v>
      </c>
      <c r="K6" s="3" t="n">
        <v>11329985.95</v>
      </c>
      <c r="L6" s="3" t="n">
        <v>3418663.93</v>
      </c>
      <c r="M6" s="3" t="n">
        <v>27131951.6</v>
      </c>
      <c r="N6" s="3" t="n">
        <v>11542871.46</v>
      </c>
      <c r="O6" s="3" t="n">
        <v>11542871.46</v>
      </c>
      <c r="P6" s="3" t="n">
        <v>11542871.46</v>
      </c>
      <c r="Q6" s="3" t="n">
        <v>6576873.74</v>
      </c>
      <c r="R6" s="3" t="n">
        <v>8799580.08</v>
      </c>
      <c r="S6" s="3" t="n">
        <v>6954585.32</v>
      </c>
      <c r="T6" s="3" t="n">
        <v>17038000.07</v>
      </c>
      <c r="U6" s="3" t="n">
        <v>15301649.37</v>
      </c>
      <c r="V6" s="3" t="n">
        <v>15301649.37</v>
      </c>
      <c r="W6" s="3" t="n">
        <v>15301649.37</v>
      </c>
      <c r="X6" s="3" t="n">
        <v>6272237.51</v>
      </c>
      <c r="Y6" s="3" t="n">
        <v>6272237.51</v>
      </c>
      <c r="Z6" s="3" t="n">
        <v>27194430.43</v>
      </c>
      <c r="AA6" s="3" t="n">
        <v>9147305.98</v>
      </c>
      <c r="AB6" s="3" t="n">
        <v>6906398.13</v>
      </c>
      <c r="AC6" s="3" t="n">
        <v>6906398.13</v>
      </c>
      <c r="AD6" s="3" t="n">
        <v>6906398.13</v>
      </c>
      <c r="AE6" s="3" t="n">
        <v>16123847.63</v>
      </c>
      <c r="AF6" s="3" t="n">
        <v>11138594.69</v>
      </c>
      <c r="AG6" s="3" t="n">
        <v>10843419</v>
      </c>
      <c r="AH6" s="3" t="n">
        <v>31082145.67</v>
      </c>
      <c r="AI6" s="3" t="n">
        <v>13119547.92</v>
      </c>
      <c r="AJ6" s="3" t="n">
        <v>13119547.92</v>
      </c>
      <c r="AK6" s="3" t="n">
        <v>13119547.92</v>
      </c>
      <c r="AL6" s="3" t="n">
        <v>41966136.53</v>
      </c>
    </row>
    <row r="7">
      <c r="A7" t="inlineStr">
        <is>
          <t>BIY|ITAU|ARS|TRANSITO</t>
        </is>
      </c>
      <c r="B7" t="inlineStr">
        <is>
          <t>BIY</t>
        </is>
      </c>
      <c r="C7" t="inlineStr">
        <is>
          <t>ITAU</t>
        </is>
      </c>
      <c r="D7" t="inlineStr">
        <is>
          <t>ARS</t>
        </is>
      </c>
      <c r="E7" t="inlineStr">
        <is>
          <t>TRANSITO</t>
        </is>
      </c>
      <c r="F7" t="inlineStr">
        <is>
          <t>Depósitos en Tránsito</t>
        </is>
      </c>
      <c r="G7">
        <f>IFERROR(INDEX(H7:AL7,MATCH(Resumen!$E$1,H$1:AL$1,0)),0)</f>
        <v/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</row>
    <row r="8">
      <c r="A8" t="inlineStr">
        <is>
          <t>BIY|ITAU|ARS|AVELLANEDA</t>
        </is>
      </c>
      <c r="B8" t="inlineStr">
        <is>
          <t>BIY</t>
        </is>
      </c>
      <c r="C8" t="inlineStr">
        <is>
          <t>ITAU</t>
        </is>
      </c>
      <c r="D8" t="inlineStr">
        <is>
          <t>ARS</t>
        </is>
      </c>
      <c r="E8" t="inlineStr">
        <is>
          <t>AVELLANEDA</t>
        </is>
      </c>
      <c r="F8" t="inlineStr">
        <is>
          <t>1) PESOS (AVELLANEDA)</t>
        </is>
      </c>
      <c r="G8">
        <f>IFERROR(INDEX(H8:AL8,MATCH(Resumen!$E$1,H$1:AL$1,0)),0)</f>
        <v/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</row>
    <row r="9">
      <c r="A9" t="inlineStr">
        <is>
          <t>BIY|ITAU|USD|CC</t>
        </is>
      </c>
      <c r="B9" t="inlineStr">
        <is>
          <t>BIY</t>
        </is>
      </c>
      <c r="C9" t="inlineStr">
        <is>
          <t>ITAU</t>
        </is>
      </c>
      <c r="D9" t="inlineStr">
        <is>
          <t>USD</t>
        </is>
      </c>
      <c r="E9" t="inlineStr">
        <is>
          <t>CC</t>
        </is>
      </c>
      <c r="F9" t="inlineStr">
        <is>
          <t>2) DOLARES (CC)</t>
        </is>
      </c>
      <c r="G9">
        <f>IFERROR(INDEX(H9:AL9,MATCH(Resumen!$E$1,H$1:AL$1,0)),0)</f>
        <v/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</row>
    <row r="10">
      <c r="A10" t="inlineStr">
        <is>
          <t>BIY|ITAU|USD|TRANSITO</t>
        </is>
      </c>
      <c r="B10" t="inlineStr">
        <is>
          <t>BIY</t>
        </is>
      </c>
      <c r="C10" t="inlineStr">
        <is>
          <t>ITAU</t>
        </is>
      </c>
      <c r="D10" t="inlineStr">
        <is>
          <t>USD</t>
        </is>
      </c>
      <c r="E10" t="inlineStr">
        <is>
          <t>TRANSITO</t>
        </is>
      </c>
      <c r="F10" t="inlineStr">
        <is>
          <t>Depósitos en Tránsito</t>
        </is>
      </c>
      <c r="G10">
        <f>IFERROR(INDEX(H10:AL10,MATCH(Resumen!$E$1,H$1:AL$1,0)),0)</f>
        <v/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</row>
    <row r="11">
      <c r="A11" t="inlineStr">
        <is>
          <t>BIY|FRANCES|ARS|CC</t>
        </is>
      </c>
      <c r="B11" t="inlineStr">
        <is>
          <t>BIY</t>
        </is>
      </c>
      <c r="C11" t="inlineStr">
        <is>
          <t>FRANCES</t>
        </is>
      </c>
      <c r="D11" t="inlineStr">
        <is>
          <t>ARS</t>
        </is>
      </c>
      <c r="E11" t="inlineStr">
        <is>
          <t>CC</t>
        </is>
      </c>
      <c r="F11" t="inlineStr">
        <is>
          <t>1) PESOS</t>
        </is>
      </c>
      <c r="G11">
        <f>IFERROR(INDEX(H11:AL11,MATCH(Resumen!$E$1,H$1:AL$1,0)),0)</f>
        <v/>
      </c>
      <c r="H11" s="3" t="n">
        <v>224995.26</v>
      </c>
      <c r="I11" s="3" t="n">
        <v>224995.26</v>
      </c>
      <c r="J11" s="3" t="n">
        <v>224995.26</v>
      </c>
      <c r="K11" s="3" t="n">
        <v>80435.25999999999</v>
      </c>
      <c r="L11" s="3" t="n">
        <v>79567.91</v>
      </c>
      <c r="M11" s="3" t="n">
        <v>79567.91</v>
      </c>
      <c r="N11" s="3" t="n">
        <v>79567.91</v>
      </c>
      <c r="O11" s="3" t="n">
        <v>79567.91</v>
      </c>
      <c r="P11" s="3" t="n">
        <v>79567.91</v>
      </c>
      <c r="Q11" s="3" t="n">
        <v>79567.91</v>
      </c>
      <c r="R11" s="3" t="n">
        <v>79567.91</v>
      </c>
      <c r="S11" s="3" t="n">
        <v>79567.91</v>
      </c>
      <c r="T11" s="3" t="n">
        <v>79567.91</v>
      </c>
      <c r="U11" s="3" t="n">
        <v>79567.91</v>
      </c>
      <c r="V11" s="3" t="n">
        <v>79567.91</v>
      </c>
      <c r="W11" s="3" t="n">
        <v>79567.91</v>
      </c>
      <c r="X11" s="3" t="n">
        <v>79567.91</v>
      </c>
      <c r="Y11" s="3" t="n">
        <v>79567.91</v>
      </c>
      <c r="Z11" s="3" t="n">
        <v>79567.91</v>
      </c>
      <c r="AA11" s="3" t="n">
        <v>79567.91</v>
      </c>
      <c r="AB11" s="3" t="n">
        <v>79567.91</v>
      </c>
      <c r="AC11" s="3" t="n">
        <v>79567.91</v>
      </c>
      <c r="AD11" s="3" t="n">
        <v>79567.91</v>
      </c>
      <c r="AE11" s="3" t="n">
        <v>79567.91</v>
      </c>
      <c r="AF11" s="3" t="n">
        <v>79567.91</v>
      </c>
      <c r="AG11" s="3" t="n">
        <v>79567.91</v>
      </c>
      <c r="AH11" s="3" t="n">
        <v>79567.91</v>
      </c>
      <c r="AI11" s="3" t="n">
        <v>79567.91</v>
      </c>
      <c r="AJ11" s="3" t="n">
        <v>79567.91</v>
      </c>
      <c r="AK11" s="3" t="n">
        <v>79567.91</v>
      </c>
      <c r="AL11" s="3" t="n">
        <v>79567.91</v>
      </c>
    </row>
    <row r="12">
      <c r="A12" t="inlineStr">
        <is>
          <t>BIY|FRANCES|USD|CC</t>
        </is>
      </c>
      <c r="B12" t="inlineStr">
        <is>
          <t>BIY</t>
        </is>
      </c>
      <c r="C12" t="inlineStr">
        <is>
          <t>FRANCES</t>
        </is>
      </c>
      <c r="D12" t="inlineStr">
        <is>
          <t>USD</t>
        </is>
      </c>
      <c r="E12" t="inlineStr">
        <is>
          <t>CC</t>
        </is>
      </c>
      <c r="F12" t="inlineStr">
        <is>
          <t>2) DOLARES</t>
        </is>
      </c>
      <c r="G12">
        <f>IFERROR(INDEX(H12:AL12,MATCH(Resumen!$E$1,H$1:AL$1,0)),0)</f>
        <v/>
      </c>
      <c r="H12" s="3" t="n">
        <v>476.6</v>
      </c>
      <c r="I12" s="3" t="n">
        <v>476.6</v>
      </c>
      <c r="J12" s="3" t="n">
        <v>476.6</v>
      </c>
      <c r="K12" s="3" t="n">
        <v>476.6</v>
      </c>
      <c r="L12" s="3" t="n">
        <v>476.6</v>
      </c>
      <c r="M12" s="3" t="n">
        <v>476.6</v>
      </c>
      <c r="N12" s="3" t="n">
        <v>476.6</v>
      </c>
      <c r="O12" s="3" t="n">
        <v>476.6</v>
      </c>
      <c r="P12" s="3" t="n">
        <v>476.6</v>
      </c>
      <c r="Q12" s="3" t="n">
        <v>476.6</v>
      </c>
      <c r="R12" s="3" t="n">
        <v>476.6</v>
      </c>
      <c r="S12" s="3" t="n">
        <v>476.6</v>
      </c>
      <c r="T12" s="3" t="n">
        <v>476.6</v>
      </c>
      <c r="U12" s="3" t="n">
        <v>476.6</v>
      </c>
      <c r="V12" s="3" t="n">
        <v>476.6</v>
      </c>
      <c r="W12" s="3" t="n">
        <v>476.6</v>
      </c>
      <c r="X12" s="3" t="n">
        <v>476.6</v>
      </c>
      <c r="Y12" s="3" t="n">
        <v>476.6</v>
      </c>
      <c r="Z12" s="3" t="n">
        <v>476.6</v>
      </c>
      <c r="AA12" s="3" t="n">
        <v>476.6</v>
      </c>
      <c r="AB12" s="3" t="n">
        <v>476.6</v>
      </c>
      <c r="AC12" s="3" t="n">
        <v>476.6</v>
      </c>
      <c r="AD12" s="3" t="n">
        <v>476.6</v>
      </c>
      <c r="AE12" s="3" t="n">
        <v>476.6</v>
      </c>
      <c r="AF12" s="3" t="n">
        <v>476.6</v>
      </c>
      <c r="AG12" s="3" t="n">
        <v>476.6</v>
      </c>
      <c r="AH12" s="3" t="n">
        <v>476.6</v>
      </c>
      <c r="AI12" s="3" t="n">
        <v>476.6</v>
      </c>
      <c r="AJ12" s="3" t="n">
        <v>476.6</v>
      </c>
      <c r="AK12" s="3" t="n">
        <v>476.6</v>
      </c>
      <c r="AL12" s="3" t="n">
        <v>476.6</v>
      </c>
    </row>
    <row r="13">
      <c r="A13" t="inlineStr">
        <is>
          <t>BIY|FRANCES|EUR|CC</t>
        </is>
      </c>
      <c r="B13" t="inlineStr">
        <is>
          <t>BIY</t>
        </is>
      </c>
      <c r="C13" t="inlineStr">
        <is>
          <t>FRANCES</t>
        </is>
      </c>
      <c r="D13" t="inlineStr">
        <is>
          <t>EUR</t>
        </is>
      </c>
      <c r="E13" t="inlineStr">
        <is>
          <t>CC</t>
        </is>
      </c>
      <c r="F13" t="inlineStr">
        <is>
          <t>3) EUROS</t>
        </is>
      </c>
      <c r="G13">
        <f>IFERROR(INDEX(H13:AL13,MATCH(Resumen!$E$1,H$1:AL$1,0)),0)</f>
        <v/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</row>
    <row r="14">
      <c r="A14" t="inlineStr">
        <is>
          <t>BIY|BAPRO|ARS|CC</t>
        </is>
      </c>
      <c r="B14" t="inlineStr">
        <is>
          <t>BIY</t>
        </is>
      </c>
      <c r="C14" t="inlineStr">
        <is>
          <t>BAPRO</t>
        </is>
      </c>
      <c r="D14" t="inlineStr">
        <is>
          <t>ARS</t>
        </is>
      </c>
      <c r="E14" t="inlineStr">
        <is>
          <t>CC</t>
        </is>
      </c>
      <c r="F14" t="inlineStr">
        <is>
          <t>1) PESOS</t>
        </is>
      </c>
      <c r="G14">
        <f>IFERROR(INDEX(H14:AL14,MATCH(Resumen!$E$1,H$1:AL$1,0)),0)</f>
        <v/>
      </c>
      <c r="H14" s="3" t="n">
        <v>2023178.89</v>
      </c>
      <c r="I14" s="3" t="n">
        <v>2023178.89</v>
      </c>
      <c r="J14" s="3" t="n">
        <v>2266796.91</v>
      </c>
      <c r="K14" s="3" t="n">
        <v>5823928.01</v>
      </c>
      <c r="L14" s="3" t="n">
        <v>6415187.57</v>
      </c>
      <c r="M14" s="3" t="n">
        <v>6601859.62</v>
      </c>
      <c r="N14" s="3" t="n">
        <v>3591072.78</v>
      </c>
      <c r="O14" s="3" t="n">
        <v>3591072.78</v>
      </c>
      <c r="P14" s="3" t="n">
        <v>3591072.78</v>
      </c>
      <c r="Q14" s="3" t="n">
        <v>3969196.64</v>
      </c>
      <c r="R14" s="3" t="n">
        <v>1147020.82</v>
      </c>
      <c r="S14" s="3" t="n">
        <v>1713027.55</v>
      </c>
      <c r="T14" s="3" t="n">
        <v>1895193.7</v>
      </c>
      <c r="U14" s="3" t="n">
        <v>2068515.03</v>
      </c>
      <c r="V14" s="3" t="n">
        <v>2068515.03</v>
      </c>
      <c r="W14" s="3" t="n">
        <v>2068515.03</v>
      </c>
      <c r="X14" s="3" t="n">
        <v>2314170.6</v>
      </c>
      <c r="Y14" s="3" t="n">
        <v>2314170.6</v>
      </c>
      <c r="Z14" s="3" t="n">
        <v>3110901.13</v>
      </c>
      <c r="AA14" s="3" t="n">
        <v>3834841.15</v>
      </c>
      <c r="AB14" s="3" t="n">
        <v>4019953.46</v>
      </c>
      <c r="AC14" s="3" t="n">
        <v>4019953.46</v>
      </c>
      <c r="AD14" s="3" t="n">
        <v>4019953.46</v>
      </c>
      <c r="AE14" s="3" t="n">
        <v>4184507.69</v>
      </c>
      <c r="AF14" s="3" t="n">
        <v>4663512.11</v>
      </c>
      <c r="AG14" s="3" t="n">
        <v>5183048.23</v>
      </c>
      <c r="AH14" s="3" t="n">
        <v>5396347.7</v>
      </c>
      <c r="AI14" s="3" t="n">
        <v>5602224.52</v>
      </c>
      <c r="AJ14" s="3" t="n">
        <v>5602224.52</v>
      </c>
      <c r="AK14" s="3" t="n">
        <v>5602224.52</v>
      </c>
      <c r="AL14" s="3" t="n">
        <v>5702458.02</v>
      </c>
    </row>
    <row r="15">
      <c r="A15" t="inlineStr">
        <is>
          <t>BIY|BAPRO|ARS|TRANSITO</t>
        </is>
      </c>
      <c r="B15" t="inlineStr">
        <is>
          <t>BIY</t>
        </is>
      </c>
      <c r="C15" t="inlineStr">
        <is>
          <t>BAPRO</t>
        </is>
      </c>
      <c r="D15" t="inlineStr">
        <is>
          <t>ARS</t>
        </is>
      </c>
      <c r="E15" t="inlineStr">
        <is>
          <t>TRANSITO</t>
        </is>
      </c>
      <c r="F15" t="inlineStr">
        <is>
          <t>Depósitos en Tránsito</t>
        </is>
      </c>
      <c r="G15">
        <f>IFERROR(INDEX(H15:AL15,MATCH(Resumen!$E$1,H$1:AL$1,0)),0)</f>
        <v/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</row>
    <row r="16">
      <c r="A16" t="inlineStr">
        <is>
          <t>BIY|BAPRO|USD|CC</t>
        </is>
      </c>
      <c r="B16" t="inlineStr">
        <is>
          <t>BIY</t>
        </is>
      </c>
      <c r="C16" t="inlineStr">
        <is>
          <t>BAPRO</t>
        </is>
      </c>
      <c r="D16" t="inlineStr">
        <is>
          <t>USD</t>
        </is>
      </c>
      <c r="E16" t="inlineStr">
        <is>
          <t>CC</t>
        </is>
      </c>
      <c r="F16" t="inlineStr">
        <is>
          <t>2) DOLARES (CC)</t>
        </is>
      </c>
      <c r="G16">
        <f>IFERROR(INDEX(H16:AL16,MATCH(Resumen!$E$1,H$1:AL$1,0)),0)</f>
        <v/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</row>
    <row r="17">
      <c r="A17" t="inlineStr">
        <is>
          <t>BIY|MACO|ARS|CC</t>
        </is>
      </c>
      <c r="B17" t="inlineStr">
        <is>
          <t>BIY</t>
        </is>
      </c>
      <c r="C17" t="inlineStr">
        <is>
          <t>MACO</t>
        </is>
      </c>
      <c r="D17" t="inlineStr">
        <is>
          <t>ARS</t>
        </is>
      </c>
      <c r="E17" t="inlineStr">
        <is>
          <t>CC</t>
        </is>
      </c>
      <c r="F17" t="inlineStr">
        <is>
          <t>1) PESOS</t>
        </is>
      </c>
      <c r="G17">
        <f>IFERROR(INDEX(H17:AL17,MATCH(Resumen!$E$1,H$1:AL$1,0)),0)</f>
        <v/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</row>
    <row r="18">
      <c r="A18" t="inlineStr">
        <is>
          <t>BIY|MACO|USD|CC</t>
        </is>
      </c>
      <c r="B18" t="inlineStr">
        <is>
          <t>BIY</t>
        </is>
      </c>
      <c r="C18" t="inlineStr">
        <is>
          <t>MACO</t>
        </is>
      </c>
      <c r="D18" t="inlineStr">
        <is>
          <t>USD</t>
        </is>
      </c>
      <c r="E18" t="inlineStr">
        <is>
          <t>CC</t>
        </is>
      </c>
      <c r="F18" t="inlineStr">
        <is>
          <t>2) DOLARES</t>
        </is>
      </c>
      <c r="G18">
        <f>IFERROR(INDEX(H18:AL18,MATCH(Resumen!$E$1,H$1:AL$1,0)),0)</f>
        <v/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</row>
    <row r="19">
      <c r="A19" t="inlineStr">
        <is>
          <t>BIY|MACO|EUR|CC</t>
        </is>
      </c>
      <c r="B19" t="inlineStr">
        <is>
          <t>BIY</t>
        </is>
      </c>
      <c r="C19" t="inlineStr">
        <is>
          <t>MACO</t>
        </is>
      </c>
      <c r="D19" t="inlineStr">
        <is>
          <t>EUR</t>
        </is>
      </c>
      <c r="E19" t="inlineStr">
        <is>
          <t>CC</t>
        </is>
      </c>
      <c r="F19" t="inlineStr">
        <is>
          <t>3) EUROS</t>
        </is>
      </c>
      <c r="G19">
        <f>IFERROR(INDEX(H19:AL19,MATCH(Resumen!$E$1,H$1:AL$1,0)),0)</f>
        <v/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</row>
    <row r="20">
      <c r="A20" t="inlineStr">
        <is>
          <t>BIY|BNA|ARS|CC</t>
        </is>
      </c>
      <c r="B20" t="inlineStr">
        <is>
          <t>BIY</t>
        </is>
      </c>
      <c r="C20" t="inlineStr">
        <is>
          <t>BNA</t>
        </is>
      </c>
      <c r="D20" t="inlineStr">
        <is>
          <t>ARS</t>
        </is>
      </c>
      <c r="E20" t="inlineStr">
        <is>
          <t>CC</t>
        </is>
      </c>
      <c r="F20" t="inlineStr">
        <is>
          <t>1) PESOS (CC)</t>
        </is>
      </c>
      <c r="G20">
        <f>IFERROR(INDEX(H20:AL20,MATCH(Resumen!$E$1,H$1:AL$1,0)),0)</f>
        <v/>
      </c>
      <c r="H20" s="3" t="n">
        <v>535386.13</v>
      </c>
      <c r="I20" s="3" t="n">
        <v>535386.13</v>
      </c>
      <c r="J20" s="3" t="n">
        <v>449305.83</v>
      </c>
      <c r="K20" s="3" t="n">
        <v>449305.83</v>
      </c>
      <c r="L20" s="3" t="n">
        <v>449305.83</v>
      </c>
      <c r="M20" s="3" t="n">
        <v>449305.83</v>
      </c>
      <c r="N20" s="3" t="n">
        <v>449305.83</v>
      </c>
      <c r="O20" s="3" t="n">
        <v>449305.83</v>
      </c>
      <c r="P20" s="3" t="n">
        <v>449305.83</v>
      </c>
      <c r="Q20" s="3" t="n">
        <v>449305.83</v>
      </c>
      <c r="R20" s="3" t="n">
        <v>449305.83</v>
      </c>
      <c r="S20" s="3" t="n">
        <v>449305.83</v>
      </c>
      <c r="T20" s="3" t="n">
        <v>449305.83</v>
      </c>
      <c r="U20" s="3" t="n">
        <v>449305.83</v>
      </c>
      <c r="V20" s="3" t="n">
        <v>449305.83</v>
      </c>
      <c r="W20" s="3" t="n">
        <v>449305.83</v>
      </c>
      <c r="X20" s="3" t="n">
        <v>449305.83</v>
      </c>
      <c r="Y20" s="3" t="n">
        <v>449305.83</v>
      </c>
      <c r="Z20" s="3" t="n">
        <v>449305.83</v>
      </c>
      <c r="AA20" s="3" t="n">
        <v>449305.83</v>
      </c>
      <c r="AB20" s="3" t="n">
        <v>449305.83</v>
      </c>
      <c r="AC20" s="3" t="n">
        <v>449305.83</v>
      </c>
      <c r="AD20" s="3" t="n">
        <v>449305.83</v>
      </c>
      <c r="AE20" s="3" t="n">
        <v>449305.83</v>
      </c>
      <c r="AF20" s="3" t="n">
        <v>449305.83</v>
      </c>
      <c r="AG20" s="3" t="n">
        <v>449305.83</v>
      </c>
      <c r="AH20" s="3" t="n">
        <v>449305.83</v>
      </c>
      <c r="AI20" s="3" t="n">
        <v>449305.83</v>
      </c>
      <c r="AJ20" s="3" t="n">
        <v>449305.83</v>
      </c>
      <c r="AK20" s="3" t="n">
        <v>449305.83</v>
      </c>
      <c r="AL20" s="3" t="n">
        <v>363225.53</v>
      </c>
    </row>
    <row r="21">
      <c r="A21" t="inlineStr">
        <is>
          <t>BIY|BNA|ARS|TRANSITO</t>
        </is>
      </c>
      <c r="B21" t="inlineStr">
        <is>
          <t>BIY</t>
        </is>
      </c>
      <c r="C21" t="inlineStr">
        <is>
          <t>BNA</t>
        </is>
      </c>
      <c r="D21" t="inlineStr">
        <is>
          <t>ARS</t>
        </is>
      </c>
      <c r="E21" t="inlineStr">
        <is>
          <t>TRANSITO</t>
        </is>
      </c>
      <c r="F21" t="inlineStr">
        <is>
          <t>Depósitos en Tránsito</t>
        </is>
      </c>
      <c r="G21">
        <f>IFERROR(INDEX(H21:AL21,MATCH(Resumen!$E$1,H$1:AL$1,0)),0)</f>
        <v/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</row>
    <row r="22">
      <c r="A22" t="inlineStr">
        <is>
          <t>BIY|BNA|USD|CC</t>
        </is>
      </c>
      <c r="B22" t="inlineStr">
        <is>
          <t>BIY</t>
        </is>
      </c>
      <c r="C22" t="inlineStr">
        <is>
          <t>BNA</t>
        </is>
      </c>
      <c r="D22" t="inlineStr">
        <is>
          <t>USD</t>
        </is>
      </c>
      <c r="E22" t="inlineStr">
        <is>
          <t>CC</t>
        </is>
      </c>
      <c r="F22" t="inlineStr">
        <is>
          <t>2) DOLARES (CC)</t>
        </is>
      </c>
      <c r="G22">
        <f>IFERROR(INDEX(H22:AL22,MATCH(Resumen!$E$1,H$1:AL$1,0)),0)</f>
        <v/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</row>
    <row r="23">
      <c r="A23" t="inlineStr">
        <is>
          <t>BIY|BNA|USD|TRANSITO</t>
        </is>
      </c>
      <c r="B23" t="inlineStr">
        <is>
          <t>BIY</t>
        </is>
      </c>
      <c r="C23" t="inlineStr">
        <is>
          <t>BNA</t>
        </is>
      </c>
      <c r="D23" t="inlineStr">
        <is>
          <t>USD</t>
        </is>
      </c>
      <c r="E23" t="inlineStr">
        <is>
          <t>TRANSITO</t>
        </is>
      </c>
      <c r="F23" t="inlineStr">
        <is>
          <t>Depósitos en Tránsito</t>
        </is>
      </c>
      <c r="G23">
        <f>IFERROR(INDEX(H23:AL23,MATCH(Resumen!$E$1,H$1:AL$1,0)),0)</f>
        <v/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</row>
    <row r="24">
      <c r="A24" t="inlineStr">
        <is>
          <t>BIY|BIBANK|ARS|CC</t>
        </is>
      </c>
      <c r="B24" t="inlineStr">
        <is>
          <t>BIY</t>
        </is>
      </c>
      <c r="C24" t="inlineStr">
        <is>
          <t>BIBANK</t>
        </is>
      </c>
      <c r="D24" t="inlineStr">
        <is>
          <t>ARS</t>
        </is>
      </c>
      <c r="E24" t="inlineStr">
        <is>
          <t>CC</t>
        </is>
      </c>
      <c r="F24" t="inlineStr">
        <is>
          <t>1) PESOS (CC)</t>
        </is>
      </c>
      <c r="G24">
        <f>IFERROR(INDEX(H24:AL24,MATCH(Resumen!$E$1,H$1:AL$1,0)),0)</f>
        <v/>
      </c>
      <c r="H24" s="3" t="n">
        <v>1946675.4</v>
      </c>
      <c r="I24" s="3" t="n">
        <v>1946675.4</v>
      </c>
      <c r="J24" s="3" t="n">
        <v>1947116.66</v>
      </c>
      <c r="K24" s="3" t="n">
        <v>1951369.87</v>
      </c>
      <c r="L24" s="3" t="n">
        <v>2087005.61</v>
      </c>
      <c r="M24" s="3" t="n">
        <v>1893867.67</v>
      </c>
      <c r="N24" s="3" t="n">
        <v>1646073.4</v>
      </c>
      <c r="O24" s="3" t="n">
        <v>1646073.4</v>
      </c>
      <c r="P24" s="3" t="n">
        <v>1646073.4</v>
      </c>
      <c r="Q24" s="3" t="n">
        <v>1731541.46</v>
      </c>
      <c r="R24" s="3" t="n">
        <v>2091544.55</v>
      </c>
      <c r="S24" s="3" t="n">
        <v>1345948.43</v>
      </c>
      <c r="T24" s="3" t="n">
        <v>1231383.28</v>
      </c>
      <c r="U24" s="3" t="n">
        <v>1231383.28</v>
      </c>
      <c r="V24" s="3" t="n">
        <v>1231383.28</v>
      </c>
      <c r="W24" s="3" t="n">
        <v>1231383.28</v>
      </c>
      <c r="X24" s="3" t="n">
        <v>-98317234.06</v>
      </c>
      <c r="Y24" s="3" t="n">
        <v>-98317234.06</v>
      </c>
      <c r="Z24" s="3" t="n">
        <v>2010139.39</v>
      </c>
      <c r="AA24" s="3" t="n">
        <v>1286459.22</v>
      </c>
      <c r="AB24" s="3" t="n">
        <v>1479664.5</v>
      </c>
      <c r="AC24" s="3" t="n">
        <v>1479664.5</v>
      </c>
      <c r="AD24" s="3" t="n">
        <v>1479664.5</v>
      </c>
      <c r="AE24" s="3" t="n">
        <v>1633496.9</v>
      </c>
      <c r="AF24" s="3" t="n">
        <v>1002130.23</v>
      </c>
      <c r="AG24" s="3" t="n">
        <v>1924175.84</v>
      </c>
      <c r="AH24" s="3" t="n">
        <v>1718329.67</v>
      </c>
      <c r="AI24" s="3" t="n">
        <v>1049679.62</v>
      </c>
      <c r="AJ24" s="3" t="n">
        <v>1049679.62</v>
      </c>
      <c r="AK24" s="3" t="n">
        <v>1049679.62</v>
      </c>
      <c r="AL24" s="3" t="n">
        <v>1054900.94</v>
      </c>
    </row>
    <row r="25">
      <c r="A25" t="inlineStr">
        <is>
          <t>BIY|BIBANK|ARS|TRANSITO</t>
        </is>
      </c>
      <c r="B25" t="inlineStr">
        <is>
          <t>BIY</t>
        </is>
      </c>
      <c r="C25" t="inlineStr">
        <is>
          <t>BIBANK</t>
        </is>
      </c>
      <c r="D25" t="inlineStr">
        <is>
          <t>ARS</t>
        </is>
      </c>
      <c r="E25" t="inlineStr">
        <is>
          <t>TRANSITO</t>
        </is>
      </c>
      <c r="F25" t="inlineStr">
        <is>
          <t>Depósitos en Tránsito</t>
        </is>
      </c>
      <c r="G25">
        <f>IFERROR(INDEX(H25:AL25,MATCH(Resumen!$E$1,H$1:AL$1,0)),0)</f>
        <v/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</row>
    <row r="26">
      <c r="A26" t="inlineStr">
        <is>
          <t>BIY|BIBANK|USD|CC</t>
        </is>
      </c>
      <c r="B26" t="inlineStr">
        <is>
          <t>BIY</t>
        </is>
      </c>
      <c r="C26" t="inlineStr">
        <is>
          <t>BIBANK</t>
        </is>
      </c>
      <c r="D26" t="inlineStr">
        <is>
          <t>USD</t>
        </is>
      </c>
      <c r="E26" t="inlineStr">
        <is>
          <t>CC</t>
        </is>
      </c>
      <c r="F26" t="inlineStr">
        <is>
          <t>2) DOLARES (CC)</t>
        </is>
      </c>
      <c r="G26">
        <f>IFERROR(INDEX(H26:AL26,MATCH(Resumen!$E$1,H$1:AL$1,0)),0)</f>
        <v/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</row>
    <row r="27">
      <c r="A27" t="inlineStr">
        <is>
          <t>BIY|BIBANK|USD|TRANSITO</t>
        </is>
      </c>
      <c r="B27" t="inlineStr">
        <is>
          <t>BIY</t>
        </is>
      </c>
      <c r="C27" t="inlineStr">
        <is>
          <t>BIBANK</t>
        </is>
      </c>
      <c r="D27" t="inlineStr">
        <is>
          <t>USD</t>
        </is>
      </c>
      <c r="E27" t="inlineStr">
        <is>
          <t>TRANSITO</t>
        </is>
      </c>
      <c r="F27" t="inlineStr">
        <is>
          <t>Depósitos en Tránsito</t>
        </is>
      </c>
      <c r="G27">
        <f>IFERROR(INDEX(H27:AL27,MATCH(Resumen!$E$1,H$1:AL$1,0)),0)</f>
        <v/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</row>
    <row r="28">
      <c r="A28" t="inlineStr">
        <is>
          <t>BIY|BIND|ARS|CC</t>
        </is>
      </c>
      <c r="B28" t="inlineStr">
        <is>
          <t>BIY</t>
        </is>
      </c>
      <c r="C28" t="inlineStr">
        <is>
          <t>BIND</t>
        </is>
      </c>
      <c r="D28" t="inlineStr">
        <is>
          <t>ARS</t>
        </is>
      </c>
      <c r="E28" t="inlineStr">
        <is>
          <t>CC</t>
        </is>
      </c>
      <c r="F28" t="inlineStr">
        <is>
          <t>1) PESOS (CC)</t>
        </is>
      </c>
      <c r="G28">
        <f>IFERROR(INDEX(H28:AL28,MATCH(Resumen!$E$1,H$1:AL$1,0)),0)</f>
        <v/>
      </c>
      <c r="H28" s="3" t="n">
        <v>3911123.14</v>
      </c>
      <c r="I28" s="3" t="n">
        <v>3911123.14</v>
      </c>
      <c r="J28" s="3" t="n">
        <v>3911123.14</v>
      </c>
      <c r="K28" s="3" t="n">
        <v>3786692.89</v>
      </c>
      <c r="L28" s="3" t="n">
        <v>3786692.89</v>
      </c>
      <c r="M28" s="3" t="n">
        <v>3786692.89</v>
      </c>
      <c r="N28" s="3" t="n">
        <v>3786692.89</v>
      </c>
      <c r="O28" s="3" t="n">
        <v>3786692.89</v>
      </c>
      <c r="P28" s="3" t="n">
        <v>3786692.89</v>
      </c>
      <c r="Q28" s="3" t="n">
        <v>3786692.89</v>
      </c>
      <c r="R28" s="3" t="n">
        <v>3786692.89</v>
      </c>
      <c r="S28" s="3" t="n">
        <v>3786692.89</v>
      </c>
      <c r="T28" s="3" t="n">
        <v>3786692.89</v>
      </c>
      <c r="U28" s="3" t="n">
        <v>3786692.89</v>
      </c>
      <c r="V28" s="3" t="n">
        <v>3786692.89</v>
      </c>
      <c r="W28" s="3" t="n">
        <v>3786692.89</v>
      </c>
      <c r="X28" s="3" t="n">
        <v>3786692.89</v>
      </c>
      <c r="Y28" s="3" t="n">
        <v>3786692.89</v>
      </c>
      <c r="Z28" s="3" t="n">
        <v>3786692.89</v>
      </c>
      <c r="AA28" s="3" t="n">
        <v>3786692.89</v>
      </c>
      <c r="AB28" s="3" t="n">
        <v>3786692.89</v>
      </c>
      <c r="AC28" s="3" t="n">
        <v>3786692.89</v>
      </c>
      <c r="AD28" s="3" t="n">
        <v>3786692.89</v>
      </c>
      <c r="AE28" s="3" t="n">
        <v>3786692.89</v>
      </c>
      <c r="AF28" s="3" t="n">
        <v>3786692.89</v>
      </c>
      <c r="AG28" s="3" t="n">
        <v>3786692.89</v>
      </c>
      <c r="AH28" s="3" t="n">
        <v>3786692.89</v>
      </c>
      <c r="AI28" s="3" t="n">
        <v>3786692.89</v>
      </c>
      <c r="AJ28" s="3" t="n">
        <v>3786692.89</v>
      </c>
      <c r="AK28" s="3" t="n">
        <v>3786692.89</v>
      </c>
      <c r="AL28" s="3" t="n">
        <v>3786692.89</v>
      </c>
    </row>
    <row r="29">
      <c r="A29" t="inlineStr">
        <is>
          <t>BIY|BIND|ARS|TRANSITO</t>
        </is>
      </c>
      <c r="B29" t="inlineStr">
        <is>
          <t>BIY</t>
        </is>
      </c>
      <c r="C29" t="inlineStr">
        <is>
          <t>BIND</t>
        </is>
      </c>
      <c r="D29" t="inlineStr">
        <is>
          <t>ARS</t>
        </is>
      </c>
      <c r="E29" t="inlineStr">
        <is>
          <t>TRANSITO</t>
        </is>
      </c>
      <c r="F29" t="inlineStr">
        <is>
          <t>Depósitos en Tránsito</t>
        </is>
      </c>
      <c r="G29">
        <f>IFERROR(INDEX(H29:AL29,MATCH(Resumen!$E$1,H$1:AL$1,0)),0)</f>
        <v/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</row>
    <row r="30">
      <c r="A30" t="inlineStr">
        <is>
          <t>BIY|BIND|USD|CC</t>
        </is>
      </c>
      <c r="B30" t="inlineStr">
        <is>
          <t>BIY</t>
        </is>
      </c>
      <c r="C30" t="inlineStr">
        <is>
          <t>BIND</t>
        </is>
      </c>
      <c r="D30" t="inlineStr">
        <is>
          <t>USD</t>
        </is>
      </c>
      <c r="E30" t="inlineStr">
        <is>
          <t>CC</t>
        </is>
      </c>
      <c r="F30" t="inlineStr">
        <is>
          <t>2) DOLARES (CC)</t>
        </is>
      </c>
      <c r="G30">
        <f>IFERROR(INDEX(H30:AL30,MATCH(Resumen!$E$1,H$1:AL$1,0)),0)</f>
        <v/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</row>
    <row r="31">
      <c r="A31" t="inlineStr">
        <is>
          <t>BIY|BIND|USD|TRANSITO</t>
        </is>
      </c>
      <c r="B31" t="inlineStr">
        <is>
          <t>BIY</t>
        </is>
      </c>
      <c r="C31" t="inlineStr">
        <is>
          <t>BIND</t>
        </is>
      </c>
      <c r="D31" t="inlineStr">
        <is>
          <t>USD</t>
        </is>
      </c>
      <c r="E31" t="inlineStr">
        <is>
          <t>TRANSITO</t>
        </is>
      </c>
      <c r="F31" t="inlineStr">
        <is>
          <t>Depósitos en Tránsito</t>
        </is>
      </c>
      <c r="G31">
        <f>IFERROR(INDEX(H31:AL31,MATCH(Resumen!$E$1,H$1:AL$1,0)),0)</f>
        <v/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</row>
    <row r="32">
      <c r="A32" t="inlineStr">
        <is>
          <t>BIY|TESORERIA|ARS|CC</t>
        </is>
      </c>
      <c r="B32" t="inlineStr">
        <is>
          <t>BIY</t>
        </is>
      </c>
      <c r="C32" t="inlineStr">
        <is>
          <t>TESORERIA</t>
        </is>
      </c>
      <c r="D32" t="inlineStr">
        <is>
          <t>ARS</t>
        </is>
      </c>
      <c r="E32" t="inlineStr">
        <is>
          <t>CC</t>
        </is>
      </c>
      <c r="F32" t="inlineStr">
        <is>
          <t>1) PESOS</t>
        </is>
      </c>
      <c r="G32">
        <f>IFERROR(INDEX(H32:AL32,MATCH(Resumen!$E$1,H$1:AL$1,0)),0)</f>
        <v/>
      </c>
      <c r="H32" s="3" t="n">
        <v>257690957.2</v>
      </c>
      <c r="I32" s="3" t="n">
        <v>269710347.2</v>
      </c>
      <c r="J32" s="3" t="n">
        <v>276259948.65</v>
      </c>
      <c r="K32" s="3" t="n">
        <v>280401618.7</v>
      </c>
      <c r="L32" s="3" t="n">
        <v>287678108.7</v>
      </c>
      <c r="M32" s="3" t="n">
        <v>293465898.7</v>
      </c>
      <c r="N32" s="3" t="n">
        <v>247246668.7</v>
      </c>
      <c r="O32" s="3" t="n">
        <v>256398348.7</v>
      </c>
      <c r="P32" s="3" t="n">
        <v>264554558.7</v>
      </c>
      <c r="Q32" s="3" t="n">
        <v>320804135.7</v>
      </c>
      <c r="R32" s="3" t="n">
        <v>326750917.7</v>
      </c>
      <c r="S32" s="3" t="n">
        <v>334741955.7</v>
      </c>
      <c r="T32" s="3" t="n">
        <v>342629615.7</v>
      </c>
      <c r="U32" s="3" t="n">
        <v>348892387.7</v>
      </c>
      <c r="V32" s="3" t="n">
        <v>356345499.04</v>
      </c>
      <c r="W32" s="3" t="n">
        <v>365440759.04</v>
      </c>
      <c r="X32" s="3" t="n">
        <v>372657219.04</v>
      </c>
      <c r="Y32" s="3" t="n">
        <v>421549289.04</v>
      </c>
      <c r="Z32" s="3" t="n">
        <v>427052989.04</v>
      </c>
      <c r="AA32" s="3" t="n">
        <v>440521649.04</v>
      </c>
      <c r="AB32" s="3" t="n">
        <v>620654432.37</v>
      </c>
      <c r="AC32" s="3" t="n">
        <v>34948614.37</v>
      </c>
      <c r="AD32" s="3" t="n">
        <v>45154664.37</v>
      </c>
      <c r="AE32" s="3" t="n">
        <v>50747698.37</v>
      </c>
      <c r="AF32" s="3" t="n">
        <v>61570848.37</v>
      </c>
      <c r="AG32" s="3" t="n">
        <v>68081208.37</v>
      </c>
      <c r="AH32" s="3" t="n">
        <v>102238268.37</v>
      </c>
      <c r="AI32" s="3" t="n">
        <v>105711395.37</v>
      </c>
      <c r="AJ32" s="3" t="n">
        <v>117634785.37</v>
      </c>
      <c r="AK32" s="3" t="n">
        <v>233615866.37</v>
      </c>
      <c r="AL32" s="3" t="n">
        <v>243121416.37</v>
      </c>
    </row>
    <row r="33">
      <c r="A33" t="inlineStr">
        <is>
          <t>BIY|TESORERIA|USD|CC</t>
        </is>
      </c>
      <c r="B33" t="inlineStr">
        <is>
          <t>BIY</t>
        </is>
      </c>
      <c r="C33" t="inlineStr">
        <is>
          <t>TESORERIA</t>
        </is>
      </c>
      <c r="D33" t="inlineStr">
        <is>
          <t>USD</t>
        </is>
      </c>
      <c r="E33" t="inlineStr">
        <is>
          <t>CC</t>
        </is>
      </c>
      <c r="F33" t="inlineStr">
        <is>
          <t>2) DOLARES</t>
        </is>
      </c>
      <c r="G33">
        <f>IFERROR(INDEX(H33:AL33,MATCH(Resumen!$E$1,H$1:AL$1,0)),0)</f>
        <v/>
      </c>
      <c r="H33" s="3" t="n">
        <v>13134.99897132867</v>
      </c>
      <c r="I33" s="3" t="n">
        <v>13134.99897132867</v>
      </c>
      <c r="J33" s="3" t="n">
        <v>13134.99897132867</v>
      </c>
      <c r="K33" s="3" t="n">
        <v>13931.99897132867</v>
      </c>
      <c r="L33" s="3" t="n">
        <v>13931.99897132867</v>
      </c>
      <c r="M33" s="3" t="n">
        <v>13931.99897132867</v>
      </c>
      <c r="N33" s="3" t="n">
        <v>13931.99897132867</v>
      </c>
      <c r="O33" s="3" t="n">
        <v>13931.99897132867</v>
      </c>
      <c r="P33" s="3" t="n">
        <v>13931.99897132867</v>
      </c>
      <c r="Q33" s="3" t="n">
        <v>13931.99897132867</v>
      </c>
      <c r="R33" s="3" t="n">
        <v>14881.99897132867</v>
      </c>
      <c r="S33" s="3" t="n">
        <v>14881.99897132867</v>
      </c>
      <c r="T33" s="3" t="n">
        <v>14881.99897132867</v>
      </c>
      <c r="U33" s="3" t="n">
        <v>14881.99897132867</v>
      </c>
      <c r="V33" s="3" t="n">
        <v>14881.99897132867</v>
      </c>
      <c r="W33" s="3" t="n">
        <v>14881.99897132867</v>
      </c>
      <c r="X33" s="3" t="n">
        <v>14881.99897132867</v>
      </c>
      <c r="Y33" s="3" t="n">
        <v>14881.99897132867</v>
      </c>
      <c r="Z33" s="3" t="n">
        <v>16278.99897132867</v>
      </c>
      <c r="AA33" s="3" t="n">
        <v>16278.99897132867</v>
      </c>
      <c r="AB33" s="3" t="n">
        <v>16278.99897132867</v>
      </c>
      <c r="AC33" s="3" t="n">
        <v>16278.99897132867</v>
      </c>
      <c r="AD33" s="3" t="n">
        <v>16278.99897132867</v>
      </c>
      <c r="AE33" s="3" t="n">
        <v>16278.99897132867</v>
      </c>
      <c r="AF33" s="3" t="n">
        <v>18482.99897132867</v>
      </c>
      <c r="AG33" s="3" t="n">
        <v>19053.99897132867</v>
      </c>
      <c r="AH33" s="3" t="n">
        <v>-0.001028671329549979</v>
      </c>
      <c r="AI33" s="3" t="n">
        <v>-0.001028671329549979</v>
      </c>
      <c r="AJ33" s="3" t="n">
        <v>-0.001028671329549979</v>
      </c>
      <c r="AK33" s="3" t="n">
        <v>38.66897132867045</v>
      </c>
      <c r="AL33" s="3" t="n">
        <v>38.66897132867045</v>
      </c>
    </row>
    <row r="34">
      <c r="A34" t="inlineStr">
        <is>
          <t>BIY|TESORERIA|EUR|CC</t>
        </is>
      </c>
      <c r="B34" t="inlineStr">
        <is>
          <t>BIY</t>
        </is>
      </c>
      <c r="C34" t="inlineStr">
        <is>
          <t>TESORERIA</t>
        </is>
      </c>
      <c r="D34" t="inlineStr">
        <is>
          <t>EUR</t>
        </is>
      </c>
      <c r="E34" t="inlineStr">
        <is>
          <t>CC</t>
        </is>
      </c>
      <c r="F34" t="inlineStr">
        <is>
          <t>3) EUROS</t>
        </is>
      </c>
      <c r="G34">
        <f>IFERROR(INDEX(H34:AL34,MATCH(Resumen!$E$1,H$1:AL$1,0)),0)</f>
        <v/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</row>
    <row r="35">
      <c r="A35" t="inlineStr">
        <is>
          <t>BIY|INVERSIONES|ARS|FCI_GOAL_RENTA_GLOBAL</t>
        </is>
      </c>
      <c r="B35" t="inlineStr">
        <is>
          <t>BIY</t>
        </is>
      </c>
      <c r="C35" t="inlineStr">
        <is>
          <t>INVERSIONES</t>
        </is>
      </c>
      <c r="D35" t="inlineStr">
        <is>
          <t>ARS</t>
        </is>
      </c>
      <c r="F35" t="inlineStr">
        <is>
          <t>FCI Goal renta global</t>
        </is>
      </c>
      <c r="G35">
        <f>IFERROR(INDEX(H35:AL35,MATCH(Resumen!$E$1,H$1:AL$1,0)),0)</f>
        <v/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</row>
    <row r="36">
      <c r="A36" t="inlineStr">
        <is>
          <t>BIY|INVERSIONES|ARS|FCI_PIONERO_RENTA_AHORRO</t>
        </is>
      </c>
      <c r="B36" t="inlineStr">
        <is>
          <t>BIY</t>
        </is>
      </c>
      <c r="C36" t="inlineStr">
        <is>
          <t>INVERSIONES</t>
        </is>
      </c>
      <c r="D36" t="inlineStr">
        <is>
          <t>ARS</t>
        </is>
      </c>
      <c r="F36" t="inlineStr">
        <is>
          <t>FCI Pionero Renta Ahorro</t>
        </is>
      </c>
      <c r="G36">
        <f>IFERROR(INDEX(H36:AL36,MATCH(Resumen!$E$1,H$1:AL$1,0)),0)</f>
        <v/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</row>
    <row r="37">
      <c r="A37" t="inlineStr">
        <is>
          <t>BIY|INVERSIONES|ARS|FCI_RENTA_CRECIMIENTO</t>
        </is>
      </c>
      <c r="B37" t="inlineStr">
        <is>
          <t>BIY</t>
        </is>
      </c>
      <c r="C37" t="inlineStr">
        <is>
          <t>INVERSIONES</t>
        </is>
      </c>
      <c r="D37" t="inlineStr">
        <is>
          <t>ARS</t>
        </is>
      </c>
      <c r="F37" t="inlineStr">
        <is>
          <t>FCI renta crecimiento</t>
        </is>
      </c>
      <c r="G37">
        <f>IFERROR(INDEX(H37:AL37,MATCH(Resumen!$E$1,H$1:AL$1,0)),0)</f>
        <v/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</row>
    <row r="38">
      <c r="A38" t="inlineStr">
        <is>
          <t>BIY|INVERSIONES|ARS|FCI_GOAL_PESOS</t>
        </is>
      </c>
      <c r="B38" t="inlineStr">
        <is>
          <t>BIY</t>
        </is>
      </c>
      <c r="C38" t="inlineStr">
        <is>
          <t>INVERSIONES</t>
        </is>
      </c>
      <c r="D38" t="inlineStr">
        <is>
          <t>ARS</t>
        </is>
      </c>
      <c r="F38" t="inlineStr">
        <is>
          <t>FCI Goal Pesos</t>
        </is>
      </c>
      <c r="G38">
        <f>IFERROR(INDEX(H38:AL38,MATCH(Resumen!$E$1,H$1:AL$1,0)),0)</f>
        <v/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</row>
    <row r="39">
      <c r="A39" t="inlineStr">
        <is>
          <t>BIY|INVERSIONES|ARS|FCI_ACCIONES_ARGENTINAS</t>
        </is>
      </c>
      <c r="B39" t="inlineStr">
        <is>
          <t>BIY</t>
        </is>
      </c>
      <c r="C39" t="inlineStr">
        <is>
          <t>INVERSIONES</t>
        </is>
      </c>
      <c r="D39" t="inlineStr">
        <is>
          <t>ARS</t>
        </is>
      </c>
      <c r="F39" t="inlineStr">
        <is>
          <t>FCI acciones argentinas</t>
        </is>
      </c>
      <c r="G39">
        <f>IFERROR(INDEX(H39:AL39,MATCH(Resumen!$E$1,H$1:AL$1,0)),0)</f>
        <v/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</row>
    <row r="40">
      <c r="A40" t="inlineStr">
        <is>
          <t>BIY|INVERSIONES|ARS|IAM_AHORRO_PESOS</t>
        </is>
      </c>
      <c r="B40" t="inlineStr">
        <is>
          <t>BIY</t>
        </is>
      </c>
      <c r="C40" t="inlineStr">
        <is>
          <t>INVERSIONES</t>
        </is>
      </c>
      <c r="D40" t="inlineStr">
        <is>
          <t>ARS</t>
        </is>
      </c>
      <c r="F40" t="inlineStr">
        <is>
          <t>IAM Ahorro Pesos</t>
        </is>
      </c>
      <c r="G40">
        <f>IFERROR(INDEX(H40:AL40,MATCH(Resumen!$E$1,H$1:AL$1,0)),0)</f>
        <v/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</row>
    <row r="41">
      <c r="A41" t="inlineStr">
        <is>
          <t>BIY|INVERSIONES|ARS|PLAZO_FIJO</t>
        </is>
      </c>
      <c r="B41" t="inlineStr">
        <is>
          <t>BIY</t>
        </is>
      </c>
      <c r="C41" t="inlineStr">
        <is>
          <t>INVERSIONES</t>
        </is>
      </c>
      <c r="D41" t="inlineStr">
        <is>
          <t>ARS</t>
        </is>
      </c>
      <c r="F41" t="inlineStr">
        <is>
          <t>Plazo Fijo</t>
        </is>
      </c>
      <c r="G41">
        <f>IFERROR(INDEX(H41:AL41,MATCH(Resumen!$E$1,H$1:AL$1,0)),0)</f>
        <v/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</row>
    <row r="42">
      <c r="A42" t="inlineStr">
        <is>
          <t>BIY|INVERSIONES|ARS|OTROS</t>
        </is>
      </c>
      <c r="B42" t="inlineStr">
        <is>
          <t>BIY</t>
        </is>
      </c>
      <c r="C42" t="inlineStr">
        <is>
          <t>INVERSIONES</t>
        </is>
      </c>
      <c r="D42" t="inlineStr">
        <is>
          <t>ARS</t>
        </is>
      </c>
      <c r="F42" t="inlineStr">
        <is>
          <t>Otros</t>
        </is>
      </c>
      <c r="G42">
        <f>IFERROR(INDEX(H42:AL42,MATCH(Resumen!$E$1,H$1:AL$1,0)),0)</f>
        <v/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</row>
    <row r="43">
      <c r="A43" t="inlineStr">
        <is>
          <t>KAN|MACRO|ARS|CC</t>
        </is>
      </c>
      <c r="B43" t="inlineStr">
        <is>
          <t>KAN</t>
        </is>
      </c>
      <c r="C43" t="inlineStr">
        <is>
          <t>MACRO</t>
        </is>
      </c>
      <c r="D43" t="inlineStr">
        <is>
          <t>ARS</t>
        </is>
      </c>
      <c r="E43" t="inlineStr">
        <is>
          <t>CC</t>
        </is>
      </c>
      <c r="F43" t="inlineStr">
        <is>
          <t>1) PESOS (CC)</t>
        </is>
      </c>
      <c r="G43">
        <f>IFERROR(INDEX(H43:AL43,MATCH(Resumen!$E$1,H$1:AL$1,0)),0)</f>
        <v/>
      </c>
      <c r="H43" s="3" t="n">
        <v>-409785341.07</v>
      </c>
      <c r="I43" s="3" t="n">
        <v>-409785341.07</v>
      </c>
      <c r="J43" s="3" t="n">
        <v>-471252050.86</v>
      </c>
      <c r="K43" s="3" t="n">
        <v>-484422926.47</v>
      </c>
      <c r="L43" s="3" t="n">
        <v>-38771053.06</v>
      </c>
      <c r="M43" s="3" t="n">
        <v>-14805485.85</v>
      </c>
      <c r="N43" s="3" t="n">
        <v>-38889286.29</v>
      </c>
      <c r="O43" s="3" t="n">
        <v>-38889286.29</v>
      </c>
      <c r="P43" s="3" t="n">
        <v>-38889286.29</v>
      </c>
      <c r="Q43" s="3" t="n">
        <v>-10300878.68</v>
      </c>
      <c r="R43" s="3" t="n">
        <v>-67393814.81</v>
      </c>
      <c r="S43" s="3" t="n">
        <v>-95294984.48</v>
      </c>
      <c r="T43" s="3" t="n">
        <v>-68874454.92</v>
      </c>
      <c r="U43" s="3" t="n">
        <v>-68932590.62</v>
      </c>
      <c r="V43" s="3" t="n">
        <v>-68932590.62</v>
      </c>
      <c r="W43" s="3" t="n">
        <v>-68932590.62</v>
      </c>
      <c r="X43" s="3" t="n">
        <v>-122512346.06</v>
      </c>
      <c r="Y43" s="3" t="n">
        <v>-122512346.06</v>
      </c>
      <c r="Z43" s="3" t="n">
        <v>-111322706.44</v>
      </c>
      <c r="AA43" s="3" t="n">
        <v>-85196303.86</v>
      </c>
      <c r="AB43" s="3" t="n">
        <v>-91057788.53</v>
      </c>
      <c r="AC43" s="3" t="n">
        <v>-91057788.53</v>
      </c>
      <c r="AD43" s="3" t="n">
        <v>-91057788.53</v>
      </c>
      <c r="AE43" s="3" t="n">
        <v>-67610524.88</v>
      </c>
      <c r="AF43" s="3" t="n">
        <v>-65042180.92</v>
      </c>
      <c r="AG43" s="3" t="n">
        <v>-69152931.88</v>
      </c>
      <c r="AH43" s="3" t="n">
        <v>-49990178.89</v>
      </c>
      <c r="AI43" s="3" t="n">
        <v>-40070217.34</v>
      </c>
      <c r="AJ43" s="3" t="n">
        <v>-40070217.34</v>
      </c>
      <c r="AK43" s="3" t="n">
        <v>-40070217.34</v>
      </c>
      <c r="AL43" s="3" t="n">
        <v>-23426880.68</v>
      </c>
    </row>
    <row r="44">
      <c r="A44" t="inlineStr">
        <is>
          <t>KAN|MACRO|ARS|TRANSITO</t>
        </is>
      </c>
      <c r="B44" t="inlineStr">
        <is>
          <t>KAN</t>
        </is>
      </c>
      <c r="C44" t="inlineStr">
        <is>
          <t>MACRO</t>
        </is>
      </c>
      <c r="D44" t="inlineStr">
        <is>
          <t>ARS</t>
        </is>
      </c>
      <c r="E44" t="inlineStr">
        <is>
          <t>TRANSITO</t>
        </is>
      </c>
      <c r="F44" t="inlineStr">
        <is>
          <t>Depósitos en Tránsito</t>
        </is>
      </c>
      <c r="G44">
        <f>IFERROR(INDEX(H44:AL44,MATCH(Resumen!$E$1,H$1:AL$1,0)),0)</f>
        <v/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</row>
    <row r="45">
      <c r="A45" t="inlineStr">
        <is>
          <t>KAN|MACRO|ARS|CA</t>
        </is>
      </c>
      <c r="B45" t="inlineStr">
        <is>
          <t>KAN</t>
        </is>
      </c>
      <c r="C45" t="inlineStr">
        <is>
          <t>MACRO</t>
        </is>
      </c>
      <c r="D45" t="inlineStr">
        <is>
          <t>ARS</t>
        </is>
      </c>
      <c r="E45" t="inlineStr">
        <is>
          <t>CA</t>
        </is>
      </c>
      <c r="F45" t="inlineStr">
        <is>
          <t>1) PESOS (CA)</t>
        </is>
      </c>
      <c r="G45">
        <f>IFERROR(INDEX(H45:AL45,MATCH(Resumen!$E$1,H$1:AL$1,0)),0)</f>
        <v/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</row>
    <row r="46">
      <c r="A46" t="inlineStr">
        <is>
          <t>KAN|MACRO|USD|CC</t>
        </is>
      </c>
      <c r="B46" t="inlineStr">
        <is>
          <t>KAN</t>
        </is>
      </c>
      <c r="C46" t="inlineStr">
        <is>
          <t>MACRO</t>
        </is>
      </c>
      <c r="D46" t="inlineStr">
        <is>
          <t>USD</t>
        </is>
      </c>
      <c r="E46" t="inlineStr">
        <is>
          <t>CC</t>
        </is>
      </c>
      <c r="F46" t="inlineStr">
        <is>
          <t>2) DOLARES (CC)</t>
        </is>
      </c>
      <c r="G46">
        <f>IFERROR(INDEX(H46:AL46,MATCH(Resumen!$E$1,H$1:AL$1,0)),0)</f>
        <v/>
      </c>
      <c r="H46" s="3" t="n">
        <v>64.09</v>
      </c>
      <c r="I46" s="3" t="n">
        <v>64.09</v>
      </c>
      <c r="J46" s="3" t="n">
        <v>64.09</v>
      </c>
      <c r="K46" s="3" t="n">
        <v>64.09</v>
      </c>
      <c r="L46" s="3" t="n">
        <v>64.09</v>
      </c>
      <c r="M46" s="3" t="n">
        <v>64.09</v>
      </c>
      <c r="N46" s="3" t="n">
        <v>64.09</v>
      </c>
      <c r="O46" s="3" t="n">
        <v>64.09</v>
      </c>
      <c r="P46" s="3" t="n">
        <v>64.09</v>
      </c>
      <c r="Q46" s="3" t="n">
        <v>64.09</v>
      </c>
      <c r="R46" s="3" t="n">
        <v>64.09</v>
      </c>
      <c r="S46" s="3" t="n">
        <v>64.09</v>
      </c>
      <c r="T46" s="3" t="n">
        <v>64.09</v>
      </c>
      <c r="U46" s="3" t="n">
        <v>64.09</v>
      </c>
      <c r="V46" s="3" t="n">
        <v>64.09</v>
      </c>
      <c r="W46" s="3" t="n">
        <v>64.09</v>
      </c>
      <c r="X46" s="3" t="n">
        <v>64.09</v>
      </c>
      <c r="Y46" s="3" t="n">
        <v>64.09</v>
      </c>
      <c r="Z46" s="3" t="n">
        <v>64.09</v>
      </c>
      <c r="AA46" s="3" t="n">
        <v>64.09</v>
      </c>
      <c r="AB46" s="3" t="n">
        <v>64.09</v>
      </c>
      <c r="AC46" s="3" t="n">
        <v>64.09</v>
      </c>
      <c r="AD46" s="3" t="n">
        <v>64.09</v>
      </c>
      <c r="AE46" s="3" t="n">
        <v>64.09</v>
      </c>
      <c r="AF46" s="3" t="n">
        <v>64.09</v>
      </c>
      <c r="AG46" s="3" t="n">
        <v>64.09</v>
      </c>
      <c r="AH46" s="3" t="n">
        <v>64.09</v>
      </c>
      <c r="AI46" s="3" t="n">
        <v>64.09</v>
      </c>
      <c r="AJ46" s="3" t="n">
        <v>64.09</v>
      </c>
      <c r="AK46" s="3" t="n">
        <v>64.09</v>
      </c>
      <c r="AL46" s="3" t="n">
        <v>34.08</v>
      </c>
    </row>
    <row r="47">
      <c r="A47" t="inlineStr">
        <is>
          <t>KAN|MACRO|USD|TRANSITO</t>
        </is>
      </c>
      <c r="B47" t="inlineStr">
        <is>
          <t>KAN</t>
        </is>
      </c>
      <c r="C47" t="inlineStr">
        <is>
          <t>MACRO</t>
        </is>
      </c>
      <c r="D47" t="inlineStr">
        <is>
          <t>USD</t>
        </is>
      </c>
      <c r="E47" t="inlineStr">
        <is>
          <t>TRANSITO</t>
        </is>
      </c>
      <c r="F47" t="inlineStr">
        <is>
          <t>Depósitos en Tránsito</t>
        </is>
      </c>
      <c r="G47">
        <f>IFERROR(INDEX(H47:AL47,MATCH(Resumen!$E$1,H$1:AL$1,0)),0)</f>
        <v/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</row>
    <row r="48">
      <c r="A48" t="inlineStr">
        <is>
          <t>KAN|MACRO|USD|CA</t>
        </is>
      </c>
      <c r="B48" t="inlineStr">
        <is>
          <t>KAN</t>
        </is>
      </c>
      <c r="C48" t="inlineStr">
        <is>
          <t>MACRO</t>
        </is>
      </c>
      <c r="D48" t="inlineStr">
        <is>
          <t>USD</t>
        </is>
      </c>
      <c r="E48" t="inlineStr">
        <is>
          <t>CA</t>
        </is>
      </c>
      <c r="F48" t="inlineStr">
        <is>
          <t>2) DOLARES (CA)</t>
        </is>
      </c>
      <c r="G48">
        <f>IFERROR(INDEX(H48:AL48,MATCH(Resumen!$E$1,H$1:AL$1,0)),0)</f>
        <v/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</row>
    <row r="49">
      <c r="A49" t="inlineStr">
        <is>
          <t>KAN|ITAU|ARS|CC</t>
        </is>
      </c>
      <c r="B49" t="inlineStr">
        <is>
          <t>KAN</t>
        </is>
      </c>
      <c r="C49" t="inlineStr">
        <is>
          <t>ITAU</t>
        </is>
      </c>
      <c r="D49" t="inlineStr">
        <is>
          <t>ARS</t>
        </is>
      </c>
      <c r="E49" t="inlineStr">
        <is>
          <t>CC</t>
        </is>
      </c>
      <c r="F49" t="inlineStr">
        <is>
          <t>1) PESOS (CC)</t>
        </is>
      </c>
      <c r="G49">
        <f>IFERROR(INDEX(H49:AL49,MATCH(Resumen!$E$1,H$1:AL$1,0)),0)</f>
        <v/>
      </c>
      <c r="H49" s="3" t="n">
        <v>2030713.39</v>
      </c>
      <c r="I49" s="3" t="n">
        <v>2030713.39</v>
      </c>
      <c r="J49" s="3" t="n">
        <v>3069968.64</v>
      </c>
      <c r="K49" s="3" t="n">
        <v>1729472.08</v>
      </c>
      <c r="L49" s="3" t="n">
        <v>-558345.3199999999</v>
      </c>
      <c r="M49" s="3" t="n">
        <v>4183500.18</v>
      </c>
      <c r="N49" s="3" t="n">
        <v>1590039.83</v>
      </c>
      <c r="O49" s="3" t="n">
        <v>1590039.83</v>
      </c>
      <c r="P49" s="3" t="n">
        <v>1590039.83</v>
      </c>
      <c r="Q49" s="3" t="n">
        <v>2763317.18</v>
      </c>
      <c r="R49" s="3" t="n">
        <v>4919704.72</v>
      </c>
      <c r="S49" s="3" t="n">
        <v>5739254.93</v>
      </c>
      <c r="T49" s="3" t="n">
        <v>2720175.83</v>
      </c>
      <c r="U49" s="3" t="n">
        <v>3004048.88</v>
      </c>
      <c r="V49" s="3" t="n">
        <v>3004048.88</v>
      </c>
      <c r="W49" s="3" t="n">
        <v>3004048.88</v>
      </c>
      <c r="X49" s="3" t="n">
        <v>5049169.06</v>
      </c>
      <c r="Y49" s="3" t="n">
        <v>5049169.06</v>
      </c>
      <c r="Z49" s="3" t="n">
        <v>6264208.14</v>
      </c>
      <c r="AA49" s="3" t="n">
        <v>3484434.99</v>
      </c>
      <c r="AB49" s="3" t="n">
        <v>3687893.49</v>
      </c>
      <c r="AC49" s="3" t="n">
        <v>3687893.49</v>
      </c>
      <c r="AD49" s="3" t="n">
        <v>3687893.49</v>
      </c>
      <c r="AE49" s="3" t="n">
        <v>5472515.19</v>
      </c>
      <c r="AF49" s="3" t="n">
        <v>2346715.79</v>
      </c>
      <c r="AG49" s="3" t="n">
        <v>2758477.04</v>
      </c>
      <c r="AH49" s="3" t="n">
        <v>2787542.54</v>
      </c>
      <c r="AI49" s="3" t="n">
        <v>3078197.54</v>
      </c>
      <c r="AJ49" s="3" t="n">
        <v>3078197.54</v>
      </c>
      <c r="AK49" s="3" t="n">
        <v>3078197.54</v>
      </c>
      <c r="AL49" s="3" t="n">
        <v>7524584.54</v>
      </c>
    </row>
    <row r="50">
      <c r="A50" t="inlineStr">
        <is>
          <t>KAN|ITAU|ARS|TRANSITO</t>
        </is>
      </c>
      <c r="B50" t="inlineStr">
        <is>
          <t>KAN</t>
        </is>
      </c>
      <c r="C50" t="inlineStr">
        <is>
          <t>ITAU</t>
        </is>
      </c>
      <c r="D50" t="inlineStr">
        <is>
          <t>ARS</t>
        </is>
      </c>
      <c r="E50" t="inlineStr">
        <is>
          <t>TRANSITO</t>
        </is>
      </c>
      <c r="F50" t="inlineStr">
        <is>
          <t>Depósitos en Tránsito</t>
        </is>
      </c>
      <c r="G50">
        <f>IFERROR(INDEX(H50:AL50,MATCH(Resumen!$E$1,H$1:AL$1,0)),0)</f>
        <v/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</row>
    <row r="51">
      <c r="A51" t="inlineStr">
        <is>
          <t>KAN|ITAU|ARS|AVELLANEDA</t>
        </is>
      </c>
      <c r="B51" t="inlineStr">
        <is>
          <t>KAN</t>
        </is>
      </c>
      <c r="C51" t="inlineStr">
        <is>
          <t>ITAU</t>
        </is>
      </c>
      <c r="D51" t="inlineStr">
        <is>
          <t>ARS</t>
        </is>
      </c>
      <c r="E51" t="inlineStr">
        <is>
          <t>AVELLANEDA</t>
        </is>
      </c>
      <c r="F51" t="inlineStr">
        <is>
          <t>1) PESOS (AVELLANEDA)</t>
        </is>
      </c>
      <c r="G51">
        <f>IFERROR(INDEX(H51:AL51,MATCH(Resumen!$E$1,H$1:AL$1,0)),0)</f>
        <v/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</row>
    <row r="52">
      <c r="A52" t="inlineStr">
        <is>
          <t>KAN|ITAU|USD|CC</t>
        </is>
      </c>
      <c r="B52" t="inlineStr">
        <is>
          <t>KAN</t>
        </is>
      </c>
      <c r="C52" t="inlineStr">
        <is>
          <t>ITAU</t>
        </is>
      </c>
      <c r="D52" t="inlineStr">
        <is>
          <t>USD</t>
        </is>
      </c>
      <c r="E52" t="inlineStr">
        <is>
          <t>CC</t>
        </is>
      </c>
      <c r="F52" t="inlineStr">
        <is>
          <t>2) DOLARES (CC)</t>
        </is>
      </c>
      <c r="G52">
        <f>IFERROR(INDEX(H52:AL52,MATCH(Resumen!$E$1,H$1:AL$1,0)),0)</f>
        <v/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</row>
    <row r="53">
      <c r="A53" t="inlineStr">
        <is>
          <t>KAN|ITAU|USD|TRANSITO</t>
        </is>
      </c>
      <c r="B53" t="inlineStr">
        <is>
          <t>KAN</t>
        </is>
      </c>
      <c r="C53" t="inlineStr">
        <is>
          <t>ITAU</t>
        </is>
      </c>
      <c r="D53" t="inlineStr">
        <is>
          <t>USD</t>
        </is>
      </c>
      <c r="E53" t="inlineStr">
        <is>
          <t>TRANSITO</t>
        </is>
      </c>
      <c r="F53" t="inlineStr">
        <is>
          <t>Depósitos en Tránsito</t>
        </is>
      </c>
      <c r="G53">
        <f>IFERROR(INDEX(H53:AL53,MATCH(Resumen!$E$1,H$1:AL$1,0)),0)</f>
        <v/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</row>
    <row r="54">
      <c r="A54" t="inlineStr">
        <is>
          <t>KAN|FRANCES|ARS|CC</t>
        </is>
      </c>
      <c r="B54" t="inlineStr">
        <is>
          <t>KAN</t>
        </is>
      </c>
      <c r="C54" t="inlineStr">
        <is>
          <t>FRANCES</t>
        </is>
      </c>
      <c r="D54" t="inlineStr">
        <is>
          <t>ARS</t>
        </is>
      </c>
      <c r="E54" t="inlineStr">
        <is>
          <t>CC</t>
        </is>
      </c>
      <c r="F54" t="inlineStr">
        <is>
          <t>1) PESOS</t>
        </is>
      </c>
      <c r="G54">
        <f>IFERROR(INDEX(H54:AL54,MATCH(Resumen!$E$1,H$1:AL$1,0)),0)</f>
        <v/>
      </c>
      <c r="H54" s="3" t="n">
        <v>310946.67</v>
      </c>
      <c r="I54" s="3" t="n">
        <v>310946.67</v>
      </c>
      <c r="J54" s="3" t="n">
        <v>320794.54</v>
      </c>
      <c r="K54" s="3" t="n">
        <v>182267.67</v>
      </c>
      <c r="L54" s="3" t="n">
        <v>181436.88</v>
      </c>
      <c r="M54" s="3" t="n">
        <v>295784.12</v>
      </c>
      <c r="N54" s="3" t="n">
        <v>295098.06</v>
      </c>
      <c r="O54" s="3" t="n">
        <v>295098.06</v>
      </c>
      <c r="P54" s="3" t="n">
        <v>295098.06</v>
      </c>
      <c r="Q54" s="3" t="n">
        <v>295098.06</v>
      </c>
      <c r="R54" s="3" t="n">
        <v>295098.06</v>
      </c>
      <c r="S54" s="3" t="n">
        <v>295098.06</v>
      </c>
      <c r="T54" s="3" t="n">
        <v>295098.06</v>
      </c>
      <c r="U54" s="3" t="n">
        <v>295098.06</v>
      </c>
      <c r="V54" s="3" t="n">
        <v>295098.06</v>
      </c>
      <c r="W54" s="3" t="n">
        <v>295098.06</v>
      </c>
      <c r="X54" s="3" t="n">
        <v>295098.06</v>
      </c>
      <c r="Y54" s="3" t="n">
        <v>295098.06</v>
      </c>
      <c r="Z54" s="3" t="n">
        <v>295098.06</v>
      </c>
      <c r="AA54" s="3" t="n">
        <v>295098.06</v>
      </c>
      <c r="AB54" s="3" t="n">
        <v>295098.06</v>
      </c>
      <c r="AC54" s="3" t="n">
        <v>295098.06</v>
      </c>
      <c r="AD54" s="3" t="n">
        <v>295098.06</v>
      </c>
      <c r="AE54" s="3" t="n">
        <v>295098.06</v>
      </c>
      <c r="AF54" s="3" t="n">
        <v>295098.06</v>
      </c>
      <c r="AG54" s="3" t="n">
        <v>295098.06</v>
      </c>
      <c r="AH54" s="3" t="n">
        <v>295098.06</v>
      </c>
      <c r="AI54" s="3" t="n">
        <v>295098.06</v>
      </c>
      <c r="AJ54" s="3" t="n">
        <v>295098.06</v>
      </c>
      <c r="AK54" s="3" t="n">
        <v>295098.06</v>
      </c>
      <c r="AL54" s="3" t="n">
        <v>295098.06</v>
      </c>
    </row>
    <row r="55">
      <c r="A55" t="inlineStr">
        <is>
          <t>KAN|FRANCES|USD|CC</t>
        </is>
      </c>
      <c r="B55" t="inlineStr">
        <is>
          <t>KAN</t>
        </is>
      </c>
      <c r="C55" t="inlineStr">
        <is>
          <t>FRANCES</t>
        </is>
      </c>
      <c r="D55" t="inlineStr">
        <is>
          <t>USD</t>
        </is>
      </c>
      <c r="E55" t="inlineStr">
        <is>
          <t>CC</t>
        </is>
      </c>
      <c r="F55" t="inlineStr">
        <is>
          <t>2) DOLARES</t>
        </is>
      </c>
      <c r="G55">
        <f>IFERROR(INDEX(H55:AL55,MATCH(Resumen!$E$1,H$1:AL$1,0)),0)</f>
        <v/>
      </c>
      <c r="H55" s="3" t="n">
        <v>516.41</v>
      </c>
      <c r="I55" s="3" t="n">
        <v>516.41</v>
      </c>
      <c r="J55" s="3" t="n">
        <v>516.41</v>
      </c>
      <c r="K55" s="3" t="n">
        <v>516.41</v>
      </c>
      <c r="L55" s="3" t="n">
        <v>516.41</v>
      </c>
      <c r="M55" s="3" t="n">
        <v>516.41</v>
      </c>
      <c r="N55" s="3" t="n">
        <v>516.41</v>
      </c>
      <c r="O55" s="3" t="n">
        <v>516.41</v>
      </c>
      <c r="P55" s="3" t="n">
        <v>516.41</v>
      </c>
      <c r="Q55" s="3" t="n">
        <v>516.41</v>
      </c>
      <c r="R55" s="3" t="n">
        <v>516.41</v>
      </c>
      <c r="S55" s="3" t="n">
        <v>516.41</v>
      </c>
      <c r="T55" s="3" t="n">
        <v>516.41</v>
      </c>
      <c r="U55" s="3" t="n">
        <v>516.41</v>
      </c>
      <c r="V55" s="3" t="n">
        <v>516.41</v>
      </c>
      <c r="W55" s="3" t="n">
        <v>516.41</v>
      </c>
      <c r="X55" s="3" t="n">
        <v>516.41</v>
      </c>
      <c r="Y55" s="3" t="n">
        <v>516.41</v>
      </c>
      <c r="Z55" s="3" t="n">
        <v>516.41</v>
      </c>
      <c r="AA55" s="3" t="n">
        <v>516.41</v>
      </c>
      <c r="AB55" s="3" t="n">
        <v>516.41</v>
      </c>
      <c r="AC55" s="3" t="n">
        <v>516.41</v>
      </c>
      <c r="AD55" s="3" t="n">
        <v>516.41</v>
      </c>
      <c r="AE55" s="3" t="n">
        <v>516.41</v>
      </c>
      <c r="AF55" s="3" t="n">
        <v>516.41</v>
      </c>
      <c r="AG55" s="3" t="n">
        <v>516.41</v>
      </c>
      <c r="AH55" s="3" t="n">
        <v>516.41</v>
      </c>
      <c r="AI55" s="3" t="n">
        <v>516.41</v>
      </c>
      <c r="AJ55" s="3" t="n">
        <v>516.41</v>
      </c>
      <c r="AK55" s="3" t="n">
        <v>516.41</v>
      </c>
      <c r="AL55" s="3" t="n">
        <v>516.41</v>
      </c>
    </row>
    <row r="56">
      <c r="A56" t="inlineStr">
        <is>
          <t>KAN|FRANCES|EUR|CC</t>
        </is>
      </c>
      <c r="B56" t="inlineStr">
        <is>
          <t>KAN</t>
        </is>
      </c>
      <c r="C56" t="inlineStr">
        <is>
          <t>FRANCES</t>
        </is>
      </c>
      <c r="D56" t="inlineStr">
        <is>
          <t>EUR</t>
        </is>
      </c>
      <c r="E56" t="inlineStr">
        <is>
          <t>CC</t>
        </is>
      </c>
      <c r="F56" t="inlineStr">
        <is>
          <t>3) EUROS</t>
        </is>
      </c>
      <c r="G56">
        <f>IFERROR(INDEX(H56:AL56,MATCH(Resumen!$E$1,H$1:AL$1,0)),0)</f>
        <v/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</row>
    <row r="57">
      <c r="A57" t="inlineStr">
        <is>
          <t>KAN|BAPRO|ARS|CC</t>
        </is>
      </c>
      <c r="B57" t="inlineStr">
        <is>
          <t>KAN</t>
        </is>
      </c>
      <c r="C57" t="inlineStr">
        <is>
          <t>BAPRO</t>
        </is>
      </c>
      <c r="D57" t="inlineStr">
        <is>
          <t>ARS</t>
        </is>
      </c>
      <c r="E57" t="inlineStr">
        <is>
          <t>CC</t>
        </is>
      </c>
      <c r="F57" t="inlineStr">
        <is>
          <t>1) PESOS</t>
        </is>
      </c>
      <c r="G57">
        <f>IFERROR(INDEX(H57:AL57,MATCH(Resumen!$E$1,H$1:AL$1,0)),0)</f>
        <v/>
      </c>
      <c r="H57" s="3" t="n">
        <v>1557046.36</v>
      </c>
      <c r="I57" s="3" t="n">
        <v>1557046.36</v>
      </c>
      <c r="J57" s="3" t="n">
        <v>1585760.18</v>
      </c>
      <c r="K57" s="3" t="n">
        <v>4871173.37</v>
      </c>
      <c r="L57" s="3" t="n">
        <v>5158512.26</v>
      </c>
      <c r="M57" s="3" t="n">
        <v>5025579.25</v>
      </c>
      <c r="N57" s="3" t="n">
        <v>1539198.38</v>
      </c>
      <c r="O57" s="3" t="n">
        <v>1539198.38</v>
      </c>
      <c r="P57" s="3" t="n">
        <v>1539198.38</v>
      </c>
      <c r="Q57" s="3" t="n">
        <v>1580661.22</v>
      </c>
      <c r="R57" s="3" t="n">
        <v>2050931.81</v>
      </c>
      <c r="S57" s="3" t="n">
        <v>2469716.4</v>
      </c>
      <c r="T57" s="3" t="n">
        <v>2534389.54</v>
      </c>
      <c r="U57" s="3" t="n">
        <v>2572417.07</v>
      </c>
      <c r="V57" s="3" t="n">
        <v>2572417.07</v>
      </c>
      <c r="W57" s="3" t="n">
        <v>2572417.07</v>
      </c>
      <c r="X57" s="3" t="n">
        <v>2607990.51</v>
      </c>
      <c r="Y57" s="3" t="n">
        <v>2607990.51</v>
      </c>
      <c r="Z57" s="3" t="n">
        <v>2851274.64</v>
      </c>
      <c r="AA57" s="3" t="n">
        <v>3038646.82</v>
      </c>
      <c r="AB57" s="3" t="n">
        <v>3072954.35</v>
      </c>
      <c r="AC57" s="3" t="n">
        <v>3072954.35</v>
      </c>
      <c r="AD57" s="3" t="n">
        <v>3072954.35</v>
      </c>
      <c r="AE57" s="3" t="n">
        <v>3106966.25</v>
      </c>
      <c r="AF57" s="3" t="n">
        <v>3273004.75</v>
      </c>
      <c r="AG57" s="3" t="n">
        <v>3573206.86</v>
      </c>
      <c r="AH57" s="3" t="n">
        <v>3606878.73</v>
      </c>
      <c r="AI57" s="3" t="n">
        <v>3640954.45</v>
      </c>
      <c r="AJ57" s="3" t="n">
        <v>3640954.45</v>
      </c>
      <c r="AK57" s="3" t="n">
        <v>3640954.45</v>
      </c>
      <c r="AL57" s="3" t="n">
        <v>3605403.96</v>
      </c>
    </row>
    <row r="58">
      <c r="A58" t="inlineStr">
        <is>
          <t>KAN|BAPRO|ARS|TRANSITO</t>
        </is>
      </c>
      <c r="B58" t="inlineStr">
        <is>
          <t>KAN</t>
        </is>
      </c>
      <c r="C58" t="inlineStr">
        <is>
          <t>BAPRO</t>
        </is>
      </c>
      <c r="D58" t="inlineStr">
        <is>
          <t>ARS</t>
        </is>
      </c>
      <c r="E58" t="inlineStr">
        <is>
          <t>TRANSITO</t>
        </is>
      </c>
      <c r="F58" t="inlineStr">
        <is>
          <t>Depósitos en Tránsito</t>
        </is>
      </c>
      <c r="G58">
        <f>IFERROR(INDEX(H58:AL58,MATCH(Resumen!$E$1,H$1:AL$1,0)),0)</f>
        <v/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</row>
    <row r="59">
      <c r="A59" t="inlineStr">
        <is>
          <t>KAN|BAPRO|USD|CC</t>
        </is>
      </c>
      <c r="B59" t="inlineStr">
        <is>
          <t>KAN</t>
        </is>
      </c>
      <c r="C59" t="inlineStr">
        <is>
          <t>BAPRO</t>
        </is>
      </c>
      <c r="D59" t="inlineStr">
        <is>
          <t>USD</t>
        </is>
      </c>
      <c r="E59" t="inlineStr">
        <is>
          <t>CC</t>
        </is>
      </c>
      <c r="F59" t="inlineStr">
        <is>
          <t>2) DOLARES (CC)</t>
        </is>
      </c>
      <c r="G59">
        <f>IFERROR(INDEX(H59:AL59,MATCH(Resumen!$E$1,H$1:AL$1,0)),0)</f>
        <v/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</row>
    <row r="60">
      <c r="A60" t="inlineStr">
        <is>
          <t>KAN|MACO|ARS|CC</t>
        </is>
      </c>
      <c r="B60" t="inlineStr">
        <is>
          <t>KAN</t>
        </is>
      </c>
      <c r="C60" t="inlineStr">
        <is>
          <t>MACO</t>
        </is>
      </c>
      <c r="D60" t="inlineStr">
        <is>
          <t>ARS</t>
        </is>
      </c>
      <c r="E60" t="inlineStr">
        <is>
          <t>CC</t>
        </is>
      </c>
      <c r="F60" t="inlineStr">
        <is>
          <t>1) PESOS</t>
        </is>
      </c>
      <c r="G60">
        <f>IFERROR(INDEX(H60:AL60,MATCH(Resumen!$E$1,H$1:AL$1,0)),0)</f>
        <v/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</row>
    <row r="61">
      <c r="A61" t="inlineStr">
        <is>
          <t>KAN|MACO|USD|CC</t>
        </is>
      </c>
      <c r="B61" t="inlineStr">
        <is>
          <t>KAN</t>
        </is>
      </c>
      <c r="C61" t="inlineStr">
        <is>
          <t>MACO</t>
        </is>
      </c>
      <c r="D61" t="inlineStr">
        <is>
          <t>USD</t>
        </is>
      </c>
      <c r="E61" t="inlineStr">
        <is>
          <t>CC</t>
        </is>
      </c>
      <c r="F61" t="inlineStr">
        <is>
          <t>2) DOLARES</t>
        </is>
      </c>
      <c r="G61">
        <f>IFERROR(INDEX(H61:AL61,MATCH(Resumen!$E$1,H$1:AL$1,0)),0)</f>
        <v/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</row>
    <row r="62">
      <c r="A62" t="inlineStr">
        <is>
          <t>KAN|MACO|EUR|CC</t>
        </is>
      </c>
      <c r="B62" t="inlineStr">
        <is>
          <t>KAN</t>
        </is>
      </c>
      <c r="C62" t="inlineStr">
        <is>
          <t>MACO</t>
        </is>
      </c>
      <c r="D62" t="inlineStr">
        <is>
          <t>EUR</t>
        </is>
      </c>
      <c r="E62" t="inlineStr">
        <is>
          <t>CC</t>
        </is>
      </c>
      <c r="F62" t="inlineStr">
        <is>
          <t>3) EUROS</t>
        </is>
      </c>
      <c r="G62">
        <f>IFERROR(INDEX(H62:AL62,MATCH(Resumen!$E$1,H$1:AL$1,0)),0)</f>
        <v/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</row>
    <row r="63">
      <c r="A63" t="inlineStr">
        <is>
          <t>KAN|BNA|ARS|CC</t>
        </is>
      </c>
      <c r="B63" t="inlineStr">
        <is>
          <t>KAN</t>
        </is>
      </c>
      <c r="C63" t="inlineStr">
        <is>
          <t>BNA</t>
        </is>
      </c>
      <c r="D63" t="inlineStr">
        <is>
          <t>ARS</t>
        </is>
      </c>
      <c r="E63" t="inlineStr">
        <is>
          <t>CC</t>
        </is>
      </c>
      <c r="F63" t="inlineStr">
        <is>
          <t>1) PESOS (CC)</t>
        </is>
      </c>
      <c r="G63">
        <f>IFERROR(INDEX(H63:AL63,MATCH(Resumen!$E$1,H$1:AL$1,0)),0)</f>
        <v/>
      </c>
      <c r="H63" s="3" t="n">
        <v>600045.89</v>
      </c>
      <c r="I63" s="3" t="n">
        <v>600045.89</v>
      </c>
      <c r="J63" s="3" t="n">
        <v>513965.59</v>
      </c>
      <c r="K63" s="3" t="n">
        <v>513965.59</v>
      </c>
      <c r="L63" s="3" t="n">
        <v>513965.59</v>
      </c>
      <c r="M63" s="3" t="n">
        <v>513965.59</v>
      </c>
      <c r="N63" s="3" t="n">
        <v>513965.59</v>
      </c>
      <c r="O63" s="3" t="n">
        <v>513965.59</v>
      </c>
      <c r="P63" s="3" t="n">
        <v>513965.59</v>
      </c>
      <c r="Q63" s="3" t="n">
        <v>513965.59</v>
      </c>
      <c r="R63" s="3" t="n">
        <v>513965.59</v>
      </c>
      <c r="S63" s="3" t="n">
        <v>513965.59</v>
      </c>
      <c r="T63" s="3" t="n">
        <v>513965.59</v>
      </c>
      <c r="U63" s="3" t="n">
        <v>513965.59</v>
      </c>
      <c r="V63" s="3" t="n">
        <v>513965.59</v>
      </c>
      <c r="W63" s="3" t="n">
        <v>513965.59</v>
      </c>
      <c r="X63" s="3" t="n">
        <v>513965.59</v>
      </c>
      <c r="Y63" s="3" t="n">
        <v>513965.59</v>
      </c>
      <c r="Z63" s="3" t="n">
        <v>513965.59</v>
      </c>
      <c r="AA63" s="3" t="n">
        <v>513965.59</v>
      </c>
      <c r="AB63" s="3" t="n">
        <v>513965.59</v>
      </c>
      <c r="AC63" s="3" t="n">
        <v>513965.59</v>
      </c>
      <c r="AD63" s="3" t="n">
        <v>513965.59</v>
      </c>
      <c r="AE63" s="3" t="n">
        <v>513965.59</v>
      </c>
      <c r="AF63" s="3" t="n">
        <v>513965.59</v>
      </c>
      <c r="AG63" s="3" t="n">
        <v>513965.59</v>
      </c>
      <c r="AH63" s="3" t="n">
        <v>513965.59</v>
      </c>
      <c r="AI63" s="3" t="n">
        <v>513965.59</v>
      </c>
      <c r="AJ63" s="3" t="n">
        <v>513965.59</v>
      </c>
      <c r="AK63" s="3" t="n">
        <v>513965.59</v>
      </c>
      <c r="AL63" s="3" t="n">
        <v>427885.29</v>
      </c>
    </row>
    <row r="64">
      <c r="A64" t="inlineStr">
        <is>
          <t>KAN|BNA|ARS|TRANSITO</t>
        </is>
      </c>
      <c r="B64" t="inlineStr">
        <is>
          <t>KAN</t>
        </is>
      </c>
      <c r="C64" t="inlineStr">
        <is>
          <t>BNA</t>
        </is>
      </c>
      <c r="D64" t="inlineStr">
        <is>
          <t>ARS</t>
        </is>
      </c>
      <c r="E64" t="inlineStr">
        <is>
          <t>TRANSITO</t>
        </is>
      </c>
      <c r="F64" t="inlineStr">
        <is>
          <t>Depósitos en Tránsito</t>
        </is>
      </c>
      <c r="G64">
        <f>IFERROR(INDEX(H64:AL64,MATCH(Resumen!$E$1,H$1:AL$1,0)),0)</f>
        <v/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</row>
    <row r="65">
      <c r="A65" t="inlineStr">
        <is>
          <t>KAN|BNA|USD|CC</t>
        </is>
      </c>
      <c r="B65" t="inlineStr">
        <is>
          <t>KAN</t>
        </is>
      </c>
      <c r="C65" t="inlineStr">
        <is>
          <t>BNA</t>
        </is>
      </c>
      <c r="D65" t="inlineStr">
        <is>
          <t>USD</t>
        </is>
      </c>
      <c r="E65" t="inlineStr">
        <is>
          <t>CC</t>
        </is>
      </c>
      <c r="F65" t="inlineStr">
        <is>
          <t>2) DOLARES (CC)</t>
        </is>
      </c>
      <c r="G65">
        <f>IFERROR(INDEX(H65:AL65,MATCH(Resumen!$E$1,H$1:AL$1,0)),0)</f>
        <v/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</row>
    <row r="66">
      <c r="A66" t="inlineStr">
        <is>
          <t>KAN|BNA|USD|TRANSITO</t>
        </is>
      </c>
      <c r="B66" t="inlineStr">
        <is>
          <t>KAN</t>
        </is>
      </c>
      <c r="C66" t="inlineStr">
        <is>
          <t>BNA</t>
        </is>
      </c>
      <c r="D66" t="inlineStr">
        <is>
          <t>USD</t>
        </is>
      </c>
      <c r="E66" t="inlineStr">
        <is>
          <t>TRANSITO</t>
        </is>
      </c>
      <c r="F66" t="inlineStr">
        <is>
          <t>Depósitos en Tránsito</t>
        </is>
      </c>
      <c r="G66">
        <f>IFERROR(INDEX(H66:AL66,MATCH(Resumen!$E$1,H$1:AL$1,0)),0)</f>
        <v/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</row>
    <row r="67">
      <c r="A67" t="inlineStr">
        <is>
          <t>KAN|BIBANK|ARS|CC</t>
        </is>
      </c>
      <c r="B67" t="inlineStr">
        <is>
          <t>KAN</t>
        </is>
      </c>
      <c r="C67" t="inlineStr">
        <is>
          <t>BIBANK</t>
        </is>
      </c>
      <c r="D67" t="inlineStr">
        <is>
          <t>ARS</t>
        </is>
      </c>
      <c r="E67" t="inlineStr">
        <is>
          <t>CC</t>
        </is>
      </c>
      <c r="F67" t="inlineStr">
        <is>
          <t>1) PESOS (CC)</t>
        </is>
      </c>
      <c r="G67">
        <f>IFERROR(INDEX(H67:AL67,MATCH(Resumen!$E$1,H$1:AL$1,0)),0)</f>
        <v/>
      </c>
      <c r="H67" s="3" t="n">
        <v>1393104.99</v>
      </c>
      <c r="I67" s="3" t="n">
        <v>1393104.99</v>
      </c>
      <c r="J67" s="3" t="n">
        <v>1273260.6</v>
      </c>
      <c r="K67" s="3" t="n">
        <v>-33646036.7</v>
      </c>
      <c r="L67" s="3" t="n">
        <v>1801123.62</v>
      </c>
      <c r="M67" s="3" t="n">
        <v>1632689.48</v>
      </c>
      <c r="N67" s="3" t="n">
        <v>1310994.21</v>
      </c>
      <c r="O67" s="3" t="n">
        <v>1310994.21</v>
      </c>
      <c r="P67" s="3" t="n">
        <v>1310994.21</v>
      </c>
      <c r="Q67" s="3" t="n">
        <v>1470957.17</v>
      </c>
      <c r="R67" s="3" t="n">
        <v>2844047.77</v>
      </c>
      <c r="S67" s="3" t="n">
        <v>1737950.7</v>
      </c>
      <c r="T67" s="3" t="n">
        <v>1886778.19</v>
      </c>
      <c r="U67" s="3" t="n">
        <v>1886778.19</v>
      </c>
      <c r="V67" s="3" t="n">
        <v>1886778.19</v>
      </c>
      <c r="W67" s="3" t="n">
        <v>1886778.19</v>
      </c>
      <c r="X67" s="3" t="n">
        <v>1138888.76</v>
      </c>
      <c r="Y67" s="3" t="n">
        <v>1138888.76</v>
      </c>
      <c r="Z67" s="3" t="n">
        <v>1585154.82</v>
      </c>
      <c r="AA67" s="3" t="n">
        <v>1113167.2</v>
      </c>
      <c r="AB67" s="3" t="n">
        <v>1032712.65</v>
      </c>
      <c r="AC67" s="3" t="n">
        <v>1032712.65</v>
      </c>
      <c r="AD67" s="3" t="n">
        <v>1032712.65</v>
      </c>
      <c r="AE67" s="3" t="n">
        <v>1786678.28</v>
      </c>
      <c r="AF67" s="3" t="n">
        <v>1587411.68</v>
      </c>
      <c r="AG67" s="3" t="n">
        <v>1462638.96</v>
      </c>
      <c r="AH67" s="3" t="n">
        <v>1498454.99</v>
      </c>
      <c r="AI67" s="3" t="n">
        <v>1029965.17</v>
      </c>
      <c r="AJ67" s="3" t="n">
        <v>1029965.17</v>
      </c>
      <c r="AK67" s="3" t="n">
        <v>1029965.17</v>
      </c>
      <c r="AL67" s="3" t="n">
        <v>1059655.18</v>
      </c>
    </row>
    <row r="68">
      <c r="A68" t="inlineStr">
        <is>
          <t>KAN|BIBANK|ARS|TRANSITO</t>
        </is>
      </c>
      <c r="B68" t="inlineStr">
        <is>
          <t>KAN</t>
        </is>
      </c>
      <c r="C68" t="inlineStr">
        <is>
          <t>BIBANK</t>
        </is>
      </c>
      <c r="D68" t="inlineStr">
        <is>
          <t>ARS</t>
        </is>
      </c>
      <c r="E68" t="inlineStr">
        <is>
          <t>TRANSITO</t>
        </is>
      </c>
      <c r="F68" t="inlineStr">
        <is>
          <t>Depósitos en Tránsito</t>
        </is>
      </c>
      <c r="G68">
        <f>IFERROR(INDEX(H68:AL68,MATCH(Resumen!$E$1,H$1:AL$1,0)),0)</f>
        <v/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</row>
    <row r="69">
      <c r="A69" t="inlineStr">
        <is>
          <t>KAN|BIBANK|USD|CC</t>
        </is>
      </c>
      <c r="B69" t="inlineStr">
        <is>
          <t>KAN</t>
        </is>
      </c>
      <c r="C69" t="inlineStr">
        <is>
          <t>BIBANK</t>
        </is>
      </c>
      <c r="D69" t="inlineStr">
        <is>
          <t>USD</t>
        </is>
      </c>
      <c r="E69" t="inlineStr">
        <is>
          <t>CC</t>
        </is>
      </c>
      <c r="F69" t="inlineStr">
        <is>
          <t>2) DOLARES (CC)</t>
        </is>
      </c>
      <c r="G69">
        <f>IFERROR(INDEX(H69:AL69,MATCH(Resumen!$E$1,H$1:AL$1,0)),0)</f>
        <v/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</row>
    <row r="70">
      <c r="A70" t="inlineStr">
        <is>
          <t>KAN|BIBANK|USD|TRANSITO</t>
        </is>
      </c>
      <c r="B70" t="inlineStr">
        <is>
          <t>KAN</t>
        </is>
      </c>
      <c r="C70" t="inlineStr">
        <is>
          <t>BIBANK</t>
        </is>
      </c>
      <c r="D70" t="inlineStr">
        <is>
          <t>USD</t>
        </is>
      </c>
      <c r="E70" t="inlineStr">
        <is>
          <t>TRANSITO</t>
        </is>
      </c>
      <c r="F70" t="inlineStr">
        <is>
          <t>Depósitos en Tránsito</t>
        </is>
      </c>
      <c r="G70">
        <f>IFERROR(INDEX(H70:AL70,MATCH(Resumen!$E$1,H$1:AL$1,0)),0)</f>
        <v/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</row>
    <row r="71">
      <c r="A71" t="inlineStr">
        <is>
          <t>KAN|BIND|ARS|CC</t>
        </is>
      </c>
      <c r="B71" t="inlineStr">
        <is>
          <t>KAN</t>
        </is>
      </c>
      <c r="C71" t="inlineStr">
        <is>
          <t>BIND</t>
        </is>
      </c>
      <c r="D71" t="inlineStr">
        <is>
          <t>ARS</t>
        </is>
      </c>
      <c r="E71" t="inlineStr">
        <is>
          <t>CC</t>
        </is>
      </c>
      <c r="F71" t="inlineStr">
        <is>
          <t>1) PESOS (CC)</t>
        </is>
      </c>
      <c r="G71">
        <f>IFERROR(INDEX(H71:AL71,MATCH(Resumen!$E$1,H$1:AL$1,0)),0)</f>
        <v/>
      </c>
      <c r="H71" s="3" t="n">
        <v>3734050.04</v>
      </c>
      <c r="I71" s="3" t="n">
        <v>3734050.04</v>
      </c>
      <c r="J71" s="3" t="n">
        <v>3734050.04</v>
      </c>
      <c r="K71" s="3" t="n">
        <v>3609619.79</v>
      </c>
      <c r="L71" s="3" t="n">
        <v>3609619.79</v>
      </c>
      <c r="M71" s="3" t="n">
        <v>3609619.79</v>
      </c>
      <c r="N71" s="3" t="n">
        <v>3609619.79</v>
      </c>
      <c r="O71" s="3" t="n">
        <v>3609619.79</v>
      </c>
      <c r="P71" s="3" t="n">
        <v>3609619.79</v>
      </c>
      <c r="Q71" s="3" t="n">
        <v>3609619.79</v>
      </c>
      <c r="R71" s="3" t="n">
        <v>3609619.79</v>
      </c>
      <c r="S71" s="3" t="n">
        <v>3609619.79</v>
      </c>
      <c r="T71" s="3" t="n">
        <v>3609619.79</v>
      </c>
      <c r="U71" s="3" t="n">
        <v>3609619.79</v>
      </c>
      <c r="V71" s="3" t="n">
        <v>3609619.79</v>
      </c>
      <c r="W71" s="3" t="n">
        <v>3609619.79</v>
      </c>
      <c r="X71" s="3" t="n">
        <v>3609619.79</v>
      </c>
      <c r="Y71" s="3" t="n">
        <v>3609619.79</v>
      </c>
      <c r="Z71" s="3" t="n">
        <v>3609619.79</v>
      </c>
      <c r="AA71" s="3" t="n">
        <v>3609619.79</v>
      </c>
      <c r="AB71" s="3" t="n">
        <v>3609619.79</v>
      </c>
      <c r="AC71" s="3" t="n">
        <v>3609619.79</v>
      </c>
      <c r="AD71" s="3" t="n">
        <v>3609619.79</v>
      </c>
      <c r="AE71" s="3" t="n">
        <v>3609619.79</v>
      </c>
      <c r="AF71" s="3" t="n">
        <v>3609619.79</v>
      </c>
      <c r="AG71" s="3" t="n">
        <v>3609619.79</v>
      </c>
      <c r="AH71" s="3" t="n">
        <v>3609619.79</v>
      </c>
      <c r="AI71" s="3" t="n">
        <v>3609619.79</v>
      </c>
      <c r="AJ71" s="3" t="n">
        <v>3609619.79</v>
      </c>
      <c r="AK71" s="3" t="n">
        <v>3609619.79</v>
      </c>
      <c r="AL71" s="3" t="n">
        <v>3609619.79</v>
      </c>
    </row>
    <row r="72">
      <c r="A72" t="inlineStr">
        <is>
          <t>KAN|BIND|ARS|TRANSITO</t>
        </is>
      </c>
      <c r="B72" t="inlineStr">
        <is>
          <t>KAN</t>
        </is>
      </c>
      <c r="C72" t="inlineStr">
        <is>
          <t>BIND</t>
        </is>
      </c>
      <c r="D72" t="inlineStr">
        <is>
          <t>ARS</t>
        </is>
      </c>
      <c r="E72" t="inlineStr">
        <is>
          <t>TRANSITO</t>
        </is>
      </c>
      <c r="F72" t="inlineStr">
        <is>
          <t>Depósitos en Tránsito</t>
        </is>
      </c>
      <c r="G72">
        <f>IFERROR(INDEX(H72:AL72,MATCH(Resumen!$E$1,H$1:AL$1,0)),0)</f>
        <v/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</row>
    <row r="73">
      <c r="A73" t="inlineStr">
        <is>
          <t>KAN|BIND|USD|CC</t>
        </is>
      </c>
      <c r="B73" t="inlineStr">
        <is>
          <t>KAN</t>
        </is>
      </c>
      <c r="C73" t="inlineStr">
        <is>
          <t>BIND</t>
        </is>
      </c>
      <c r="D73" t="inlineStr">
        <is>
          <t>USD</t>
        </is>
      </c>
      <c r="E73" t="inlineStr">
        <is>
          <t>CC</t>
        </is>
      </c>
      <c r="F73" t="inlineStr">
        <is>
          <t>2) DOLARES (CC)</t>
        </is>
      </c>
      <c r="G73">
        <f>IFERROR(INDEX(H73:AL73,MATCH(Resumen!$E$1,H$1:AL$1,0)),0)</f>
        <v/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</row>
    <row r="74">
      <c r="A74" t="inlineStr">
        <is>
          <t>KAN|BIND|USD|TRANSITO</t>
        </is>
      </c>
      <c r="B74" t="inlineStr">
        <is>
          <t>KAN</t>
        </is>
      </c>
      <c r="C74" t="inlineStr">
        <is>
          <t>BIND</t>
        </is>
      </c>
      <c r="D74" t="inlineStr">
        <is>
          <t>USD</t>
        </is>
      </c>
      <c r="E74" t="inlineStr">
        <is>
          <t>TRANSITO</t>
        </is>
      </c>
      <c r="F74" t="inlineStr">
        <is>
          <t>Depósitos en Tránsito</t>
        </is>
      </c>
      <c r="G74">
        <f>IFERROR(INDEX(H74:AL74,MATCH(Resumen!$E$1,H$1:AL$1,0)),0)</f>
        <v/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</row>
    <row r="75">
      <c r="A75" t="inlineStr">
        <is>
          <t>KAN|TESORERIA|ARS|CC</t>
        </is>
      </c>
      <c r="B75" t="inlineStr">
        <is>
          <t>KAN</t>
        </is>
      </c>
      <c r="C75" t="inlineStr">
        <is>
          <t>TESORERIA</t>
        </is>
      </c>
      <c r="D75" t="inlineStr">
        <is>
          <t>ARS</t>
        </is>
      </c>
      <c r="E75" t="inlineStr">
        <is>
          <t>CC</t>
        </is>
      </c>
      <c r="F75" t="inlineStr">
        <is>
          <t>1) PESOS</t>
        </is>
      </c>
      <c r="G75">
        <f>IFERROR(INDEX(H75:AL75,MATCH(Resumen!$E$1,H$1:AL$1,0)),0)</f>
        <v/>
      </c>
      <c r="H75" s="3" t="n">
        <v>64826315.995</v>
      </c>
      <c r="I75" s="3" t="n">
        <v>69077625.995</v>
      </c>
      <c r="J75" s="3" t="n">
        <v>71878625.995</v>
      </c>
      <c r="K75" s="3" t="n">
        <v>73213925.995</v>
      </c>
      <c r="L75" s="3" t="n">
        <v>76440825.995</v>
      </c>
      <c r="M75" s="3" t="n">
        <v>78401025.995</v>
      </c>
      <c r="N75" s="3" t="n">
        <v>5960415.995000005</v>
      </c>
      <c r="O75" s="3" t="n">
        <v>10767035.995</v>
      </c>
      <c r="P75" s="3" t="n">
        <v>16662885.995</v>
      </c>
      <c r="Q75" s="3" t="n">
        <v>21169785.995</v>
      </c>
      <c r="R75" s="3" t="n">
        <v>21876585.995</v>
      </c>
      <c r="S75" s="3" t="n">
        <v>23511385.995</v>
      </c>
      <c r="T75" s="3" t="n">
        <v>24669825.995</v>
      </c>
      <c r="U75" s="3" t="n">
        <v>26594455.995</v>
      </c>
      <c r="V75" s="3" t="n">
        <v>33052455.995</v>
      </c>
      <c r="W75" s="3" t="n">
        <v>40461905.995</v>
      </c>
      <c r="X75" s="3" t="n">
        <v>43935305.995</v>
      </c>
      <c r="Y75" s="3" t="n">
        <v>46330535.995</v>
      </c>
      <c r="Z75" s="3" t="n">
        <v>50738235.995</v>
      </c>
      <c r="AA75" s="3" t="n">
        <v>53675915.995</v>
      </c>
      <c r="AB75" s="3" t="n">
        <v>55892705.995</v>
      </c>
      <c r="AC75" s="3" t="n">
        <v>61395255.995</v>
      </c>
      <c r="AD75" s="3" t="n">
        <v>66428966.995</v>
      </c>
      <c r="AE75" s="3" t="n">
        <v>69198966.995</v>
      </c>
      <c r="AF75" s="3" t="n">
        <v>70016466.995</v>
      </c>
      <c r="AG75" s="3" t="n">
        <v>22862026.995</v>
      </c>
      <c r="AH75" s="3" t="n">
        <v>24608676.995</v>
      </c>
      <c r="AI75" s="3" t="n">
        <v>26670076.995</v>
      </c>
      <c r="AJ75" s="3" t="n">
        <v>30376296.995</v>
      </c>
      <c r="AK75" s="3" t="n">
        <v>35114496.995</v>
      </c>
      <c r="AL75" s="3" t="n">
        <v>36907766.995</v>
      </c>
    </row>
    <row r="76">
      <c r="A76" t="inlineStr">
        <is>
          <t>KAN|TESORERIA|USD|CC</t>
        </is>
      </c>
      <c r="B76" t="inlineStr">
        <is>
          <t>KAN</t>
        </is>
      </c>
      <c r="C76" t="inlineStr">
        <is>
          <t>TESORERIA</t>
        </is>
      </c>
      <c r="D76" t="inlineStr">
        <is>
          <t>USD</t>
        </is>
      </c>
      <c r="E76" t="inlineStr">
        <is>
          <t>CC</t>
        </is>
      </c>
      <c r="F76" t="inlineStr">
        <is>
          <t>2) DOLARES</t>
        </is>
      </c>
      <c r="G76">
        <f>IFERROR(INDEX(H76:AL76,MATCH(Resumen!$E$1,H$1:AL$1,0)),0)</f>
        <v/>
      </c>
      <c r="H76" s="3" t="n">
        <v>10620.99518948253</v>
      </c>
      <c r="I76" s="3" t="n">
        <v>10620.99518948253</v>
      </c>
      <c r="J76" s="3" t="n">
        <v>10620.99518948253</v>
      </c>
      <c r="K76" s="3" t="n">
        <v>10620.99518948253</v>
      </c>
      <c r="L76" s="3" t="n">
        <v>10620.99518948253</v>
      </c>
      <c r="M76" s="3" t="n">
        <v>10620.99518948253</v>
      </c>
      <c r="N76" s="3" t="n">
        <v>10620.99518948253</v>
      </c>
      <c r="O76" s="3" t="n">
        <v>10620.99518948253</v>
      </c>
      <c r="P76" s="3" t="n">
        <v>10620.99518948253</v>
      </c>
      <c r="Q76" s="3" t="n">
        <v>10620.99518948253</v>
      </c>
      <c r="R76" s="3" t="n">
        <v>10620.99518948253</v>
      </c>
      <c r="S76" s="3" t="n">
        <v>10620.99518948253</v>
      </c>
      <c r="T76" s="3" t="n">
        <v>11847.99518948253</v>
      </c>
      <c r="U76" s="3" t="n">
        <v>11847.99518948253</v>
      </c>
      <c r="V76" s="3" t="n">
        <v>11847.99518948253</v>
      </c>
      <c r="W76" s="3" t="n">
        <v>11847.99518948253</v>
      </c>
      <c r="X76" s="3" t="n">
        <v>11847.99518948253</v>
      </c>
      <c r="Y76" s="3" t="n">
        <v>11847.99518948253</v>
      </c>
      <c r="Z76" s="3" t="n">
        <v>11847.99518948253</v>
      </c>
      <c r="AA76" s="3" t="n">
        <v>11847.99518948253</v>
      </c>
      <c r="AB76" s="3" t="n">
        <v>12237.99518948253</v>
      </c>
      <c r="AC76" s="3" t="n">
        <v>12237.99518948253</v>
      </c>
      <c r="AD76" s="3" t="n">
        <v>12237.99518948253</v>
      </c>
      <c r="AE76" s="3" t="n">
        <v>12237.99518948253</v>
      </c>
      <c r="AF76" s="3" t="n">
        <v>12237.99518948253</v>
      </c>
      <c r="AG76" s="3" t="n">
        <v>12237.99518948253</v>
      </c>
      <c r="AH76" s="3" t="n">
        <v>12237.99518948253</v>
      </c>
      <c r="AI76" s="3" t="n">
        <v>12543.99518948253</v>
      </c>
      <c r="AJ76" s="3" t="n">
        <v>12543.99518948253</v>
      </c>
      <c r="AK76" s="3" t="n">
        <v>12543.99518948253</v>
      </c>
      <c r="AL76" s="3" t="n">
        <v>12543.99518948253</v>
      </c>
    </row>
    <row r="77">
      <c r="A77" t="inlineStr">
        <is>
          <t>KAN|TESORERIA|EUR|CC</t>
        </is>
      </c>
      <c r="B77" t="inlineStr">
        <is>
          <t>KAN</t>
        </is>
      </c>
      <c r="C77" t="inlineStr">
        <is>
          <t>TESORERIA</t>
        </is>
      </c>
      <c r="D77" t="inlineStr">
        <is>
          <t>EUR</t>
        </is>
      </c>
      <c r="E77" t="inlineStr">
        <is>
          <t>CC</t>
        </is>
      </c>
      <c r="F77" t="inlineStr">
        <is>
          <t>3) EUROS</t>
        </is>
      </c>
      <c r="G77">
        <f>IFERROR(INDEX(H77:AL77,MATCH(Resumen!$E$1,H$1:AL$1,0)),0)</f>
        <v/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</row>
    <row r="78">
      <c r="A78" t="inlineStr">
        <is>
          <t>KAN|INVERSIONES|ARS|FCI_PIONERO_PESOS</t>
        </is>
      </c>
      <c r="B78" t="inlineStr">
        <is>
          <t>KAN</t>
        </is>
      </c>
      <c r="C78" t="inlineStr">
        <is>
          <t>INVERSIONES</t>
        </is>
      </c>
      <c r="D78" t="inlineStr">
        <is>
          <t>ARS</t>
        </is>
      </c>
      <c r="F78" t="inlineStr">
        <is>
          <t>FCI Pionero Pesos</t>
        </is>
      </c>
      <c r="G78">
        <f>IFERROR(INDEX(H78:AL78,MATCH(Resumen!$E$1,H$1:AL$1,0)),0)</f>
        <v/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</row>
    <row r="79">
      <c r="A79" t="inlineStr">
        <is>
          <t>KAN|INVERSIONES|ARS|FCI_PIONERO_RENTA_AHORRO</t>
        </is>
      </c>
      <c r="B79" t="inlineStr">
        <is>
          <t>KAN</t>
        </is>
      </c>
      <c r="C79" t="inlineStr">
        <is>
          <t>INVERSIONES</t>
        </is>
      </c>
      <c r="D79" t="inlineStr">
        <is>
          <t>ARS</t>
        </is>
      </c>
      <c r="F79" t="inlineStr">
        <is>
          <t>FCI Pionero Renta Ahorro</t>
        </is>
      </c>
      <c r="G79">
        <f>IFERROR(INDEX(H79:AL79,MATCH(Resumen!$E$1,H$1:AL$1,0)),0)</f>
        <v/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</row>
    <row r="80">
      <c r="A80" t="inlineStr">
        <is>
          <t>KAN|INVERSIONES|ARS|FCI_PELLEGRINI_RENTA_PESOS</t>
        </is>
      </c>
      <c r="B80" t="inlineStr">
        <is>
          <t>KAN</t>
        </is>
      </c>
      <c r="C80" t="inlineStr">
        <is>
          <t>INVERSIONES</t>
        </is>
      </c>
      <c r="D80" t="inlineStr">
        <is>
          <t>ARS</t>
        </is>
      </c>
      <c r="F80" t="inlineStr">
        <is>
          <t>FCI Pellegrini Renta Pesos</t>
        </is>
      </c>
      <c r="G80">
        <f>IFERROR(INDEX(H80:AL80,MATCH(Resumen!$E$1,H$1:AL$1,0)),0)</f>
        <v/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</row>
    <row r="81">
      <c r="A81" t="inlineStr">
        <is>
          <t>KAN|INVERSIONES|ARS|FCI_GOAL_PESOS</t>
        </is>
      </c>
      <c r="B81" t="inlineStr">
        <is>
          <t>KAN</t>
        </is>
      </c>
      <c r="C81" t="inlineStr">
        <is>
          <t>INVERSIONES</t>
        </is>
      </c>
      <c r="D81" t="inlineStr">
        <is>
          <t>ARS</t>
        </is>
      </c>
      <c r="F81" t="inlineStr">
        <is>
          <t>FCI Goal Pesos</t>
        </is>
      </c>
      <c r="G81">
        <f>IFERROR(INDEX(H81:AL81,MATCH(Resumen!$E$1,H$1:AL$1,0)),0)</f>
        <v/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</row>
    <row r="82">
      <c r="A82" t="inlineStr">
        <is>
          <t>KAN|INVERSIONES|ARS|FCI_GOAL_CAPITAL_PLUS</t>
        </is>
      </c>
      <c r="B82" t="inlineStr">
        <is>
          <t>KAN</t>
        </is>
      </c>
      <c r="C82" t="inlineStr">
        <is>
          <t>INVERSIONES</t>
        </is>
      </c>
      <c r="D82" t="inlineStr">
        <is>
          <t>ARS</t>
        </is>
      </c>
      <c r="F82" t="inlineStr">
        <is>
          <t>FCI Goal Capital Plus</t>
        </is>
      </c>
      <c r="G82">
        <f>IFERROR(INDEX(H82:AL82,MATCH(Resumen!$E$1,H$1:AL$1,0)),0)</f>
        <v/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</row>
    <row r="83">
      <c r="A83" t="inlineStr">
        <is>
          <t>KAN|INVERSIONES|ARS|IAM_AHORRO_PESOS</t>
        </is>
      </c>
      <c r="B83" t="inlineStr">
        <is>
          <t>KAN</t>
        </is>
      </c>
      <c r="C83" t="inlineStr">
        <is>
          <t>INVERSIONES</t>
        </is>
      </c>
      <c r="D83" t="inlineStr">
        <is>
          <t>ARS</t>
        </is>
      </c>
      <c r="F83" t="inlineStr">
        <is>
          <t>IAM Ahorro Pesos</t>
        </is>
      </c>
      <c r="G83">
        <f>IFERROR(INDEX(H83:AL83,MATCH(Resumen!$E$1,H$1:AL$1,0)),0)</f>
        <v/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</row>
    <row r="84">
      <c r="A84" t="inlineStr">
        <is>
          <t>KAN|INVERSIONES|ARS|PLAZO_FIJO</t>
        </is>
      </c>
      <c r="B84" t="inlineStr">
        <is>
          <t>KAN</t>
        </is>
      </c>
      <c r="C84" t="inlineStr">
        <is>
          <t>INVERSIONES</t>
        </is>
      </c>
      <c r="D84" t="inlineStr">
        <is>
          <t>ARS</t>
        </is>
      </c>
      <c r="F84" t="inlineStr">
        <is>
          <t>Plazo Fijo</t>
        </is>
      </c>
      <c r="G84">
        <f>IFERROR(INDEX(H84:AL84,MATCH(Resumen!$E$1,H$1:AL$1,0)),0)</f>
        <v/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</row>
    <row r="85">
      <c r="A85" t="inlineStr">
        <is>
          <t>KAN|INVERSIONES|ARS|FCI_GOAL_PESOS#127</t>
        </is>
      </c>
      <c r="B85" t="inlineStr">
        <is>
          <t>KAN</t>
        </is>
      </c>
      <c r="C85" t="inlineStr">
        <is>
          <t>INVERSIONES</t>
        </is>
      </c>
      <c r="D85" t="inlineStr">
        <is>
          <t>ARS</t>
        </is>
      </c>
      <c r="F85" t="inlineStr">
        <is>
          <t>FCI Goal Pesos</t>
        </is>
      </c>
      <c r="G85">
        <f>IFERROR(INDEX(H85:AL85,MATCH(Resumen!$E$1,H$1:AL$1,0)),0)</f>
        <v/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</row>
    <row r="86">
      <c r="A86" t="inlineStr">
        <is>
          <t>REB|MACRO|ARS|CC</t>
        </is>
      </c>
      <c r="B86" t="inlineStr">
        <is>
          <t>REB</t>
        </is>
      </c>
      <c r="C86" t="inlineStr">
        <is>
          <t>MACRO</t>
        </is>
      </c>
      <c r="D86" t="inlineStr">
        <is>
          <t>ARS</t>
        </is>
      </c>
      <c r="E86" t="inlineStr">
        <is>
          <t>CC</t>
        </is>
      </c>
      <c r="F86" t="inlineStr">
        <is>
          <t>1) PESOS (CC)</t>
        </is>
      </c>
      <c r="G86">
        <f>IFERROR(INDEX(H86:AL86,MATCH(Resumen!$E$1,H$1:AL$1,0)),0)</f>
        <v/>
      </c>
      <c r="H86" s="3" t="n">
        <v>-109627107.18</v>
      </c>
      <c r="I86" s="3" t="n">
        <v>-109627107.18</v>
      </c>
      <c r="J86" s="3" t="n">
        <v>-495957575.54</v>
      </c>
      <c r="K86" s="3" t="n">
        <v>-438544893.07</v>
      </c>
      <c r="L86" s="3" t="n">
        <v>10838260.44</v>
      </c>
      <c r="M86" s="3" t="n">
        <v>50451369.16</v>
      </c>
      <c r="N86" s="3" t="n">
        <v>3562704.54</v>
      </c>
      <c r="O86" s="3" t="n">
        <v>3562704.54</v>
      </c>
      <c r="P86" s="3" t="n">
        <v>3562704.54</v>
      </c>
      <c r="Q86" s="3" t="n">
        <v>84490497.95999999</v>
      </c>
      <c r="R86" s="3" t="n">
        <v>-125905464.18</v>
      </c>
      <c r="S86" s="3" t="n">
        <v>-167075900.29</v>
      </c>
      <c r="T86" s="3" t="n">
        <v>-69875895.63</v>
      </c>
      <c r="U86" s="3" t="n">
        <v>-48833223.63</v>
      </c>
      <c r="V86" s="3" t="n">
        <v>-48833223.63</v>
      </c>
      <c r="W86" s="3" t="n">
        <v>-48833223.63</v>
      </c>
      <c r="X86" s="3" t="n">
        <v>-151593539.2</v>
      </c>
      <c r="Y86" s="3" t="n">
        <v>-151593539.2</v>
      </c>
      <c r="Z86" s="3" t="n">
        <v>-236987149.68</v>
      </c>
      <c r="AA86" s="3" t="n">
        <v>-212458165.54</v>
      </c>
      <c r="AB86" s="3" t="n">
        <v>-250813866.05</v>
      </c>
      <c r="AC86" s="3" t="n">
        <v>-250813866.05</v>
      </c>
      <c r="AD86" s="3" t="n">
        <v>-250813866.05</v>
      </c>
      <c r="AE86" s="3" t="n">
        <v>-217439871.96</v>
      </c>
      <c r="AF86" s="3" t="n">
        <v>-231711136.8</v>
      </c>
      <c r="AG86" s="3" t="n">
        <v>-222422940.37</v>
      </c>
      <c r="AH86" s="3" t="n">
        <v>-190774064.44</v>
      </c>
      <c r="AI86" s="3" t="n">
        <v>-183872141.51</v>
      </c>
      <c r="AJ86" s="3" t="n">
        <v>-183872141.51</v>
      </c>
      <c r="AK86" s="3" t="n">
        <v>-183872141.51</v>
      </c>
      <c r="AL86" s="3" t="n">
        <v>-151826237.67</v>
      </c>
    </row>
    <row r="87">
      <c r="A87" t="inlineStr">
        <is>
          <t>REB|MACRO|ARS|TRANSITO</t>
        </is>
      </c>
      <c r="B87" t="inlineStr">
        <is>
          <t>REB</t>
        </is>
      </c>
      <c r="C87" t="inlineStr">
        <is>
          <t>MACRO</t>
        </is>
      </c>
      <c r="D87" t="inlineStr">
        <is>
          <t>ARS</t>
        </is>
      </c>
      <c r="E87" t="inlineStr">
        <is>
          <t>TRANSITO</t>
        </is>
      </c>
      <c r="F87" t="inlineStr">
        <is>
          <t>Depósitos en Tránsito</t>
        </is>
      </c>
      <c r="G87">
        <f>IFERROR(INDEX(H87:AL87,MATCH(Resumen!$E$1,H$1:AL$1,0)),0)</f>
        <v/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</row>
    <row r="88">
      <c r="A88" t="inlineStr">
        <is>
          <t>REB|MACRO|ARS|CA</t>
        </is>
      </c>
      <c r="B88" t="inlineStr">
        <is>
          <t>REB</t>
        </is>
      </c>
      <c r="C88" t="inlineStr">
        <is>
          <t>MACRO</t>
        </is>
      </c>
      <c r="D88" t="inlineStr">
        <is>
          <t>ARS</t>
        </is>
      </c>
      <c r="E88" t="inlineStr">
        <is>
          <t>CA</t>
        </is>
      </c>
      <c r="F88" t="inlineStr">
        <is>
          <t>1) PESOS (CA)</t>
        </is>
      </c>
      <c r="G88">
        <f>IFERROR(INDEX(H88:AL88,MATCH(Resumen!$E$1,H$1:AL$1,0)),0)</f>
        <v/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</row>
    <row r="89">
      <c r="A89" t="inlineStr">
        <is>
          <t>REB|MACRO|USD|CC</t>
        </is>
      </c>
      <c r="B89" t="inlineStr">
        <is>
          <t>REB</t>
        </is>
      </c>
      <c r="C89" t="inlineStr">
        <is>
          <t>MACRO</t>
        </is>
      </c>
      <c r="D89" t="inlineStr">
        <is>
          <t>USD</t>
        </is>
      </c>
      <c r="E89" t="inlineStr">
        <is>
          <t>CC</t>
        </is>
      </c>
      <c r="F89" t="inlineStr">
        <is>
          <t>2) DOLARES (CC)</t>
        </is>
      </c>
      <c r="G89">
        <f>IFERROR(INDEX(H89:AL89,MATCH(Resumen!$E$1,H$1:AL$1,0)),0)</f>
        <v/>
      </c>
      <c r="H89" s="3" t="n">
        <v>2916.92</v>
      </c>
      <c r="I89" s="3" t="n">
        <v>2916.92</v>
      </c>
      <c r="J89" s="3" t="n">
        <v>2916.92</v>
      </c>
      <c r="K89" s="3" t="n">
        <v>2916.92</v>
      </c>
      <c r="L89" s="3" t="n">
        <v>2916.92</v>
      </c>
      <c r="M89" s="3" t="n">
        <v>2916.92</v>
      </c>
      <c r="N89" s="3" t="n">
        <v>2916.92</v>
      </c>
      <c r="O89" s="3" t="n">
        <v>2916.92</v>
      </c>
      <c r="P89" s="3" t="n">
        <v>2916.92</v>
      </c>
      <c r="Q89" s="3" t="n">
        <v>2916.92</v>
      </c>
      <c r="R89" s="3" t="n">
        <v>2916.92</v>
      </c>
      <c r="S89" s="3" t="n">
        <v>2916.92</v>
      </c>
      <c r="T89" s="3" t="n">
        <v>2916.92</v>
      </c>
      <c r="U89" s="3" t="n">
        <v>2916.92</v>
      </c>
      <c r="V89" s="3" t="n">
        <v>2916.92</v>
      </c>
      <c r="W89" s="3" t="n">
        <v>2916.92</v>
      </c>
      <c r="X89" s="3" t="n">
        <v>2916.92</v>
      </c>
      <c r="Y89" s="3" t="n">
        <v>2916.92</v>
      </c>
      <c r="Z89" s="3" t="n">
        <v>2916.92</v>
      </c>
      <c r="AA89" s="3" t="n">
        <v>2916.92</v>
      </c>
      <c r="AB89" s="3" t="n">
        <v>2916.92</v>
      </c>
      <c r="AC89" s="3" t="n">
        <v>2916.92</v>
      </c>
      <c r="AD89" s="3" t="n">
        <v>2916.92</v>
      </c>
      <c r="AE89" s="3" t="n">
        <v>2916.92</v>
      </c>
      <c r="AF89" s="3" t="n">
        <v>2916.92</v>
      </c>
      <c r="AG89" s="3" t="n">
        <v>2916.92</v>
      </c>
      <c r="AH89" s="3" t="n">
        <v>2916.92</v>
      </c>
      <c r="AI89" s="3" t="n">
        <v>2916.92</v>
      </c>
      <c r="AJ89" s="3" t="n">
        <v>2916.92</v>
      </c>
      <c r="AK89" s="3" t="n">
        <v>2916.92</v>
      </c>
      <c r="AL89" s="3" t="n">
        <v>2886.91</v>
      </c>
    </row>
    <row r="90">
      <c r="A90" t="inlineStr">
        <is>
          <t>REB|MACRO|USD|TRANSITO</t>
        </is>
      </c>
      <c r="B90" t="inlineStr">
        <is>
          <t>REB</t>
        </is>
      </c>
      <c r="C90" t="inlineStr">
        <is>
          <t>MACRO</t>
        </is>
      </c>
      <c r="D90" t="inlineStr">
        <is>
          <t>USD</t>
        </is>
      </c>
      <c r="E90" t="inlineStr">
        <is>
          <t>TRANSITO</t>
        </is>
      </c>
      <c r="F90" t="inlineStr">
        <is>
          <t>Depósitos en Tránsito</t>
        </is>
      </c>
      <c r="G90">
        <f>IFERROR(INDEX(H90:AL90,MATCH(Resumen!$E$1,H$1:AL$1,0)),0)</f>
        <v/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</row>
    <row r="91">
      <c r="A91" t="inlineStr">
        <is>
          <t>REB|MACRO|USD|CA</t>
        </is>
      </c>
      <c r="B91" t="inlineStr">
        <is>
          <t>REB</t>
        </is>
      </c>
      <c r="C91" t="inlineStr">
        <is>
          <t>MACRO</t>
        </is>
      </c>
      <c r="D91" t="inlineStr">
        <is>
          <t>USD</t>
        </is>
      </c>
      <c r="E91" t="inlineStr">
        <is>
          <t>CA</t>
        </is>
      </c>
      <c r="F91" t="inlineStr">
        <is>
          <t>2) DOLARES (CA)</t>
        </is>
      </c>
      <c r="G91">
        <f>IFERROR(INDEX(H91:AL91,MATCH(Resumen!$E$1,H$1:AL$1,0)),0)</f>
        <v/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</row>
    <row r="92">
      <c r="A92" t="inlineStr">
        <is>
          <t>REB|ITAU|ARS|CC</t>
        </is>
      </c>
      <c r="B92" t="inlineStr">
        <is>
          <t>REB</t>
        </is>
      </c>
      <c r="C92" t="inlineStr">
        <is>
          <t>ITAU</t>
        </is>
      </c>
      <c r="D92" t="inlineStr">
        <is>
          <t>ARS</t>
        </is>
      </c>
      <c r="E92" t="inlineStr">
        <is>
          <t>CC</t>
        </is>
      </c>
      <c r="F92" t="inlineStr">
        <is>
          <t>1) PESOS (CC)</t>
        </is>
      </c>
      <c r="G92">
        <f>IFERROR(INDEX(H92:AL92,MATCH(Resumen!$E$1,H$1:AL$1,0)),0)</f>
        <v/>
      </c>
      <c r="H92" s="3" t="n">
        <v>2935264.04</v>
      </c>
      <c r="I92" s="3" t="n">
        <v>2935264.04</v>
      </c>
      <c r="J92" s="3" t="n">
        <v>2935264.04</v>
      </c>
      <c r="K92" s="3" t="n">
        <v>1411766.69</v>
      </c>
      <c r="L92" s="3" t="n">
        <v>-1538500.29</v>
      </c>
      <c r="M92" s="3" t="n">
        <v>1461499.71</v>
      </c>
      <c r="N92" s="3" t="n">
        <v>1461499.71</v>
      </c>
      <c r="O92" s="3" t="n">
        <v>1461499.71</v>
      </c>
      <c r="P92" s="3" t="n">
        <v>1461499.71</v>
      </c>
      <c r="Q92" s="3" t="n">
        <v>1528262.91</v>
      </c>
      <c r="R92" s="3" t="n">
        <v>10251617.27</v>
      </c>
      <c r="S92" s="3" t="n">
        <v>1251239.92</v>
      </c>
      <c r="T92" s="3" t="n">
        <v>1251239.92</v>
      </c>
      <c r="U92" s="3" t="n">
        <v>1251239.92</v>
      </c>
      <c r="V92" s="3" t="n">
        <v>1251239.92</v>
      </c>
      <c r="W92" s="3" t="n">
        <v>1251239.92</v>
      </c>
      <c r="X92" s="3" t="n">
        <v>3204992.39</v>
      </c>
      <c r="Y92" s="3" t="n">
        <v>3204992.39</v>
      </c>
      <c r="Z92" s="3" t="n">
        <v>4515455.34</v>
      </c>
      <c r="AA92" s="3" t="n">
        <v>4515455.34</v>
      </c>
      <c r="AB92" s="3" t="n">
        <v>4515455.34</v>
      </c>
      <c r="AC92" s="3" t="n">
        <v>4515455.34</v>
      </c>
      <c r="AD92" s="3" t="n">
        <v>4515455.34</v>
      </c>
      <c r="AE92" s="3" t="n">
        <v>4515455.34</v>
      </c>
      <c r="AF92" s="3" t="n">
        <v>515077.99</v>
      </c>
      <c r="AG92" s="3" t="n">
        <v>515077.99</v>
      </c>
      <c r="AH92" s="3" t="n">
        <v>515077.99</v>
      </c>
      <c r="AI92" s="3" t="n">
        <v>515077.99</v>
      </c>
      <c r="AJ92" s="3" t="n">
        <v>515077.99</v>
      </c>
      <c r="AK92" s="3" t="n">
        <v>515077.99</v>
      </c>
      <c r="AL92" s="3" t="n">
        <v>12256067.54</v>
      </c>
    </row>
    <row r="93">
      <c r="A93" t="inlineStr">
        <is>
          <t>REB|ITAU|ARS|TRANSITO</t>
        </is>
      </c>
      <c r="B93" t="inlineStr">
        <is>
          <t>REB</t>
        </is>
      </c>
      <c r="C93" t="inlineStr">
        <is>
          <t>ITAU</t>
        </is>
      </c>
      <c r="D93" t="inlineStr">
        <is>
          <t>ARS</t>
        </is>
      </c>
      <c r="E93" t="inlineStr">
        <is>
          <t>TRANSITO</t>
        </is>
      </c>
      <c r="F93" t="inlineStr">
        <is>
          <t>Depósitos en Tránsito</t>
        </is>
      </c>
      <c r="G93">
        <f>IFERROR(INDEX(H93:AL93,MATCH(Resumen!$E$1,H$1:AL$1,0)),0)</f>
        <v/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</row>
    <row r="94">
      <c r="A94" t="inlineStr">
        <is>
          <t>REB|ITAU|ARS|AVELLANEDA</t>
        </is>
      </c>
      <c r="B94" t="inlineStr">
        <is>
          <t>REB</t>
        </is>
      </c>
      <c r="C94" t="inlineStr">
        <is>
          <t>ITAU</t>
        </is>
      </c>
      <c r="D94" t="inlineStr">
        <is>
          <t>ARS</t>
        </is>
      </c>
      <c r="E94" t="inlineStr">
        <is>
          <t>AVELLANEDA</t>
        </is>
      </c>
      <c r="F94" t="inlineStr">
        <is>
          <t>1) PESOS (AVELLANEDA)</t>
        </is>
      </c>
      <c r="G94">
        <f>IFERROR(INDEX(H94:AL94,MATCH(Resumen!$E$1,H$1:AL$1,0)),0)</f>
        <v/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</row>
    <row r="95">
      <c r="A95" t="inlineStr">
        <is>
          <t>REB|ITAU|USD|CC</t>
        </is>
      </c>
      <c r="B95" t="inlineStr">
        <is>
          <t>REB</t>
        </is>
      </c>
      <c r="C95" t="inlineStr">
        <is>
          <t>ITAU</t>
        </is>
      </c>
      <c r="D95" t="inlineStr">
        <is>
          <t>USD</t>
        </is>
      </c>
      <c r="E95" t="inlineStr">
        <is>
          <t>CC</t>
        </is>
      </c>
      <c r="F95" t="inlineStr">
        <is>
          <t>2) DOLARES (CC)</t>
        </is>
      </c>
      <c r="G95">
        <f>IFERROR(INDEX(H95:AL95,MATCH(Resumen!$E$1,H$1:AL$1,0)),0)</f>
        <v/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</row>
    <row r="96">
      <c r="A96" t="inlineStr">
        <is>
          <t>REB|ITAU|USD|TRANSITO</t>
        </is>
      </c>
      <c r="B96" t="inlineStr">
        <is>
          <t>REB</t>
        </is>
      </c>
      <c r="C96" t="inlineStr">
        <is>
          <t>ITAU</t>
        </is>
      </c>
      <c r="D96" t="inlineStr">
        <is>
          <t>USD</t>
        </is>
      </c>
      <c r="E96" t="inlineStr">
        <is>
          <t>TRANSITO</t>
        </is>
      </c>
      <c r="F96" t="inlineStr">
        <is>
          <t>Depósitos en Tránsito</t>
        </is>
      </c>
      <c r="G96">
        <f>IFERROR(INDEX(H96:AL96,MATCH(Resumen!$E$1,H$1:AL$1,0)),0)</f>
        <v/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</row>
    <row r="97">
      <c r="A97" t="inlineStr">
        <is>
          <t>REB|FRANCES|ARS|CC</t>
        </is>
      </c>
      <c r="B97" t="inlineStr">
        <is>
          <t>REB</t>
        </is>
      </c>
      <c r="C97" t="inlineStr">
        <is>
          <t>FRANCES</t>
        </is>
      </c>
      <c r="D97" t="inlineStr">
        <is>
          <t>ARS</t>
        </is>
      </c>
      <c r="E97" t="inlineStr">
        <is>
          <t>CC</t>
        </is>
      </c>
      <c r="F97" t="inlineStr">
        <is>
          <t>1) PESOS</t>
        </is>
      </c>
      <c r="G97">
        <f>IFERROR(INDEX(H97:AL97,MATCH(Resumen!$E$1,H$1:AL$1,0)),0)</f>
        <v/>
      </c>
      <c r="H97" s="3" t="n">
        <v>301994.7</v>
      </c>
      <c r="I97" s="3" t="n">
        <v>301994.7</v>
      </c>
      <c r="J97" s="3" t="n">
        <v>301990.7</v>
      </c>
      <c r="K97" s="3" t="n">
        <v>163769.1</v>
      </c>
      <c r="L97" s="3" t="n">
        <v>162939.78</v>
      </c>
      <c r="M97" s="3" t="n">
        <v>162939.78</v>
      </c>
      <c r="N97" s="3" t="n">
        <v>162939.78</v>
      </c>
      <c r="O97" s="3" t="n">
        <v>162939.78</v>
      </c>
      <c r="P97" s="3" t="n">
        <v>162939.78</v>
      </c>
      <c r="Q97" s="3" t="n">
        <v>162939.78</v>
      </c>
      <c r="R97" s="3" t="n">
        <v>162939.78</v>
      </c>
      <c r="S97" s="3" t="n">
        <v>162939.78</v>
      </c>
      <c r="T97" s="3" t="n">
        <v>162939.78</v>
      </c>
      <c r="U97" s="3" t="n">
        <v>162939.78</v>
      </c>
      <c r="V97" s="3" t="n">
        <v>162939.78</v>
      </c>
      <c r="W97" s="3" t="n">
        <v>162939.78</v>
      </c>
      <c r="X97" s="3" t="n">
        <v>162939.78</v>
      </c>
      <c r="Y97" s="3" t="n">
        <v>162939.78</v>
      </c>
      <c r="Z97" s="3" t="n">
        <v>162939.78</v>
      </c>
      <c r="AA97" s="3" t="n">
        <v>162939.78</v>
      </c>
      <c r="AB97" s="3" t="n">
        <v>162939.78</v>
      </c>
      <c r="AC97" s="3" t="n">
        <v>162939.78</v>
      </c>
      <c r="AD97" s="3" t="n">
        <v>162939.78</v>
      </c>
      <c r="AE97" s="3" t="n">
        <v>162939.78</v>
      </c>
      <c r="AF97" s="3" t="n">
        <v>162939.78</v>
      </c>
      <c r="AG97" s="3" t="n">
        <v>162939.78</v>
      </c>
      <c r="AH97" s="3" t="n">
        <v>162939.78</v>
      </c>
      <c r="AI97" s="3" t="n">
        <v>162939.78</v>
      </c>
      <c r="AJ97" s="3" t="n">
        <v>162939.78</v>
      </c>
      <c r="AK97" s="3" t="n">
        <v>162939.78</v>
      </c>
      <c r="AL97" s="3" t="n">
        <v>162939.78</v>
      </c>
    </row>
    <row r="98">
      <c r="A98" t="inlineStr">
        <is>
          <t>REB|FRANCES|USD|CC</t>
        </is>
      </c>
      <c r="B98" t="inlineStr">
        <is>
          <t>REB</t>
        </is>
      </c>
      <c r="C98" t="inlineStr">
        <is>
          <t>FRANCES</t>
        </is>
      </c>
      <c r="D98" t="inlineStr">
        <is>
          <t>USD</t>
        </is>
      </c>
      <c r="E98" t="inlineStr">
        <is>
          <t>CC</t>
        </is>
      </c>
      <c r="F98" t="inlineStr">
        <is>
          <t>2) DOLARES</t>
        </is>
      </c>
      <c r="G98">
        <f>IFERROR(INDEX(H98:AL98,MATCH(Resumen!$E$1,H$1:AL$1,0)),0)</f>
        <v/>
      </c>
      <c r="H98" s="3" t="n">
        <v>206.69</v>
      </c>
      <c r="I98" s="3" t="n">
        <v>206.69</v>
      </c>
      <c r="J98" s="3" t="n">
        <v>206.69</v>
      </c>
      <c r="K98" s="3" t="n">
        <v>206.69</v>
      </c>
      <c r="L98" s="3" t="n">
        <v>206.69</v>
      </c>
      <c r="M98" s="3" t="n">
        <v>206.69</v>
      </c>
      <c r="N98" s="3" t="n">
        <v>206.69</v>
      </c>
      <c r="O98" s="3" t="n">
        <v>206.69</v>
      </c>
      <c r="P98" s="3" t="n">
        <v>206.69</v>
      </c>
      <c r="Q98" s="3" t="n">
        <v>206.69</v>
      </c>
      <c r="R98" s="3" t="n">
        <v>206.69</v>
      </c>
      <c r="S98" s="3" t="n">
        <v>206.69</v>
      </c>
      <c r="T98" s="3" t="n">
        <v>206.69</v>
      </c>
      <c r="U98" s="3" t="n">
        <v>206.69</v>
      </c>
      <c r="V98" s="3" t="n">
        <v>206.69</v>
      </c>
      <c r="W98" s="3" t="n">
        <v>206.69</v>
      </c>
      <c r="X98" s="3" t="n">
        <v>206.69</v>
      </c>
      <c r="Y98" s="3" t="n">
        <v>206.69</v>
      </c>
      <c r="Z98" s="3" t="n">
        <v>206.69</v>
      </c>
      <c r="AA98" s="3" t="n">
        <v>206.69</v>
      </c>
      <c r="AB98" s="3" t="n">
        <v>206.69</v>
      </c>
      <c r="AC98" s="3" t="n">
        <v>206.69</v>
      </c>
      <c r="AD98" s="3" t="n">
        <v>206.69</v>
      </c>
      <c r="AE98" s="3" t="n">
        <v>206.69</v>
      </c>
      <c r="AF98" s="3" t="n">
        <v>206.69</v>
      </c>
      <c r="AG98" s="3" t="n">
        <v>206.69</v>
      </c>
      <c r="AH98" s="3" t="n">
        <v>206.69</v>
      </c>
      <c r="AI98" s="3" t="n">
        <v>206.69</v>
      </c>
      <c r="AJ98" s="3" t="n">
        <v>206.69</v>
      </c>
      <c r="AK98" s="3" t="n">
        <v>206.69</v>
      </c>
      <c r="AL98" s="3" t="n">
        <v>206.69</v>
      </c>
    </row>
    <row r="99">
      <c r="A99" t="inlineStr">
        <is>
          <t>REB|FRANCES|EUR|CC</t>
        </is>
      </c>
      <c r="B99" t="inlineStr">
        <is>
          <t>REB</t>
        </is>
      </c>
      <c r="C99" t="inlineStr">
        <is>
          <t>FRANCES</t>
        </is>
      </c>
      <c r="D99" t="inlineStr">
        <is>
          <t>EUR</t>
        </is>
      </c>
      <c r="E99" t="inlineStr">
        <is>
          <t>CC</t>
        </is>
      </c>
      <c r="F99" t="inlineStr">
        <is>
          <t>3) EUROS</t>
        </is>
      </c>
      <c r="G99">
        <f>IFERROR(INDEX(H99:AL99,MATCH(Resumen!$E$1,H$1:AL$1,0)),0)</f>
        <v/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</row>
    <row r="100">
      <c r="A100" t="inlineStr">
        <is>
          <t>REB|BAPRO|ARS|CC</t>
        </is>
      </c>
      <c r="B100" t="inlineStr">
        <is>
          <t>REB</t>
        </is>
      </c>
      <c r="C100" t="inlineStr">
        <is>
          <t>BAPRO</t>
        </is>
      </c>
      <c r="D100" t="inlineStr">
        <is>
          <t>ARS</t>
        </is>
      </c>
      <c r="E100" t="inlineStr">
        <is>
          <t>CC</t>
        </is>
      </c>
      <c r="F100" t="inlineStr">
        <is>
          <t>1) PESOS</t>
        </is>
      </c>
      <c r="G100">
        <f>IFERROR(INDEX(H100:AL100,MATCH(Resumen!$E$1,H$1:AL$1,0)),0)</f>
        <v/>
      </c>
      <c r="H100" s="3" t="n">
        <v>5957329.15</v>
      </c>
      <c r="I100" s="3" t="n">
        <v>5957329.15</v>
      </c>
      <c r="J100" s="3" t="n">
        <v>6072749.22</v>
      </c>
      <c r="K100" s="3" t="n">
        <v>7709655.72</v>
      </c>
      <c r="L100" s="3" t="n">
        <v>7791253.65</v>
      </c>
      <c r="M100" s="3" t="n">
        <v>7869544.1</v>
      </c>
      <c r="N100" s="3" t="n">
        <v>5246440.07</v>
      </c>
      <c r="O100" s="3" t="n">
        <v>5246440.07</v>
      </c>
      <c r="P100" s="3" t="n">
        <v>5246440.07</v>
      </c>
      <c r="Q100" s="3" t="n">
        <v>5358478.1</v>
      </c>
      <c r="R100" s="3" t="n">
        <v>5539601.2</v>
      </c>
      <c r="S100" s="3" t="n">
        <v>5611808.3</v>
      </c>
      <c r="T100" s="3" t="n">
        <v>5677318.47</v>
      </c>
      <c r="U100" s="3" t="n">
        <v>5758176.87</v>
      </c>
      <c r="V100" s="3" t="n">
        <v>5758176.87</v>
      </c>
      <c r="W100" s="3" t="n">
        <v>5758176.87</v>
      </c>
      <c r="X100" s="3" t="n">
        <v>5831658.75</v>
      </c>
      <c r="Y100" s="3" t="n">
        <v>5831658.75</v>
      </c>
      <c r="Z100" s="3" t="n">
        <v>6053291.01</v>
      </c>
      <c r="AA100" s="3" t="n">
        <v>6177343.44</v>
      </c>
      <c r="AB100" s="3" t="n">
        <v>6265904.98</v>
      </c>
      <c r="AC100" s="3" t="n">
        <v>6265904.98</v>
      </c>
      <c r="AD100" s="3" t="n">
        <v>6265904.98</v>
      </c>
      <c r="AE100" s="3" t="n">
        <v>6355632.91</v>
      </c>
      <c r="AF100" s="3" t="n">
        <v>6483886.68</v>
      </c>
      <c r="AG100" s="3" t="n">
        <v>6584867.05</v>
      </c>
      <c r="AH100" s="3" t="n">
        <v>6643568.53</v>
      </c>
      <c r="AI100" s="3" t="n">
        <v>6695607.04</v>
      </c>
      <c r="AJ100" s="3" t="n">
        <v>6695607.04</v>
      </c>
      <c r="AK100" s="3" t="n">
        <v>6695607.04</v>
      </c>
      <c r="AL100" s="3" t="n">
        <v>6711924.69</v>
      </c>
    </row>
    <row r="101">
      <c r="A101" t="inlineStr">
        <is>
          <t>REB|BAPRO|ARS|TRANSITO</t>
        </is>
      </c>
      <c r="B101" t="inlineStr">
        <is>
          <t>REB</t>
        </is>
      </c>
      <c r="C101" t="inlineStr">
        <is>
          <t>BAPRO</t>
        </is>
      </c>
      <c r="D101" t="inlineStr">
        <is>
          <t>ARS</t>
        </is>
      </c>
      <c r="E101" t="inlineStr">
        <is>
          <t>TRANSITO</t>
        </is>
      </c>
      <c r="F101" t="inlineStr">
        <is>
          <t>Depósitos en Tránsito</t>
        </is>
      </c>
      <c r="G101">
        <f>IFERROR(INDEX(H101:AL101,MATCH(Resumen!$E$1,H$1:AL$1,0)),0)</f>
        <v/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</row>
    <row r="102">
      <c r="A102" t="inlineStr">
        <is>
          <t>REB|BAPRO|USD|CC</t>
        </is>
      </c>
      <c r="B102" t="inlineStr">
        <is>
          <t>REB</t>
        </is>
      </c>
      <c r="C102" t="inlineStr">
        <is>
          <t>BAPRO</t>
        </is>
      </c>
      <c r="D102" t="inlineStr">
        <is>
          <t>USD</t>
        </is>
      </c>
      <c r="E102" t="inlineStr">
        <is>
          <t>CC</t>
        </is>
      </c>
      <c r="F102" t="inlineStr">
        <is>
          <t>2) DOLARES (CC)</t>
        </is>
      </c>
      <c r="G102">
        <f>IFERROR(INDEX(H102:AL102,MATCH(Resumen!$E$1,H$1:AL$1,0)),0)</f>
        <v/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</row>
    <row r="103">
      <c r="A103" t="inlineStr">
        <is>
          <t>REB|MACO|ARS|CC</t>
        </is>
      </c>
      <c r="B103" t="inlineStr">
        <is>
          <t>REB</t>
        </is>
      </c>
      <c r="C103" t="inlineStr">
        <is>
          <t>MACO</t>
        </is>
      </c>
      <c r="D103" t="inlineStr">
        <is>
          <t>ARS</t>
        </is>
      </c>
      <c r="E103" t="inlineStr">
        <is>
          <t>CC</t>
        </is>
      </c>
      <c r="F103" t="inlineStr">
        <is>
          <t>1) PESOS</t>
        </is>
      </c>
      <c r="G103">
        <f>IFERROR(INDEX(H103:AL103,MATCH(Resumen!$E$1,H$1:AL$1,0)),0)</f>
        <v/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</row>
    <row r="104">
      <c r="A104" t="inlineStr">
        <is>
          <t>REB|MACO|USD|CC</t>
        </is>
      </c>
      <c r="B104" t="inlineStr">
        <is>
          <t>REB</t>
        </is>
      </c>
      <c r="C104" t="inlineStr">
        <is>
          <t>MACO</t>
        </is>
      </c>
      <c r="D104" t="inlineStr">
        <is>
          <t>USD</t>
        </is>
      </c>
      <c r="E104" t="inlineStr">
        <is>
          <t>CC</t>
        </is>
      </c>
      <c r="F104" t="inlineStr">
        <is>
          <t>2) DOLARES</t>
        </is>
      </c>
      <c r="G104">
        <f>IFERROR(INDEX(H104:AL104,MATCH(Resumen!$E$1,H$1:AL$1,0)),0)</f>
        <v/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</row>
    <row r="105">
      <c r="A105" t="inlineStr">
        <is>
          <t>REB|MACO|EUR|CC</t>
        </is>
      </c>
      <c r="B105" t="inlineStr">
        <is>
          <t>REB</t>
        </is>
      </c>
      <c r="C105" t="inlineStr">
        <is>
          <t>MACO</t>
        </is>
      </c>
      <c r="D105" t="inlineStr">
        <is>
          <t>EUR</t>
        </is>
      </c>
      <c r="E105" t="inlineStr">
        <is>
          <t>CC</t>
        </is>
      </c>
      <c r="F105" t="inlineStr">
        <is>
          <t>3) EUROS</t>
        </is>
      </c>
      <c r="G105">
        <f>IFERROR(INDEX(H105:AL105,MATCH(Resumen!$E$1,H$1:AL$1,0)),0)</f>
        <v/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</row>
    <row r="106">
      <c r="A106" t="inlineStr">
        <is>
          <t>REB|BNA|ARS|CC</t>
        </is>
      </c>
      <c r="B106" t="inlineStr">
        <is>
          <t>REB</t>
        </is>
      </c>
      <c r="C106" t="inlineStr">
        <is>
          <t>BNA</t>
        </is>
      </c>
      <c r="D106" t="inlineStr">
        <is>
          <t>ARS</t>
        </is>
      </c>
      <c r="E106" t="inlineStr">
        <is>
          <t>CC</t>
        </is>
      </c>
      <c r="F106" t="inlineStr">
        <is>
          <t>1) PESOS (CC)</t>
        </is>
      </c>
      <c r="G106">
        <f>IFERROR(INDEX(H106:AL106,MATCH(Resumen!$E$1,H$1:AL$1,0)),0)</f>
        <v/>
      </c>
      <c r="H106" s="3" t="n">
        <v>603838.33</v>
      </c>
      <c r="I106" s="3" t="n">
        <v>603838.33</v>
      </c>
      <c r="J106" s="3" t="n">
        <v>517764.97</v>
      </c>
      <c r="K106" s="3" t="n">
        <v>517764.97</v>
      </c>
      <c r="L106" s="3" t="n">
        <v>517764.97</v>
      </c>
      <c r="M106" s="3" t="n">
        <v>517764.97</v>
      </c>
      <c r="N106" s="3" t="n">
        <v>517764.97</v>
      </c>
      <c r="O106" s="3" t="n">
        <v>517764.97</v>
      </c>
      <c r="P106" s="3" t="n">
        <v>517764.97</v>
      </c>
      <c r="Q106" s="3" t="n">
        <v>517764.97</v>
      </c>
      <c r="R106" s="3" t="n">
        <v>517764.97</v>
      </c>
      <c r="S106" s="3" t="n">
        <v>517764.97</v>
      </c>
      <c r="T106" s="3" t="n">
        <v>517764.97</v>
      </c>
      <c r="U106" s="3" t="n">
        <v>517764.97</v>
      </c>
      <c r="V106" s="3" t="n">
        <v>517764.97</v>
      </c>
      <c r="W106" s="3" t="n">
        <v>517764.97</v>
      </c>
      <c r="X106" s="3" t="n">
        <v>517764.97</v>
      </c>
      <c r="Y106" s="3" t="n">
        <v>517764.97</v>
      </c>
      <c r="Z106" s="3" t="n">
        <v>517764.97</v>
      </c>
      <c r="AA106" s="3" t="n">
        <v>517764.97</v>
      </c>
      <c r="AB106" s="3" t="n">
        <v>517764.97</v>
      </c>
      <c r="AC106" s="3" t="n">
        <v>517764.97</v>
      </c>
      <c r="AD106" s="3" t="n">
        <v>517764.97</v>
      </c>
      <c r="AE106" s="3" t="n">
        <v>517764.97</v>
      </c>
      <c r="AF106" s="3" t="n">
        <v>517764.97</v>
      </c>
      <c r="AG106" s="3" t="n">
        <v>517764.97</v>
      </c>
      <c r="AH106" s="3" t="n">
        <v>517764.97</v>
      </c>
      <c r="AI106" s="3" t="n">
        <v>517764.97</v>
      </c>
      <c r="AJ106" s="3" t="n">
        <v>517764.97</v>
      </c>
      <c r="AK106" s="3" t="n">
        <v>517764.97</v>
      </c>
      <c r="AL106" s="3" t="n">
        <v>431691.61</v>
      </c>
    </row>
    <row r="107">
      <c r="A107" t="inlineStr">
        <is>
          <t>REB|BNA|ARS|TRANSITO</t>
        </is>
      </c>
      <c r="B107" t="inlineStr">
        <is>
          <t>REB</t>
        </is>
      </c>
      <c r="C107" t="inlineStr">
        <is>
          <t>BNA</t>
        </is>
      </c>
      <c r="D107" t="inlineStr">
        <is>
          <t>ARS</t>
        </is>
      </c>
      <c r="E107" t="inlineStr">
        <is>
          <t>TRANSITO</t>
        </is>
      </c>
      <c r="F107" t="inlineStr">
        <is>
          <t>Depósitos en Tránsito</t>
        </is>
      </c>
      <c r="G107">
        <f>IFERROR(INDEX(H107:AL107,MATCH(Resumen!$E$1,H$1:AL$1,0)),0)</f>
        <v/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</row>
    <row r="108">
      <c r="A108" t="inlineStr">
        <is>
          <t>REB|BNA|USD|CC</t>
        </is>
      </c>
      <c r="B108" t="inlineStr">
        <is>
          <t>REB</t>
        </is>
      </c>
      <c r="C108" t="inlineStr">
        <is>
          <t>BNA</t>
        </is>
      </c>
      <c r="D108" t="inlineStr">
        <is>
          <t>USD</t>
        </is>
      </c>
      <c r="E108" t="inlineStr">
        <is>
          <t>CC</t>
        </is>
      </c>
      <c r="F108" t="inlineStr">
        <is>
          <t>2) DOLARES (CC)</t>
        </is>
      </c>
      <c r="G108">
        <f>IFERROR(INDEX(H108:AL108,MATCH(Resumen!$E$1,H$1:AL$1,0)),0)</f>
        <v/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</row>
    <row r="109">
      <c r="A109" t="inlineStr">
        <is>
          <t>REB|BNA|USD|TRANSITO</t>
        </is>
      </c>
      <c r="B109" t="inlineStr">
        <is>
          <t>REB</t>
        </is>
      </c>
      <c r="C109" t="inlineStr">
        <is>
          <t>BNA</t>
        </is>
      </c>
      <c r="D109" t="inlineStr">
        <is>
          <t>USD</t>
        </is>
      </c>
      <c r="E109" t="inlineStr">
        <is>
          <t>TRANSITO</t>
        </is>
      </c>
      <c r="F109" t="inlineStr">
        <is>
          <t>Depósitos en Tránsito</t>
        </is>
      </c>
      <c r="G109">
        <f>IFERROR(INDEX(H109:AL109,MATCH(Resumen!$E$1,H$1:AL$1,0)),0)</f>
        <v/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</row>
    <row r="110">
      <c r="A110" t="inlineStr">
        <is>
          <t>REB|BIBANK|ARS|CC</t>
        </is>
      </c>
      <c r="B110" t="inlineStr">
        <is>
          <t>REB</t>
        </is>
      </c>
      <c r="C110" t="inlineStr">
        <is>
          <t>BIBANK</t>
        </is>
      </c>
      <c r="D110" t="inlineStr">
        <is>
          <t>ARS</t>
        </is>
      </c>
      <c r="E110" t="inlineStr">
        <is>
          <t>CC</t>
        </is>
      </c>
      <c r="F110" t="inlineStr">
        <is>
          <t>1) PESOS (CC)</t>
        </is>
      </c>
      <c r="G110">
        <f>IFERROR(INDEX(H110:AL110,MATCH(Resumen!$E$1,H$1:AL$1,0)),0)</f>
        <v/>
      </c>
      <c r="H110" s="3" t="n">
        <v>1399901.34</v>
      </c>
      <c r="I110" s="3" t="n">
        <v>1399901.34</v>
      </c>
      <c r="J110" s="3" t="n">
        <v>1966123.01</v>
      </c>
      <c r="K110" s="3" t="n">
        <v>-158877704.12</v>
      </c>
      <c r="L110" s="3" t="n">
        <v>1419241.7</v>
      </c>
      <c r="M110" s="3" t="n">
        <v>1277681.71</v>
      </c>
      <c r="N110" s="3" t="n">
        <v>1777884.19</v>
      </c>
      <c r="O110" s="3" t="n">
        <v>1777884.19</v>
      </c>
      <c r="P110" s="3" t="n">
        <v>1777884.19</v>
      </c>
      <c r="Q110" s="3" t="n">
        <v>1069525.12</v>
      </c>
      <c r="R110" s="3" t="n">
        <v>1957705.2</v>
      </c>
      <c r="S110" s="3" t="n">
        <v>1654144.68</v>
      </c>
      <c r="T110" s="3" t="n">
        <v>1728000.13</v>
      </c>
      <c r="U110" s="3" t="n">
        <v>1728000.13</v>
      </c>
      <c r="V110" s="3" t="n">
        <v>1728000.13</v>
      </c>
      <c r="W110" s="3" t="n">
        <v>1728000.13</v>
      </c>
      <c r="X110" s="3" t="n">
        <v>1688672.61</v>
      </c>
      <c r="Y110" s="3" t="n">
        <v>1688672.61</v>
      </c>
      <c r="Z110" s="3" t="n">
        <v>1006677.22</v>
      </c>
      <c r="AA110" s="3" t="n">
        <v>1237262.2</v>
      </c>
      <c r="AB110" s="3" t="n">
        <v>1131026.47</v>
      </c>
      <c r="AC110" s="3" t="n">
        <v>1131026.47</v>
      </c>
      <c r="AD110" s="3" t="n">
        <v>1131026.47</v>
      </c>
      <c r="AE110" s="3" t="n">
        <v>1068790.02</v>
      </c>
      <c r="AF110" s="3" t="n">
        <v>1712762.41</v>
      </c>
      <c r="AG110" s="3" t="n">
        <v>1649606.6</v>
      </c>
      <c r="AH110" s="3" t="n">
        <v>1802856.99</v>
      </c>
      <c r="AI110" s="3" t="n">
        <v>44024836.67</v>
      </c>
      <c r="AJ110" s="3" t="n">
        <v>44024836.67</v>
      </c>
      <c r="AK110" s="3" t="n">
        <v>44024836.67</v>
      </c>
      <c r="AL110" s="3" t="n">
        <v>1646449.41</v>
      </c>
    </row>
    <row r="111">
      <c r="A111" t="inlineStr">
        <is>
          <t>REB|BIBANK|ARS|TRANSITO</t>
        </is>
      </c>
      <c r="B111" t="inlineStr">
        <is>
          <t>REB</t>
        </is>
      </c>
      <c r="C111" t="inlineStr">
        <is>
          <t>BIBANK</t>
        </is>
      </c>
      <c r="D111" t="inlineStr">
        <is>
          <t>ARS</t>
        </is>
      </c>
      <c r="E111" t="inlineStr">
        <is>
          <t>TRANSITO</t>
        </is>
      </c>
      <c r="F111" t="inlineStr">
        <is>
          <t>Depósitos en Tránsito</t>
        </is>
      </c>
      <c r="G111">
        <f>IFERROR(INDEX(H111:AL111,MATCH(Resumen!$E$1,H$1:AL$1,0)),0)</f>
        <v/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</row>
    <row r="112">
      <c r="A112" t="inlineStr">
        <is>
          <t>REB|BIBANK|USD|CC</t>
        </is>
      </c>
      <c r="B112" t="inlineStr">
        <is>
          <t>REB</t>
        </is>
      </c>
      <c r="C112" t="inlineStr">
        <is>
          <t>BIBANK</t>
        </is>
      </c>
      <c r="D112" t="inlineStr">
        <is>
          <t>USD</t>
        </is>
      </c>
      <c r="E112" t="inlineStr">
        <is>
          <t>CC</t>
        </is>
      </c>
      <c r="F112" t="inlineStr">
        <is>
          <t>2) DOLARES (CC)</t>
        </is>
      </c>
      <c r="G112">
        <f>IFERROR(INDEX(H112:AL112,MATCH(Resumen!$E$1,H$1:AL$1,0)),0)</f>
        <v/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</row>
    <row r="113">
      <c r="A113" t="inlineStr">
        <is>
          <t>REB|BIBANK|USD|TRANSITO</t>
        </is>
      </c>
      <c r="B113" t="inlineStr">
        <is>
          <t>REB</t>
        </is>
      </c>
      <c r="C113" t="inlineStr">
        <is>
          <t>BIBANK</t>
        </is>
      </c>
      <c r="D113" t="inlineStr">
        <is>
          <t>USD</t>
        </is>
      </c>
      <c r="E113" t="inlineStr">
        <is>
          <t>TRANSITO</t>
        </is>
      </c>
      <c r="F113" t="inlineStr">
        <is>
          <t>Depósitos en Tránsito</t>
        </is>
      </c>
      <c r="G113">
        <f>IFERROR(INDEX(H113:AL113,MATCH(Resumen!$E$1,H$1:AL$1,0)),0)</f>
        <v/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</row>
    <row r="114">
      <c r="A114" t="inlineStr">
        <is>
          <t>REB|BIND|ARS|CC</t>
        </is>
      </c>
      <c r="B114" t="inlineStr">
        <is>
          <t>REB</t>
        </is>
      </c>
      <c r="C114" t="inlineStr">
        <is>
          <t>BIND</t>
        </is>
      </c>
      <c r="D114" t="inlineStr">
        <is>
          <t>ARS</t>
        </is>
      </c>
      <c r="E114" t="inlineStr">
        <is>
          <t>CC</t>
        </is>
      </c>
      <c r="F114" t="inlineStr">
        <is>
          <t>1) PESOS (CC)</t>
        </is>
      </c>
      <c r="G114">
        <f>IFERROR(INDEX(H114:AL114,MATCH(Resumen!$E$1,H$1:AL$1,0)),0)</f>
        <v/>
      </c>
      <c r="H114" s="3" t="n">
        <v>2314674.2</v>
      </c>
      <c r="I114" s="3" t="n">
        <v>2314674.2</v>
      </c>
      <c r="J114" s="3" t="n">
        <v>2314674.2</v>
      </c>
      <c r="K114" s="3" t="n">
        <v>2190254.23</v>
      </c>
      <c r="L114" s="3" t="n">
        <v>2190254.23</v>
      </c>
      <c r="M114" s="3" t="n">
        <v>2190254.23</v>
      </c>
      <c r="N114" s="3" t="n">
        <v>2190254.23</v>
      </c>
      <c r="O114" s="3" t="n">
        <v>2190254.23</v>
      </c>
      <c r="P114" s="3" t="n">
        <v>2190254.23</v>
      </c>
      <c r="Q114" s="3" t="n">
        <v>2190254.23</v>
      </c>
      <c r="R114" s="3" t="n">
        <v>2190254.23</v>
      </c>
      <c r="S114" s="3" t="n">
        <v>2190254.23</v>
      </c>
      <c r="T114" s="3" t="n">
        <v>2190254.23</v>
      </c>
      <c r="U114" s="3" t="n">
        <v>2190254.23</v>
      </c>
      <c r="V114" s="3" t="n">
        <v>2190254.23</v>
      </c>
      <c r="W114" s="3" t="n">
        <v>2190254.23</v>
      </c>
      <c r="X114" s="3" t="n">
        <v>2190254.23</v>
      </c>
      <c r="Y114" s="3" t="n">
        <v>2190254.23</v>
      </c>
      <c r="Z114" s="3" t="n">
        <v>2190254.23</v>
      </c>
      <c r="AA114" s="3" t="n">
        <v>2190254.23</v>
      </c>
      <c r="AB114" s="3" t="n">
        <v>2190254.23</v>
      </c>
      <c r="AC114" s="3" t="n">
        <v>2190254.23</v>
      </c>
      <c r="AD114" s="3" t="n">
        <v>2190254.23</v>
      </c>
      <c r="AE114" s="3" t="n">
        <v>2190254.23</v>
      </c>
      <c r="AF114" s="3" t="n">
        <v>2190254.23</v>
      </c>
      <c r="AG114" s="3" t="n">
        <v>2190254.23</v>
      </c>
      <c r="AH114" s="3" t="n">
        <v>2190254.23</v>
      </c>
      <c r="AI114" s="3" t="n">
        <v>2190254.23</v>
      </c>
      <c r="AJ114" s="3" t="n">
        <v>2190254.23</v>
      </c>
      <c r="AK114" s="3" t="n">
        <v>2190254.23</v>
      </c>
      <c r="AL114" s="3" t="n">
        <v>2190254.23</v>
      </c>
    </row>
    <row r="115">
      <c r="A115" t="inlineStr">
        <is>
          <t>REB|BIND|ARS|TRANSITO</t>
        </is>
      </c>
      <c r="B115" t="inlineStr">
        <is>
          <t>REB</t>
        </is>
      </c>
      <c r="C115" t="inlineStr">
        <is>
          <t>BIND</t>
        </is>
      </c>
      <c r="D115" t="inlineStr">
        <is>
          <t>ARS</t>
        </is>
      </c>
      <c r="E115" t="inlineStr">
        <is>
          <t>TRANSITO</t>
        </is>
      </c>
      <c r="F115" t="inlineStr">
        <is>
          <t>Depósitos en Tránsito</t>
        </is>
      </c>
      <c r="G115">
        <f>IFERROR(INDEX(H115:AL115,MATCH(Resumen!$E$1,H$1:AL$1,0)),0)</f>
        <v/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</row>
    <row r="116">
      <c r="A116" t="inlineStr">
        <is>
          <t>REB|BIND|USD|CC</t>
        </is>
      </c>
      <c r="B116" t="inlineStr">
        <is>
          <t>REB</t>
        </is>
      </c>
      <c r="C116" t="inlineStr">
        <is>
          <t>BIND</t>
        </is>
      </c>
      <c r="D116" t="inlineStr">
        <is>
          <t>USD</t>
        </is>
      </c>
      <c r="E116" t="inlineStr">
        <is>
          <t>CC</t>
        </is>
      </c>
      <c r="F116" t="inlineStr">
        <is>
          <t>2) DOLARES (CC)</t>
        </is>
      </c>
      <c r="G116">
        <f>IFERROR(INDEX(H116:AL116,MATCH(Resumen!$E$1,H$1:AL$1,0)),0)</f>
        <v/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</row>
    <row r="117">
      <c r="A117" t="inlineStr">
        <is>
          <t>REB|BIND|USD|TRANSITO</t>
        </is>
      </c>
      <c r="B117" t="inlineStr">
        <is>
          <t>REB</t>
        </is>
      </c>
      <c r="C117" t="inlineStr">
        <is>
          <t>BIND</t>
        </is>
      </c>
      <c r="D117" t="inlineStr">
        <is>
          <t>USD</t>
        </is>
      </c>
      <c r="E117" t="inlineStr">
        <is>
          <t>TRANSITO</t>
        </is>
      </c>
      <c r="F117" t="inlineStr">
        <is>
          <t>Depósitos en Tránsito</t>
        </is>
      </c>
      <c r="G117">
        <f>IFERROR(INDEX(H117:AL117,MATCH(Resumen!$E$1,H$1:AL$1,0)),0)</f>
        <v/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</row>
    <row r="118">
      <c r="A118" t="inlineStr">
        <is>
          <t>REB|TESORERIA|ARS|CC</t>
        </is>
      </c>
      <c r="B118" t="inlineStr">
        <is>
          <t>REB</t>
        </is>
      </c>
      <c r="C118" t="inlineStr">
        <is>
          <t>TESORERIA</t>
        </is>
      </c>
      <c r="D118" t="inlineStr">
        <is>
          <t>ARS</t>
        </is>
      </c>
      <c r="E118" t="inlineStr">
        <is>
          <t>CC</t>
        </is>
      </c>
      <c r="F118" t="inlineStr">
        <is>
          <t>1) PESOS</t>
        </is>
      </c>
      <c r="G118">
        <f>IFERROR(INDEX(H118:AL118,MATCH(Resumen!$E$1,H$1:AL$1,0)),0)</f>
        <v/>
      </c>
      <c r="H118" s="3" t="n">
        <v>128678781.999</v>
      </c>
      <c r="I118" s="3" t="n">
        <v>152524871.999</v>
      </c>
      <c r="J118" s="3" t="n">
        <v>116403121.999</v>
      </c>
      <c r="K118" s="3" t="n">
        <v>117454371.999</v>
      </c>
      <c r="L118" s="3" t="n">
        <v>124320671.999</v>
      </c>
      <c r="M118" s="3" t="n">
        <v>124320671.999</v>
      </c>
      <c r="N118" s="3" t="n">
        <v>80249821.99899998</v>
      </c>
      <c r="O118" s="3" t="n">
        <v>84415171.99899998</v>
      </c>
      <c r="P118" s="3" t="n">
        <v>88580521.99899998</v>
      </c>
      <c r="Q118" s="3" t="n">
        <v>119261321.999</v>
      </c>
      <c r="R118" s="3" t="n">
        <v>133618721.999</v>
      </c>
      <c r="S118" s="3" t="n">
        <v>75577571.99899998</v>
      </c>
      <c r="T118" s="3" t="n">
        <v>78861271.99899998</v>
      </c>
      <c r="U118" s="3" t="n">
        <v>81613821.99899998</v>
      </c>
      <c r="V118" s="3" t="n">
        <v>84014431.99899998</v>
      </c>
      <c r="W118" s="3" t="n">
        <v>89022931.99899998</v>
      </c>
      <c r="X118" s="3" t="n">
        <v>99753131.99899998</v>
      </c>
      <c r="Y118" s="3" t="n">
        <v>101487101.999</v>
      </c>
      <c r="Z118" s="3" t="n">
        <v>102954211.999</v>
      </c>
      <c r="AA118" s="3" t="n">
        <v>105363981.999</v>
      </c>
      <c r="AB118" s="3" t="n">
        <v>107321081.999</v>
      </c>
      <c r="AC118" s="3" t="n">
        <v>110069361.999</v>
      </c>
      <c r="AD118" s="3" t="n">
        <v>116173921.999</v>
      </c>
      <c r="AE118" s="3" t="n">
        <v>119168421.999</v>
      </c>
      <c r="AF118" s="3" t="n">
        <v>126760821.999</v>
      </c>
      <c r="AG118" s="3" t="n">
        <v>127781421.999</v>
      </c>
      <c r="AH118" s="3" t="n">
        <v>130235031.999</v>
      </c>
      <c r="AI118" s="3" t="n">
        <v>132431191.999</v>
      </c>
      <c r="AJ118" s="3" t="n">
        <v>134571641.999</v>
      </c>
      <c r="AK118" s="3" t="n">
        <v>138727141.999</v>
      </c>
      <c r="AL118" s="3" t="n">
        <v>149855891.999</v>
      </c>
    </row>
    <row r="119">
      <c r="A119" t="inlineStr">
        <is>
          <t>REB|TESORERIA|USD|CC</t>
        </is>
      </c>
      <c r="B119" t="inlineStr">
        <is>
          <t>REB</t>
        </is>
      </c>
      <c r="C119" t="inlineStr">
        <is>
          <t>TESORERIA</t>
        </is>
      </c>
      <c r="D119" t="inlineStr">
        <is>
          <t>USD</t>
        </is>
      </c>
      <c r="E119" t="inlineStr">
        <is>
          <t>CC</t>
        </is>
      </c>
      <c r="F119" t="inlineStr">
        <is>
          <t>2) DOLARES</t>
        </is>
      </c>
      <c r="G119">
        <f>IFERROR(INDEX(H119:AL119,MATCH(Resumen!$E$1,H$1:AL$1,0)),0)</f>
        <v/>
      </c>
      <c r="H119" s="3" t="n">
        <v>3629.998590042669</v>
      </c>
      <c r="I119" s="3" t="n">
        <v>3629.998590042669</v>
      </c>
      <c r="J119" s="3" t="n">
        <v>3629.998590042669</v>
      </c>
      <c r="K119" s="3" t="n">
        <v>3629.998590042669</v>
      </c>
      <c r="L119" s="3" t="n">
        <v>3629.998590042669</v>
      </c>
      <c r="M119" s="3" t="n">
        <v>3629.998590042669</v>
      </c>
      <c r="N119" s="3" t="n">
        <v>3629.998590042669</v>
      </c>
      <c r="O119" s="3" t="n">
        <v>3629.998590042669</v>
      </c>
      <c r="P119" s="3" t="n">
        <v>3629.998590042669</v>
      </c>
      <c r="Q119" s="3" t="n">
        <v>3629.998590042669</v>
      </c>
      <c r="R119" s="3" t="n">
        <v>3629.998590042669</v>
      </c>
      <c r="S119" s="3" t="n">
        <v>3629.998590042669</v>
      </c>
      <c r="T119" s="3" t="n">
        <v>3629.998590042669</v>
      </c>
      <c r="U119" s="3" t="n">
        <v>3999.998590042669</v>
      </c>
      <c r="V119" s="3" t="n">
        <v>3999.998590042669</v>
      </c>
      <c r="W119" s="3" t="n">
        <v>3999.998590042669</v>
      </c>
      <c r="X119" s="3" t="n">
        <v>3999.998590042669</v>
      </c>
      <c r="Y119" s="3" t="n">
        <v>3999.998590042669</v>
      </c>
      <c r="Z119" s="3" t="n">
        <v>3999.998590042669</v>
      </c>
      <c r="AA119" s="3" t="n">
        <v>3999.998590042669</v>
      </c>
      <c r="AB119" s="3" t="n">
        <v>3999.998590042669</v>
      </c>
      <c r="AC119" s="3" t="n">
        <v>4045.998590042669</v>
      </c>
      <c r="AD119" s="3" t="n">
        <v>4045.998590042669</v>
      </c>
      <c r="AE119" s="3" t="n">
        <v>4045.998590042669</v>
      </c>
      <c r="AF119" s="3" t="n">
        <v>4045.998590042669</v>
      </c>
      <c r="AG119" s="3" t="n">
        <v>4045.998590042669</v>
      </c>
      <c r="AH119" s="3" t="n">
        <v>4045.998590042669</v>
      </c>
      <c r="AI119" s="3" t="n">
        <v>4045.998590042669</v>
      </c>
      <c r="AJ119" s="3" t="n">
        <v>4135.998590042669</v>
      </c>
      <c r="AK119" s="3" t="n">
        <v>4135.998590042669</v>
      </c>
      <c r="AL119" s="3" t="n">
        <v>4135.998590042669</v>
      </c>
    </row>
    <row r="120">
      <c r="A120" t="inlineStr">
        <is>
          <t>REB|TESORERIA|EUR|CC</t>
        </is>
      </c>
      <c r="B120" t="inlineStr">
        <is>
          <t>REB</t>
        </is>
      </c>
      <c r="C120" t="inlineStr">
        <is>
          <t>TESORERIA</t>
        </is>
      </c>
      <c r="D120" t="inlineStr">
        <is>
          <t>EUR</t>
        </is>
      </c>
      <c r="E120" t="inlineStr">
        <is>
          <t>CC</t>
        </is>
      </c>
      <c r="F120" t="inlineStr">
        <is>
          <t>3) EUROS</t>
        </is>
      </c>
      <c r="G120">
        <f>IFERROR(INDEX(H120:AL120,MATCH(Resumen!$E$1,H$1:AL$1,0)),0)</f>
        <v/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</row>
    <row r="121">
      <c r="A121" t="inlineStr">
        <is>
          <t>REB|INVERSIONES|ARS|FCI_PIONERO_PESOS</t>
        </is>
      </c>
      <c r="B121" t="inlineStr">
        <is>
          <t>REB</t>
        </is>
      </c>
      <c r="C121" t="inlineStr">
        <is>
          <t>INVERSIONES</t>
        </is>
      </c>
      <c r="D121" t="inlineStr">
        <is>
          <t>ARS</t>
        </is>
      </c>
      <c r="F121" t="inlineStr">
        <is>
          <t>FCI Pionero Pesos</t>
        </is>
      </c>
      <c r="G121">
        <f>IFERROR(INDEX(H121:AL121,MATCH(Resumen!$E$1,H$1:AL$1,0)),0)</f>
        <v/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</row>
    <row r="122">
      <c r="A122" t="inlineStr">
        <is>
          <t>REB|INVERSIONES|ARS|FCI_PIONERO_RENTA_AHORRO</t>
        </is>
      </c>
      <c r="B122" t="inlineStr">
        <is>
          <t>REB</t>
        </is>
      </c>
      <c r="C122" t="inlineStr">
        <is>
          <t>INVERSIONES</t>
        </is>
      </c>
      <c r="D122" t="inlineStr">
        <is>
          <t>ARS</t>
        </is>
      </c>
      <c r="F122" t="inlineStr">
        <is>
          <t>FCI Pionero Renta Ahorro</t>
        </is>
      </c>
      <c r="G122">
        <f>IFERROR(INDEX(H122:AL122,MATCH(Resumen!$E$1,H$1:AL$1,0)),0)</f>
        <v/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</row>
    <row r="123">
      <c r="A123" t="inlineStr">
        <is>
          <t>REB|INVERSIONES|ARS|FCI_PELLEGRINI_RENTA_PESOS</t>
        </is>
      </c>
      <c r="B123" t="inlineStr">
        <is>
          <t>REB</t>
        </is>
      </c>
      <c r="C123" t="inlineStr">
        <is>
          <t>INVERSIONES</t>
        </is>
      </c>
      <c r="D123" t="inlineStr">
        <is>
          <t>ARS</t>
        </is>
      </c>
      <c r="F123" t="inlineStr">
        <is>
          <t>FCI Pellegrini Renta Pesos</t>
        </is>
      </c>
      <c r="G123">
        <f>IFERROR(INDEX(H123:AL123,MATCH(Resumen!$E$1,H$1:AL$1,0)),0)</f>
        <v/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</row>
    <row r="124">
      <c r="A124" t="inlineStr">
        <is>
          <t>REB|INVERSIONES|ARS|FCI_GOAL_PESOS</t>
        </is>
      </c>
      <c r="B124" t="inlineStr">
        <is>
          <t>REB</t>
        </is>
      </c>
      <c r="C124" t="inlineStr">
        <is>
          <t>INVERSIONES</t>
        </is>
      </c>
      <c r="D124" t="inlineStr">
        <is>
          <t>ARS</t>
        </is>
      </c>
      <c r="F124" t="inlineStr">
        <is>
          <t>FCI Goal Pesos</t>
        </is>
      </c>
      <c r="G124">
        <f>IFERROR(INDEX(H124:AL124,MATCH(Resumen!$E$1,H$1:AL$1,0)),0)</f>
        <v/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</row>
    <row r="125">
      <c r="A125" t="inlineStr">
        <is>
          <t>REB|INVERSIONES|ARS|FCI_GOAL_CAPITAL_PLUS</t>
        </is>
      </c>
      <c r="B125" t="inlineStr">
        <is>
          <t>REB</t>
        </is>
      </c>
      <c r="C125" t="inlineStr">
        <is>
          <t>INVERSIONES</t>
        </is>
      </c>
      <c r="D125" t="inlineStr">
        <is>
          <t>ARS</t>
        </is>
      </c>
      <c r="F125" t="inlineStr">
        <is>
          <t>FCI Goal Capital Plus</t>
        </is>
      </c>
      <c r="G125">
        <f>IFERROR(INDEX(H125:AL125,MATCH(Resumen!$E$1,H$1:AL$1,0)),0)</f>
        <v/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</row>
    <row r="126">
      <c r="A126" t="inlineStr">
        <is>
          <t>REB|INVERSIONES|ARS|IAM_AHORRO_PESOS</t>
        </is>
      </c>
      <c r="B126" t="inlineStr">
        <is>
          <t>REB</t>
        </is>
      </c>
      <c r="C126" t="inlineStr">
        <is>
          <t>INVERSIONES</t>
        </is>
      </c>
      <c r="D126" t="inlineStr">
        <is>
          <t>ARS</t>
        </is>
      </c>
      <c r="F126" t="inlineStr">
        <is>
          <t>IAM Ahorro Pesos</t>
        </is>
      </c>
      <c r="G126">
        <f>IFERROR(INDEX(H126:AL126,MATCH(Resumen!$E$1,H$1:AL$1,0)),0)</f>
        <v/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</row>
    <row r="127">
      <c r="A127" t="inlineStr">
        <is>
          <t>REB|INVERSIONES|ARS|PLAZO_FIJO</t>
        </is>
      </c>
      <c r="B127" t="inlineStr">
        <is>
          <t>REB</t>
        </is>
      </c>
      <c r="C127" t="inlineStr">
        <is>
          <t>INVERSIONES</t>
        </is>
      </c>
      <c r="D127" t="inlineStr">
        <is>
          <t>ARS</t>
        </is>
      </c>
      <c r="F127" t="inlineStr">
        <is>
          <t>Plazo Fijo</t>
        </is>
      </c>
      <c r="G127">
        <f>IFERROR(INDEX(H127:AL127,MATCH(Resumen!$E$1,H$1:AL$1,0)),0)</f>
        <v/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</row>
    <row r="128">
      <c r="A128" t="inlineStr">
        <is>
          <t>REB|INVERSIONES|ARS|OTROS</t>
        </is>
      </c>
      <c r="B128" t="inlineStr">
        <is>
          <t>REB</t>
        </is>
      </c>
      <c r="C128" t="inlineStr">
        <is>
          <t>INVERSIONES</t>
        </is>
      </c>
      <c r="D128" t="inlineStr">
        <is>
          <t>ARS</t>
        </is>
      </c>
      <c r="F128" t="inlineStr">
        <is>
          <t>Otros</t>
        </is>
      </c>
      <c r="G128">
        <f>IFERROR(INDEX(H128:AL128,MATCH(Resumen!$E$1,H$1:AL$1,0)),0)</f>
        <v/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</row>
    <row r="129">
      <c r="A129" t="inlineStr">
        <is>
          <t>UT|CIUDAD|ARS|CC</t>
        </is>
      </c>
      <c r="B129" t="inlineStr">
        <is>
          <t>UT</t>
        </is>
      </c>
      <c r="C129" t="inlineStr">
        <is>
          <t>CIUDAD</t>
        </is>
      </c>
      <c r="D129" t="inlineStr">
        <is>
          <t>ARS</t>
        </is>
      </c>
      <c r="E129" t="inlineStr">
        <is>
          <t>CC</t>
        </is>
      </c>
      <c r="F129" t="inlineStr">
        <is>
          <t>1) PESOS</t>
        </is>
      </c>
      <c r="G129">
        <f>IFERROR(INDEX(H129:AL129,MATCH(Resumen!$E$1,H$1:AL$1,0)),0)</f>
        <v/>
      </c>
      <c r="H129" s="3" t="n">
        <v>64792.22</v>
      </c>
      <c r="I129" s="3" t="n">
        <v>64792.22</v>
      </c>
      <c r="J129" s="3" t="n">
        <v>-14197.91</v>
      </c>
      <c r="K129" s="3" t="n">
        <v>-14215.89</v>
      </c>
      <c r="L129" s="3" t="n">
        <v>-14215.89</v>
      </c>
      <c r="M129" s="3" t="n">
        <v>-14215.89</v>
      </c>
      <c r="N129" s="3" t="n">
        <v>-14215.89</v>
      </c>
      <c r="O129" s="3" t="n">
        <v>-14215.89</v>
      </c>
      <c r="P129" s="3" t="n">
        <v>-14215.89</v>
      </c>
      <c r="Q129" s="3" t="n">
        <v>485784.11</v>
      </c>
      <c r="R129" s="3" t="n">
        <v>485784.11</v>
      </c>
      <c r="S129" s="3" t="n">
        <v>485784.11</v>
      </c>
      <c r="T129" s="3" t="n">
        <v>485784.11</v>
      </c>
      <c r="U129" s="3" t="n">
        <v>485784.11</v>
      </c>
      <c r="V129" s="3" t="n">
        <v>485784.11</v>
      </c>
      <c r="W129" s="3" t="n">
        <v>485784.11</v>
      </c>
      <c r="X129" s="3" t="n">
        <v>485784.11</v>
      </c>
      <c r="Y129" s="3" t="n">
        <v>485784.11</v>
      </c>
      <c r="Z129" s="3" t="n">
        <v>485784.11</v>
      </c>
      <c r="AA129" s="3" t="n">
        <v>485784.11</v>
      </c>
      <c r="AB129" s="3" t="n">
        <v>485784.11</v>
      </c>
      <c r="AC129" s="3" t="n">
        <v>485784.11</v>
      </c>
      <c r="AD129" s="3" t="n">
        <v>485784.11</v>
      </c>
      <c r="AE129" s="3" t="n">
        <v>485784.11</v>
      </c>
      <c r="AF129" s="3" t="n">
        <v>485784.11</v>
      </c>
      <c r="AG129" s="3" t="n">
        <v>485784.11</v>
      </c>
      <c r="AH129" s="3" t="n">
        <v>485784.11</v>
      </c>
      <c r="AI129" s="3" t="n">
        <v>485784.11</v>
      </c>
      <c r="AJ129" s="3" t="n">
        <v>485784.11</v>
      </c>
      <c r="AK129" s="3" t="n">
        <v>485784.11</v>
      </c>
      <c r="AL129" s="3" t="n">
        <v>485784.11</v>
      </c>
    </row>
    <row r="130">
      <c r="A130" t="inlineStr">
        <is>
          <t>UT|CIUDAD|ARS|CC#198</t>
        </is>
      </c>
      <c r="B130" t="inlineStr">
        <is>
          <t>UT</t>
        </is>
      </c>
      <c r="C130" t="inlineStr">
        <is>
          <t>CIUDAD</t>
        </is>
      </c>
      <c r="D130" t="inlineStr">
        <is>
          <t>ARS</t>
        </is>
      </c>
      <c r="E130" t="inlineStr">
        <is>
          <t>CC</t>
        </is>
      </c>
      <c r="F130" t="inlineStr">
        <is>
          <t>1) PESOS</t>
        </is>
      </c>
      <c r="G130">
        <f>IFERROR(INDEX(H130:AL130,MATCH(Resumen!$E$1,H$1:AL$1,0)),0)</f>
        <v/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</row>
    <row r="131">
      <c r="A131" t="inlineStr">
        <is>
          <t>UT|CIUDAD|USD|CC</t>
        </is>
      </c>
      <c r="B131" t="inlineStr">
        <is>
          <t>UT</t>
        </is>
      </c>
      <c r="C131" t="inlineStr">
        <is>
          <t>CIUDAD</t>
        </is>
      </c>
      <c r="D131" t="inlineStr">
        <is>
          <t>USD</t>
        </is>
      </c>
      <c r="E131" t="inlineStr">
        <is>
          <t>CC</t>
        </is>
      </c>
      <c r="F131" t="inlineStr">
        <is>
          <t>2) DOLARES</t>
        </is>
      </c>
      <c r="G131">
        <f>IFERROR(INDEX(H131:AL131,MATCH(Resumen!$E$1,H$1:AL$1,0)),0)</f>
        <v/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</row>
    <row r="132">
      <c r="A132" t="inlineStr">
        <is>
          <t>UT|CIUDAD|EUR|CC</t>
        </is>
      </c>
      <c r="B132" t="inlineStr">
        <is>
          <t>UT</t>
        </is>
      </c>
      <c r="C132" t="inlineStr">
        <is>
          <t>CIUDAD</t>
        </is>
      </c>
      <c r="D132" t="inlineStr">
        <is>
          <t>EUR</t>
        </is>
      </c>
      <c r="E132" t="inlineStr">
        <is>
          <t>CC</t>
        </is>
      </c>
      <c r="F132" t="inlineStr">
        <is>
          <t>3) EUROS</t>
        </is>
      </c>
      <c r="G132">
        <f>IFERROR(INDEX(H132:AL132,MATCH(Resumen!$E$1,H$1:AL$1,0)),0)</f>
        <v/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</row>
    <row r="133">
      <c r="A133" t="inlineStr">
        <is>
          <t>UT|CIUDAD|ARS|LOTBA</t>
        </is>
      </c>
      <c r="B133" t="inlineStr">
        <is>
          <t>UT</t>
        </is>
      </c>
      <c r="C133" t="inlineStr">
        <is>
          <t>CIUDAD</t>
        </is>
      </c>
      <c r="D133" t="inlineStr">
        <is>
          <t>ARS</t>
        </is>
      </c>
      <c r="E133" t="inlineStr">
        <is>
          <t>LOTBA</t>
        </is>
      </c>
      <c r="F133" t="inlineStr">
        <is>
          <t>1) PESOS  (LOTBA)</t>
        </is>
      </c>
      <c r="G133">
        <f>IFERROR(INDEX(H133:AL133,MATCH(Resumen!$E$1,H$1:AL$1,0)),0)</f>
        <v/>
      </c>
      <c r="H133" s="3" t="n">
        <v>73357.94</v>
      </c>
      <c r="I133" s="3" t="n">
        <v>73357.94</v>
      </c>
      <c r="J133" s="3" t="n">
        <v>-5632.19</v>
      </c>
      <c r="K133" s="3" t="n">
        <v>-5639.33</v>
      </c>
      <c r="L133" s="3" t="n">
        <v>-5639.33</v>
      </c>
      <c r="M133" s="3" t="n">
        <v>-5639.33</v>
      </c>
      <c r="N133" s="3" t="n">
        <v>-5639.33</v>
      </c>
      <c r="O133" s="3" t="n">
        <v>-5639.33</v>
      </c>
      <c r="P133" s="3" t="n">
        <v>-5639.33</v>
      </c>
      <c r="Q133" s="3" t="n">
        <v>494360.67</v>
      </c>
      <c r="R133" s="3" t="n">
        <v>494360.67</v>
      </c>
      <c r="S133" s="3" t="n">
        <v>494360.67</v>
      </c>
      <c r="T133" s="3" t="n">
        <v>494360.67</v>
      </c>
      <c r="U133" s="3" t="n">
        <v>494360.67</v>
      </c>
      <c r="V133" s="3" t="n">
        <v>494360.67</v>
      </c>
      <c r="W133" s="3" t="n">
        <v>494360.67</v>
      </c>
      <c r="X133" s="3" t="n">
        <v>494360.67</v>
      </c>
      <c r="Y133" s="3" t="n">
        <v>494360.67</v>
      </c>
      <c r="Z133" s="3" t="n">
        <v>494360.67</v>
      </c>
      <c r="AA133" s="3" t="n">
        <v>494360.67</v>
      </c>
      <c r="AB133" s="3" t="n">
        <v>494360.67</v>
      </c>
      <c r="AC133" s="3" t="n">
        <v>494360.67</v>
      </c>
      <c r="AD133" s="3" t="n">
        <v>494360.67</v>
      </c>
      <c r="AE133" s="3" t="n">
        <v>494360.67</v>
      </c>
      <c r="AF133" s="3" t="n">
        <v>494360.67</v>
      </c>
      <c r="AG133" s="3" t="n">
        <v>494360.67</v>
      </c>
      <c r="AH133" s="3" t="n">
        <v>494360.67</v>
      </c>
      <c r="AI133" s="3" t="n">
        <v>494360.67</v>
      </c>
      <c r="AJ133" s="3" t="n">
        <v>494360.67</v>
      </c>
      <c r="AK133" s="3" t="n">
        <v>494360.67</v>
      </c>
      <c r="AL133" s="3" t="n">
        <v>494360.67</v>
      </c>
    </row>
    <row r="134">
      <c r="A134" t="inlineStr">
        <is>
          <t>UT|CIUDAD|USD|CC#203</t>
        </is>
      </c>
      <c r="B134" t="inlineStr">
        <is>
          <t>UT</t>
        </is>
      </c>
      <c r="C134" t="inlineStr">
        <is>
          <t>CIUDAD</t>
        </is>
      </c>
      <c r="D134" t="inlineStr">
        <is>
          <t>USD</t>
        </is>
      </c>
      <c r="E134" t="inlineStr">
        <is>
          <t>CC</t>
        </is>
      </c>
      <c r="F134" t="inlineStr">
        <is>
          <t>2) DOLARES</t>
        </is>
      </c>
      <c r="G134">
        <f>IFERROR(INDEX(H134:AL134,MATCH(Resumen!$E$1,H$1:AL$1,0)),0)</f>
        <v/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</row>
    <row r="135">
      <c r="A135" t="inlineStr">
        <is>
          <t>UT|CIUDAD|EUR|CC#204</t>
        </is>
      </c>
      <c r="B135" t="inlineStr">
        <is>
          <t>UT</t>
        </is>
      </c>
      <c r="C135" t="inlineStr">
        <is>
          <t>CIUDAD</t>
        </is>
      </c>
      <c r="D135" t="inlineStr">
        <is>
          <t>EUR</t>
        </is>
      </c>
      <c r="E135" t="inlineStr">
        <is>
          <t>CC</t>
        </is>
      </c>
      <c r="F135" t="inlineStr">
        <is>
          <t>3) EUROS</t>
        </is>
      </c>
      <c r="G135">
        <f>IFERROR(INDEX(H135:AL135,MATCH(Resumen!$E$1,H$1:AL$1,0)),0)</f>
        <v/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</row>
    <row r="136">
      <c r="A136" t="inlineStr">
        <is>
          <t>UT|MACRO|ARS|CC</t>
        </is>
      </c>
      <c r="B136" t="inlineStr">
        <is>
          <t>UT</t>
        </is>
      </c>
      <c r="C136" t="inlineStr">
        <is>
          <t>MACRO</t>
        </is>
      </c>
      <c r="D136" t="inlineStr">
        <is>
          <t>ARS</t>
        </is>
      </c>
      <c r="E136" t="inlineStr">
        <is>
          <t>CC</t>
        </is>
      </c>
      <c r="F136" t="inlineStr">
        <is>
          <t>1) PESOS</t>
        </is>
      </c>
      <c r="G136">
        <f>IFERROR(INDEX(H136:AL136,MATCH(Resumen!$E$1,H$1:AL$1,0)),0)</f>
        <v/>
      </c>
      <c r="H136" s="3" t="n">
        <v>97301639.63</v>
      </c>
      <c r="I136" s="3" t="n">
        <v>97301639.63</v>
      </c>
      <c r="J136" s="3" t="n">
        <v>94354053.19</v>
      </c>
      <c r="K136" s="3" t="n">
        <v>38813829.46</v>
      </c>
      <c r="L136" s="3" t="n">
        <v>17200225.28</v>
      </c>
      <c r="M136" s="3" t="n">
        <v>18748484.19</v>
      </c>
      <c r="N136" s="3" t="n">
        <v>24136122.94</v>
      </c>
      <c r="O136" s="3" t="n">
        <v>24136122.94</v>
      </c>
      <c r="P136" s="3" t="n">
        <v>24136122.94</v>
      </c>
      <c r="Q136" s="3" t="n">
        <v>34777903.66</v>
      </c>
      <c r="R136" s="3" t="n">
        <v>56042946.64</v>
      </c>
      <c r="S136" s="3" t="n">
        <v>68984435.22</v>
      </c>
      <c r="T136" s="3" t="n">
        <v>62523798.98</v>
      </c>
      <c r="U136" s="3" t="n">
        <v>68510996.08</v>
      </c>
      <c r="V136" s="3" t="n">
        <v>68510996.08</v>
      </c>
      <c r="W136" s="3" t="n">
        <v>68510996.08</v>
      </c>
      <c r="X136" s="3" t="n">
        <v>73129062.97</v>
      </c>
      <c r="Y136" s="3" t="n">
        <v>73129062.97</v>
      </c>
      <c r="Z136" s="3" t="n">
        <v>115920180.28</v>
      </c>
      <c r="AA136" s="3" t="n">
        <v>21658669.36</v>
      </c>
      <c r="AB136" s="3" t="n">
        <v>15436111.96</v>
      </c>
      <c r="AC136" s="3" t="n">
        <v>15436111.96</v>
      </c>
      <c r="AD136" s="3" t="n">
        <v>15436111.96</v>
      </c>
      <c r="AE136" s="3" t="n">
        <v>14962787.6</v>
      </c>
      <c r="AF136" s="3" t="n">
        <v>17930595.71</v>
      </c>
      <c r="AG136" s="3" t="n">
        <v>19201370.01</v>
      </c>
      <c r="AH136" s="3" t="n">
        <v>31298771.68</v>
      </c>
      <c r="AI136" s="3" t="n">
        <v>41686251.4</v>
      </c>
      <c r="AJ136" s="3" t="n">
        <v>41686251.4</v>
      </c>
      <c r="AK136" s="3" t="n">
        <v>41686251.4</v>
      </c>
      <c r="AL136" s="3" t="n">
        <v>53223827.05</v>
      </c>
    </row>
    <row r="137">
      <c r="A137" t="inlineStr">
        <is>
          <t>UT|MACRO|ARS|TRANSITO</t>
        </is>
      </c>
      <c r="B137" t="inlineStr">
        <is>
          <t>UT</t>
        </is>
      </c>
      <c r="C137" t="inlineStr">
        <is>
          <t>MACRO</t>
        </is>
      </c>
      <c r="D137" t="inlineStr">
        <is>
          <t>ARS</t>
        </is>
      </c>
      <c r="E137" t="inlineStr">
        <is>
          <t>TRANSITO</t>
        </is>
      </c>
      <c r="F137" t="inlineStr">
        <is>
          <t>Deposito en transito</t>
        </is>
      </c>
      <c r="G137">
        <f>IFERROR(INDEX(H137:AL137,MATCH(Resumen!$E$1,H$1:AL$1,0)),0)</f>
        <v/>
      </c>
      <c r="H137" s="3" t="n">
        <v>0</v>
      </c>
      <c r="I137" s="3" t="n">
        <v>0</v>
      </c>
      <c r="J137" s="3" t="n">
        <v>68010653.61</v>
      </c>
      <c r="K137" s="3" t="n">
        <v>26917715.05</v>
      </c>
      <c r="L137" s="3" t="n">
        <v>26706411.88</v>
      </c>
      <c r="M137" s="3" t="n">
        <v>24035083.88</v>
      </c>
      <c r="N137" s="3" t="n">
        <v>30628847.91</v>
      </c>
      <c r="O137" s="3" t="n">
        <v>25693460.54</v>
      </c>
      <c r="P137" s="3" t="n">
        <v>23283962.9</v>
      </c>
      <c r="Q137" s="3" t="n">
        <v>26333989.38</v>
      </c>
      <c r="R137" s="3" t="n">
        <v>30135425.6</v>
      </c>
      <c r="S137" s="3" t="n">
        <v>25305222.33</v>
      </c>
      <c r="T137" s="3" t="n">
        <v>22917394.26</v>
      </c>
      <c r="U137" s="3" t="n">
        <v>24995630.04</v>
      </c>
      <c r="V137" s="3" t="n">
        <v>0</v>
      </c>
      <c r="W137" s="3" t="n">
        <v>0</v>
      </c>
      <c r="X137" s="3" t="n">
        <v>0</v>
      </c>
      <c r="Y137" s="3" t="n">
        <v>97602163.41</v>
      </c>
      <c r="Z137" s="3" t="n">
        <v>20976254.3</v>
      </c>
      <c r="AA137" s="3" t="n">
        <v>21973520.69</v>
      </c>
      <c r="AB137" s="3" t="n">
        <v>17824525.58</v>
      </c>
      <c r="AC137" s="3" t="n">
        <v>0</v>
      </c>
      <c r="AD137" s="3" t="n">
        <v>0</v>
      </c>
      <c r="AE137" s="3" t="n">
        <v>52606676.11</v>
      </c>
      <c r="AF137" s="3" t="n">
        <v>23761621.48</v>
      </c>
      <c r="AG137" s="3" t="n">
        <v>21622155.43</v>
      </c>
      <c r="AH137" s="3" t="n">
        <v>18122606.06</v>
      </c>
      <c r="AI137" s="3" t="n">
        <v>23237595.82</v>
      </c>
      <c r="AJ137" s="3" t="n">
        <v>0</v>
      </c>
      <c r="AK137" s="3" t="n">
        <v>0</v>
      </c>
      <c r="AL137" s="3" t="n">
        <v>53150119.65</v>
      </c>
    </row>
    <row r="138">
      <c r="A138" t="inlineStr">
        <is>
          <t>UT|MACRO|USD|CC</t>
        </is>
      </c>
      <c r="B138" t="inlineStr">
        <is>
          <t>UT</t>
        </is>
      </c>
      <c r="C138" t="inlineStr">
        <is>
          <t>MACRO</t>
        </is>
      </c>
      <c r="D138" t="inlineStr">
        <is>
          <t>USD</t>
        </is>
      </c>
      <c r="E138" t="inlineStr">
        <is>
          <t>CC</t>
        </is>
      </c>
      <c r="F138" t="inlineStr">
        <is>
          <t>2) DOLARES</t>
        </is>
      </c>
      <c r="G138">
        <f>IFERROR(INDEX(H138:AL138,MATCH(Resumen!$E$1,H$1:AL$1,0)),0)</f>
        <v/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</row>
    <row r="139">
      <c r="A139" t="inlineStr">
        <is>
          <t>UT|MACRO|EUR|CC</t>
        </is>
      </c>
      <c r="B139" t="inlineStr">
        <is>
          <t>UT</t>
        </is>
      </c>
      <c r="C139" t="inlineStr">
        <is>
          <t>MACRO</t>
        </is>
      </c>
      <c r="D139" t="inlineStr">
        <is>
          <t>EUR</t>
        </is>
      </c>
      <c r="E139" t="inlineStr">
        <is>
          <t>CC</t>
        </is>
      </c>
      <c r="F139" t="inlineStr">
        <is>
          <t>3) EUROS</t>
        </is>
      </c>
      <c r="G139">
        <f>IFERROR(INDEX(H139:AL139,MATCH(Resumen!$E$1,H$1:AL$1,0)),0)</f>
        <v/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</row>
    <row r="140">
      <c r="A140" t="inlineStr">
        <is>
          <t>UT|INVERSIONES|ARS|FCI_GOAL_PESOS</t>
        </is>
      </c>
      <c r="B140" t="inlineStr">
        <is>
          <t>UT</t>
        </is>
      </c>
      <c r="C140" t="inlineStr">
        <is>
          <t>INVERSIONES</t>
        </is>
      </c>
      <c r="D140" t="inlineStr">
        <is>
          <t>ARS</t>
        </is>
      </c>
      <c r="F140" t="inlineStr">
        <is>
          <t>FCI Goal Pesos</t>
        </is>
      </c>
      <c r="G140">
        <f>IFERROR(INDEX(H140:AL140,MATCH(Resumen!$E$1,H$1:AL$1,0)),0)</f>
        <v/>
      </c>
      <c r="H140" s="3" t="n">
        <v>0</v>
      </c>
      <c r="I140" s="3" t="n">
        <v>0</v>
      </c>
      <c r="J140" s="3" t="n">
        <v>0</v>
      </c>
      <c r="K140" s="3" t="n">
        <v>155706848</v>
      </c>
      <c r="L140" s="3" t="n">
        <v>155784992</v>
      </c>
      <c r="M140" s="3" t="n">
        <v>155863616</v>
      </c>
      <c r="N140" s="3" t="n">
        <v>155941424</v>
      </c>
      <c r="O140" s="3" t="n">
        <v>155941424</v>
      </c>
      <c r="P140" s="3" t="n">
        <v>155941424</v>
      </c>
      <c r="Q140" s="3" t="n">
        <v>156175360</v>
      </c>
      <c r="R140" s="3" t="n">
        <v>116233168</v>
      </c>
      <c r="S140" s="3" t="n">
        <v>116291024</v>
      </c>
      <c r="T140" s="3" t="n">
        <v>116349496</v>
      </c>
      <c r="U140" s="3" t="n">
        <v>116417600</v>
      </c>
      <c r="V140" s="3" t="n">
        <v>0</v>
      </c>
      <c r="W140" s="3" t="n">
        <v>0</v>
      </c>
      <c r="X140" s="3" t="n">
        <v>0</v>
      </c>
      <c r="Y140" s="3" t="n">
        <v>116660400</v>
      </c>
      <c r="Z140" s="3" t="n">
        <v>116721792</v>
      </c>
      <c r="AA140" s="3" t="n">
        <v>216840976</v>
      </c>
      <c r="AB140" s="3" t="n">
        <v>166928240</v>
      </c>
      <c r="AC140" s="3" t="n">
        <v>0</v>
      </c>
      <c r="AD140" s="3" t="n">
        <v>0</v>
      </c>
      <c r="AE140" s="3" t="n">
        <v>167192640</v>
      </c>
      <c r="AF140" s="3" t="n">
        <v>167279184</v>
      </c>
      <c r="AG140" s="3" t="n">
        <v>167365744</v>
      </c>
      <c r="AH140" s="3" t="n">
        <v>167449872</v>
      </c>
      <c r="AI140" s="3" t="n">
        <v>167532112</v>
      </c>
      <c r="AJ140" s="3" t="n">
        <v>0</v>
      </c>
      <c r="AK140" s="3" t="n">
        <v>0</v>
      </c>
      <c r="AL140" s="3" t="n">
        <v>167786864</v>
      </c>
    </row>
    <row r="141">
      <c r="A141" t="inlineStr">
        <is>
          <t>BIY|MP|ARS|SALDO</t>
        </is>
      </c>
      <c r="B141" t="inlineStr">
        <is>
          <t>BIY</t>
        </is>
      </c>
      <c r="C141" t="inlineStr">
        <is>
          <t>MP</t>
        </is>
      </c>
      <c r="D141" t="inlineStr">
        <is>
          <t>ARS</t>
        </is>
      </c>
      <c r="F141" t="inlineStr">
        <is>
          <t>BIYEMAS</t>
        </is>
      </c>
      <c r="G141">
        <f>IFERROR(INDEX(H141:AL141,MATCH(Resumen!$E$1,H$1:AL$1,0)),0)</f>
        <v/>
      </c>
      <c r="H141" s="3" t="n">
        <v>0</v>
      </c>
      <c r="I141" s="3" t="n">
        <v>0</v>
      </c>
      <c r="J141" s="3" t="n">
        <v>4964295</v>
      </c>
      <c r="K141" s="3" t="n">
        <v>1151927</v>
      </c>
      <c r="L141" s="3" t="n">
        <v>2411873</v>
      </c>
      <c r="M141" s="3" t="n">
        <v>3531579</v>
      </c>
      <c r="N141" s="3" t="n">
        <v>5109364</v>
      </c>
      <c r="O141" s="3" t="n">
        <v>0</v>
      </c>
      <c r="P141" s="3" t="n">
        <v>0</v>
      </c>
      <c r="Q141" s="3" t="n">
        <v>5718771</v>
      </c>
      <c r="R141" s="3" t="n">
        <v>1725800</v>
      </c>
      <c r="S141" s="3" t="n">
        <v>2868793</v>
      </c>
      <c r="T141" s="3" t="n">
        <v>0</v>
      </c>
      <c r="U141" s="3" t="n">
        <v>5021816</v>
      </c>
      <c r="V141" s="3" t="n">
        <v>0</v>
      </c>
      <c r="W141" s="3" t="n">
        <v>0</v>
      </c>
      <c r="X141" s="3" t="n">
        <v>0</v>
      </c>
      <c r="Y141" s="3" t="n">
        <v>7115817</v>
      </c>
      <c r="Z141" s="3" t="n">
        <v>892062</v>
      </c>
      <c r="AA141" s="3" t="n">
        <v>1927098</v>
      </c>
      <c r="AB141" s="3" t="n">
        <v>3550440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</row>
    <row r="142">
      <c r="A142" t="inlineStr">
        <is>
          <t>KAN|MP|ARS|SALDO</t>
        </is>
      </c>
      <c r="B142" t="inlineStr">
        <is>
          <t>KAN</t>
        </is>
      </c>
      <c r="C142" t="inlineStr">
        <is>
          <t>MP</t>
        </is>
      </c>
      <c r="D142" t="inlineStr">
        <is>
          <t>ARS</t>
        </is>
      </c>
      <c r="F142" t="inlineStr">
        <is>
          <t>KANDIKO</t>
        </is>
      </c>
      <c r="G142">
        <f>IFERROR(INDEX(H142:AL142,MATCH(Resumen!$E$1,H$1:AL$1,0)),0)</f>
        <v/>
      </c>
      <c r="H142" s="3" t="n">
        <v>0</v>
      </c>
      <c r="I142" s="3" t="n">
        <v>0</v>
      </c>
      <c r="J142" s="3" t="n">
        <v>1781454</v>
      </c>
      <c r="K142" s="3" t="n">
        <v>387062</v>
      </c>
      <c r="L142" s="3" t="n">
        <v>837978</v>
      </c>
      <c r="M142" s="3" t="n">
        <v>1370686</v>
      </c>
      <c r="N142" s="3" t="n">
        <v>1765102</v>
      </c>
      <c r="O142" s="3" t="n">
        <v>0</v>
      </c>
      <c r="P142" s="3" t="n">
        <v>0</v>
      </c>
      <c r="Q142" s="3" t="n">
        <v>1853819</v>
      </c>
      <c r="R142" s="3" t="n">
        <v>214997</v>
      </c>
      <c r="S142" s="3" t="n">
        <v>494087</v>
      </c>
      <c r="T142" s="3" t="n">
        <v>0</v>
      </c>
      <c r="U142" s="3" t="n">
        <v>1111186</v>
      </c>
      <c r="V142" s="3" t="n">
        <v>0</v>
      </c>
      <c r="W142" s="3" t="n">
        <v>0</v>
      </c>
      <c r="X142" s="3" t="n">
        <v>0</v>
      </c>
      <c r="Y142" s="3" t="n">
        <v>226234</v>
      </c>
      <c r="Z142" s="3" t="n">
        <v>541570</v>
      </c>
      <c r="AA142" s="3" t="n">
        <v>870564</v>
      </c>
      <c r="AB142" s="3" t="n">
        <v>1141397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</row>
    <row r="143">
      <c r="A143" t="inlineStr">
        <is>
          <t>REB|MP|ARS|SALDO</t>
        </is>
      </c>
      <c r="B143" t="inlineStr">
        <is>
          <t>REB</t>
        </is>
      </c>
      <c r="C143" t="inlineStr">
        <is>
          <t>MP</t>
        </is>
      </c>
      <c r="D143" t="inlineStr">
        <is>
          <t>ARS</t>
        </is>
      </c>
      <c r="F143" t="inlineStr">
        <is>
          <t>REBISCO</t>
        </is>
      </c>
      <c r="G143">
        <f>IFERROR(INDEX(H143:AL143,MATCH(Resumen!$E$1,H$1:AL$1,0)),0)</f>
        <v/>
      </c>
      <c r="H143" s="3" t="n">
        <v>0</v>
      </c>
      <c r="I143" s="3" t="n">
        <v>0</v>
      </c>
      <c r="J143" s="3" t="n">
        <v>2217032</v>
      </c>
      <c r="K143" s="3" t="n">
        <v>495420</v>
      </c>
      <c r="L143" s="3" t="n">
        <v>800140</v>
      </c>
      <c r="M143" s="3" t="n">
        <v>1186878</v>
      </c>
      <c r="N143" s="3" t="n">
        <v>1675904</v>
      </c>
      <c r="O143" s="3" t="n">
        <v>0</v>
      </c>
      <c r="P143" s="3" t="n">
        <v>0</v>
      </c>
      <c r="Q143" s="3" t="n">
        <v>2232923</v>
      </c>
      <c r="R143" s="3" t="n">
        <v>653720</v>
      </c>
      <c r="S143" s="3" t="n">
        <v>1292652</v>
      </c>
      <c r="T143" s="3" t="n">
        <v>0</v>
      </c>
      <c r="U143" s="3" t="n">
        <v>2577036</v>
      </c>
      <c r="V143" s="3" t="n">
        <v>0</v>
      </c>
      <c r="W143" s="3" t="n">
        <v>0</v>
      </c>
      <c r="X143" s="3" t="n">
        <v>0</v>
      </c>
      <c r="Y143" s="3" t="n">
        <v>3289002</v>
      </c>
      <c r="Z143" s="3" t="n">
        <v>632946</v>
      </c>
      <c r="AA143" s="3" t="n">
        <v>1215613</v>
      </c>
      <c r="AB143" s="3" t="n">
        <v>1754031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</row>
    <row r="144">
      <c r="A144" t="inlineStr">
        <is>
          <t>TOT_BINGOS|TOTAL|ARS|CC</t>
        </is>
      </c>
      <c r="B144" t="inlineStr">
        <is>
          <t>TOT_BINGOS</t>
        </is>
      </c>
      <c r="C144" t="inlineStr">
        <is>
          <t>TOTAL</t>
        </is>
      </c>
      <c r="D144" t="inlineStr">
        <is>
          <t>ARS</t>
        </is>
      </c>
      <c r="E144" t="inlineStr">
        <is>
          <t>CC</t>
        </is>
      </c>
      <c r="F144" t="inlineStr">
        <is>
          <t>Pesos</t>
        </is>
      </c>
      <c r="G144">
        <f>IFERROR(INDEX(H144:AL144,MATCH(Resumen!$E$1,H$1:AL$1,0)),0)</f>
        <v/>
      </c>
      <c r="H144" s="3" t="n">
        <v>-79539232.40599999</v>
      </c>
      <c r="I144" s="3" t="n">
        <v>-39422442.40599999</v>
      </c>
      <c r="J144" s="3" t="n">
        <v>-422857201.856</v>
      </c>
      <c r="K144" s="3" t="n">
        <v>-1185859336.686</v>
      </c>
      <c r="L144" s="3" t="n">
        <v>-43167519.04600009</v>
      </c>
      <c r="M144" s="3" t="n">
        <v>215700209.1240001</v>
      </c>
      <c r="N144" s="3" t="n">
        <v>-131671870.696</v>
      </c>
      <c r="O144" s="3" t="n">
        <v>-122098590.696</v>
      </c>
      <c r="P144" s="3" t="n">
        <v>-103881180.696</v>
      </c>
      <c r="Q144" s="3" t="n">
        <v>233882103.2240001</v>
      </c>
      <c r="R144" s="3" t="n">
        <v>-540652347.2559998</v>
      </c>
      <c r="S144" s="3" t="n">
        <v>-736450046.0860002</v>
      </c>
      <c r="T144" s="3" t="n">
        <v>-408234426.2359998</v>
      </c>
      <c r="U144" s="3" t="n">
        <v>-369788927.506</v>
      </c>
      <c r="V144" s="3" t="n">
        <v>-362187244.1660001</v>
      </c>
      <c r="W144" s="3" t="n">
        <v>-340674034.1660001</v>
      </c>
      <c r="X144" s="3" t="n">
        <v>-666720780.516</v>
      </c>
      <c r="Y144" s="3" t="n">
        <v>-603068457.5160002</v>
      </c>
      <c r="Z144" s="3" t="n">
        <v>-586198186.786</v>
      </c>
      <c r="AA144" s="3" t="n">
        <v>-429095822.596</v>
      </c>
      <c r="AB144" s="3" t="n">
        <v>-252826144.5860001</v>
      </c>
      <c r="AC144" s="3" t="n">
        <v>-836727000.586</v>
      </c>
      <c r="AD144" s="3" t="n">
        <v>-815382679.586</v>
      </c>
      <c r="AE144" s="3" t="n">
        <v>-532589773.8360001</v>
      </c>
      <c r="AF144" s="3" t="n">
        <v>-526555823.5959999</v>
      </c>
      <c r="AG144" s="3" t="n">
        <v>-495177990.186</v>
      </c>
      <c r="AH144" s="3" t="n">
        <v>-199916315.9460001</v>
      </c>
      <c r="AI144" s="3" t="n">
        <v>-92631017.706</v>
      </c>
      <c r="AJ144" s="3" t="n">
        <v>-74860957.706</v>
      </c>
      <c r="AK144" s="3" t="n">
        <v>50013823.29400001</v>
      </c>
      <c r="AL144" s="3" t="n">
        <v>201409380.454</v>
      </c>
    </row>
    <row r="145">
      <c r="A145" t="inlineStr">
        <is>
          <t>TOT_BINGOS|TOTAL|USD|TOTAL</t>
        </is>
      </c>
      <c r="B145" t="inlineStr">
        <is>
          <t>TOT_BINGOS</t>
        </is>
      </c>
      <c r="C145" t="inlineStr">
        <is>
          <t>TOTAL</t>
        </is>
      </c>
      <c r="D145" t="inlineStr">
        <is>
          <t>USD</t>
        </is>
      </c>
      <c r="F145" t="inlineStr">
        <is>
          <t>USD</t>
        </is>
      </c>
      <c r="G145">
        <f>IFERROR(INDEX(H145:AL145,MATCH(Resumen!$E$1,H$1:AL$1,0)),0)</f>
        <v/>
      </c>
      <c r="H145" s="3" t="n">
        <v>76764.38275085387</v>
      </c>
      <c r="I145" s="3" t="n">
        <v>76764.38275085387</v>
      </c>
      <c r="J145" s="3" t="n">
        <v>76764.38275085387</v>
      </c>
      <c r="K145" s="3" t="n">
        <v>77561.38275085387</v>
      </c>
      <c r="L145" s="3" t="n">
        <v>77561.38275085387</v>
      </c>
      <c r="M145" s="3" t="n">
        <v>77561.38275085387</v>
      </c>
      <c r="N145" s="3" t="n">
        <v>77561.38275085387</v>
      </c>
      <c r="O145" s="3" t="n">
        <v>77561.38275085387</v>
      </c>
      <c r="P145" s="3" t="n">
        <v>77561.38275085387</v>
      </c>
      <c r="Q145" s="3" t="n">
        <v>77561.38275085387</v>
      </c>
      <c r="R145" s="3" t="n">
        <v>78511.38275085387</v>
      </c>
      <c r="S145" s="3" t="n">
        <v>78511.38275085387</v>
      </c>
      <c r="T145" s="3" t="n">
        <v>79738.38275085387</v>
      </c>
      <c r="U145" s="3" t="n">
        <v>80108.38275085387</v>
      </c>
      <c r="V145" s="3" t="n">
        <v>80108.38275085387</v>
      </c>
      <c r="W145" s="3" t="n">
        <v>80108.38275085387</v>
      </c>
      <c r="X145" s="3" t="n">
        <v>49378.39</v>
      </c>
      <c r="Y145" s="3" t="n">
        <v>80108.38275085387</v>
      </c>
      <c r="Z145" s="3" t="n">
        <v>81505.38275085387</v>
      </c>
      <c r="AA145" s="3" t="n">
        <v>81505.38275085387</v>
      </c>
      <c r="AB145" s="3" t="n">
        <v>81895.38275085387</v>
      </c>
      <c r="AC145" s="3" t="n">
        <v>81941.38275085387</v>
      </c>
      <c r="AD145" s="3" t="n">
        <v>81941.38275085387</v>
      </c>
      <c r="AE145" s="3" t="n">
        <v>81941.38275085387</v>
      </c>
      <c r="AF145" s="3" t="n">
        <v>84145.38275085387</v>
      </c>
      <c r="AG145" s="3" t="n">
        <v>84716.38275085387</v>
      </c>
      <c r="AH145" s="3" t="n">
        <v>65662.38275085387</v>
      </c>
      <c r="AI145" s="3" t="n">
        <v>84658.87275085386</v>
      </c>
      <c r="AJ145" s="3" t="n">
        <v>84748.87275085386</v>
      </c>
      <c r="AK145" s="3" t="n">
        <v>84787.54275085386</v>
      </c>
      <c r="AL145" s="3" t="n">
        <v>84696.13275085387</v>
      </c>
    </row>
    <row r="146">
      <c r="A146" t="inlineStr">
        <is>
          <t>TOT_BINGOS|TOTAL|EUR|CC</t>
        </is>
      </c>
      <c r="B146" t="inlineStr">
        <is>
          <t>TOT_BINGOS</t>
        </is>
      </c>
      <c r="C146" t="inlineStr">
        <is>
          <t>TOTAL</t>
        </is>
      </c>
      <c r="D146" t="inlineStr">
        <is>
          <t>EUR</t>
        </is>
      </c>
      <c r="E146" t="inlineStr">
        <is>
          <t>CC</t>
        </is>
      </c>
      <c r="F146" t="inlineStr">
        <is>
          <t>Euros</t>
        </is>
      </c>
      <c r="G146">
        <f>IFERROR(INDEX(H146:AL146,MATCH(Resumen!$E$1,H$1:AL$1,0)),0)</f>
        <v/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</row>
    <row r="147">
      <c r="A147" t="inlineStr">
        <is>
          <t>UT|TOTAL|ARS|CC</t>
        </is>
      </c>
      <c r="B147" t="inlineStr">
        <is>
          <t>UT</t>
        </is>
      </c>
      <c r="C147" t="inlineStr">
        <is>
          <t>TOTAL</t>
        </is>
      </c>
      <c r="D147" t="inlineStr">
        <is>
          <t>ARS</t>
        </is>
      </c>
      <c r="E147" t="inlineStr">
        <is>
          <t>CC</t>
        </is>
      </c>
      <c r="F147" t="inlineStr">
        <is>
          <t>Pesos</t>
        </is>
      </c>
      <c r="G147">
        <f>IFERROR(INDEX(H147:AL147,MATCH(Resumen!$E$1,H$1:AL$1,0)),0)</f>
        <v/>
      </c>
      <c r="H147" s="3" t="n">
        <v>97439789.78999999</v>
      </c>
      <c r="I147" s="3" t="n">
        <v>97439789.78999999</v>
      </c>
      <c r="J147" s="3" t="n">
        <v>162344876.7</v>
      </c>
      <c r="K147" s="3" t="n">
        <v>65711689.29000001</v>
      </c>
      <c r="L147" s="3" t="n">
        <v>43886781.94</v>
      </c>
      <c r="M147" s="3" t="n">
        <v>42763712.85</v>
      </c>
      <c r="N147" s="3" t="n">
        <v>54745115.63</v>
      </c>
      <c r="O147" s="3" t="n">
        <v>49809728.26000001</v>
      </c>
      <c r="P147" s="3" t="n">
        <v>47400230.62</v>
      </c>
      <c r="Q147" s="3" t="n">
        <v>62092037.81999999</v>
      </c>
      <c r="R147" s="3" t="n">
        <v>87158517.02000001</v>
      </c>
      <c r="S147" s="3" t="n">
        <v>95269802.33</v>
      </c>
      <c r="T147" s="3" t="n">
        <v>86421338.02</v>
      </c>
      <c r="U147" s="3" t="n">
        <v>94486770.90000001</v>
      </c>
      <c r="V147" s="3" t="n">
        <v>69491140.86</v>
      </c>
      <c r="W147" s="3" t="n">
        <v>69491140.86</v>
      </c>
      <c r="X147" s="3" t="n">
        <v>74109207.75</v>
      </c>
      <c r="Y147" s="3" t="n">
        <v>171711371.16</v>
      </c>
      <c r="Z147" s="3" t="n">
        <v>137876579.36</v>
      </c>
      <c r="AA147" s="3" t="n">
        <v>44612334.83</v>
      </c>
      <c r="AB147" s="3" t="n">
        <v>34240782.32</v>
      </c>
      <c r="AC147" s="3" t="n">
        <v>16416256.74</v>
      </c>
      <c r="AD147" s="3" t="n">
        <v>16416256.74</v>
      </c>
      <c r="AE147" s="3" t="n">
        <v>68549608.48999999</v>
      </c>
      <c r="AF147" s="3" t="n">
        <v>42672361.97</v>
      </c>
      <c r="AG147" s="3" t="n">
        <v>41803670.22</v>
      </c>
      <c r="AH147" s="3" t="n">
        <v>50401522.52</v>
      </c>
      <c r="AI147" s="3" t="n">
        <v>65903992</v>
      </c>
      <c r="AJ147" s="3" t="n">
        <v>42666396.18</v>
      </c>
      <c r="AK147" s="3" t="n">
        <v>42666396.18</v>
      </c>
      <c r="AL147" s="3" t="n">
        <v>107354091.48</v>
      </c>
    </row>
    <row r="148">
      <c r="A148" t="inlineStr">
        <is>
          <t>UT|TOTAL|USD|TOTAL</t>
        </is>
      </c>
      <c r="B148" t="inlineStr">
        <is>
          <t>UT</t>
        </is>
      </c>
      <c r="C148" t="inlineStr">
        <is>
          <t>TOTAL</t>
        </is>
      </c>
      <c r="D148" t="inlineStr">
        <is>
          <t>USD</t>
        </is>
      </c>
      <c r="F148" t="inlineStr">
        <is>
          <t>USD</t>
        </is>
      </c>
      <c r="G148">
        <f>IFERROR(INDEX(H148:AL148,MATCH(Resumen!$E$1,H$1:AL$1,0)),0)</f>
        <v/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</row>
    <row r="149">
      <c r="A149" t="inlineStr">
        <is>
          <t>UT|TOTAL|EUR|CC</t>
        </is>
      </c>
      <c r="B149" t="inlineStr">
        <is>
          <t>UT</t>
        </is>
      </c>
      <c r="C149" t="inlineStr">
        <is>
          <t>TOTAL</t>
        </is>
      </c>
      <c r="D149" t="inlineStr">
        <is>
          <t>EUR</t>
        </is>
      </c>
      <c r="E149" t="inlineStr">
        <is>
          <t>CC</t>
        </is>
      </c>
      <c r="F149" t="inlineStr">
        <is>
          <t>Euros</t>
        </is>
      </c>
      <c r="G149">
        <f>IFERROR(INDEX(H149:AL149,MATCH(Resumen!$E$1,H$1:AL$1,0)),0)</f>
        <v/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7" max="7"/>
  </cols>
  <sheetData>
    <row r="1">
      <c r="A1" s="4" t="inlineStr">
        <is>
          <t>RESUMEN POSICIONES BANCARIAS Y TESORERIA</t>
        </is>
      </c>
      <c r="D1" s="1" t="inlineStr">
        <is>
          <t>Fecha</t>
        </is>
      </c>
      <c r="E1" s="5" t="n">
        <v>46265</v>
      </c>
    </row>
    <row r="3">
      <c r="A3" s="1" t="inlineStr">
        <is>
          <t>1) Posiciones por Moneda</t>
        </is>
      </c>
    </row>
    <row r="5">
      <c r="A5" t="inlineStr">
        <is>
          <t>PESOS</t>
        </is>
      </c>
      <c r="B5" s="1" t="inlineStr">
        <is>
          <t>Biyemas</t>
        </is>
      </c>
      <c r="C5" s="1" t="inlineStr">
        <is>
          <t>Kandiko</t>
        </is>
      </c>
      <c r="D5" s="1" t="inlineStr">
        <is>
          <t>Rebisco</t>
        </is>
      </c>
      <c r="E5" s="1" t="inlineStr">
        <is>
          <t>Total</t>
        </is>
      </c>
      <c r="G5" s="1" t="inlineStr">
        <is>
          <t>Biyemas Skill ON NET UT</t>
        </is>
      </c>
    </row>
    <row r="6">
      <c r="A6" t="inlineStr">
        <is>
          <t>Banco Macro</t>
        </is>
      </c>
      <c r="B6" s="3">
        <f>SUMIF(Saldos!$A:$A,"BIY|MACRO|ARS|CC",Saldos!$G:$G)+SUMIF(Saldos!$A:$A,"BIY|MACRO|ARS|TRANSITO",Saldos!$G:$G)</f>
        <v/>
      </c>
      <c r="C6" s="3">
        <f>SUMIF(Saldos!$A:$A,"KAN|MACRO|ARS|CC",Saldos!$G:$G)+SUMIF(Saldos!$A:$A,"KAN|MACRO|ARS|TRANSITO",Saldos!$G:$G)+SUMIF(Saldos!$A:$A,"KAN|MACRO|ARS|CA",Saldos!$G:$G)</f>
        <v/>
      </c>
      <c r="D6" s="3">
        <f>SUMIF(Saldos!$A:$A,"REB|MACRO|ARS|CC",Saldos!$G:$G)+SUMIF(Saldos!$A:$A,"REB|MACRO|ARS|TRANSITO",Saldos!$G:$G)+SUMIF(Saldos!$A:$A,"REB|MACRO|ARS|CA",Saldos!$G:$G)</f>
        <v/>
      </c>
      <c r="E6" s="3">
        <f>SUM(B6:D6)</f>
        <v/>
      </c>
      <c r="G6" s="3">
        <f>SUMIF(Saldos!$A:$A,"UT|MACRO|ARS|CC",Saldos!$G:$G)</f>
        <v/>
      </c>
    </row>
    <row r="7">
      <c r="A7" t="inlineStr">
        <is>
          <t>Banco ITAU</t>
        </is>
      </c>
      <c r="B7" s="3">
        <f>SUMIF(Saldos!$A:$A,"BIY|ITAU|ARS|CC",Saldos!$G:$G)+SUMIF(Saldos!$A:$A,"BIY|ITAU|ARS|TRANSITO",Saldos!$G:$G)+SUMIF(Saldos!$A:$A,"BIY|ITAU|ARS|AVELLANEDA",Saldos!$G:$G)</f>
        <v/>
      </c>
      <c r="C7" s="3">
        <f>SUMIF(Saldos!$A:$A,"KAN|ITAU|ARS|CC",Saldos!$G:$G)</f>
        <v/>
      </c>
      <c r="D7" s="3">
        <f>SUMIF(Saldos!$A:$A,"REB|ITAU|ARS|CC",Saldos!$G:$G)+SUMIF(Saldos!$A:$A,"REB|ITAU|ARS|TRANSITO",Saldos!$G:$G)+SUMIF(Saldos!$A:$A,"REB|ITAU|ARS|AVELLANEDA",Saldos!$G:$G)</f>
        <v/>
      </c>
      <c r="E7" s="3">
        <f>SUM(B7:D7)</f>
        <v/>
      </c>
      <c r="G7" s="3" t="n">
        <v>0</v>
      </c>
    </row>
    <row r="8">
      <c r="A8" t="inlineStr">
        <is>
          <t>Banco Francés</t>
        </is>
      </c>
      <c r="B8" s="3">
        <f>SUMIF(Saldos!$A:$A,"BIY|FRANCES|ARS|CC",Saldos!$G:$G)</f>
        <v/>
      </c>
      <c r="C8" s="3">
        <f>SUMIF(Saldos!$A:$A,"KAN|FRANCES|ARS|CC",Saldos!$G:$G)</f>
        <v/>
      </c>
      <c r="D8" s="3">
        <f>SUMIF(Saldos!$A:$A,"REB|FRANCES|ARS|CC",Saldos!$G:$G)</f>
        <v/>
      </c>
      <c r="E8" s="3">
        <f>SUM(B8:D8)</f>
        <v/>
      </c>
    </row>
    <row r="9">
      <c r="A9" t="inlineStr">
        <is>
          <t>Banco Provincia</t>
        </is>
      </c>
      <c r="B9" s="3">
        <f>SUMIF(Saldos!$A:$A,"BIY|BAPRO|ARS|CC",Saldos!$G:$G)+SUMIF(Saldos!$A:$A,"BIY|BAPRO|ARS|TRANSITO",Saldos!$G:$G)</f>
        <v/>
      </c>
      <c r="C9" s="3">
        <f>SUMIF(Saldos!$A:$A,"KAN|BAPRO|ARS|CC",Saldos!$G:$G)+SUMIF(Saldos!$A:$A,"KAN|BAPRO|ARS|TRANSITO",Saldos!$G:$G)</f>
        <v/>
      </c>
      <c r="D9" s="3">
        <f>SUMIF(Saldos!$A:$A,"REB|BAPRO|ARS|CC",Saldos!$G:$G)+SUMIF(Saldos!$A:$A,"REB|BAPRO|ARS|TRANSITO",Saldos!$G:$G)</f>
        <v/>
      </c>
      <c r="E9" s="3">
        <f>SUM(B9:D9)</f>
        <v/>
      </c>
    </row>
    <row r="10">
      <c r="A10" t="inlineStr">
        <is>
          <t>BNA</t>
        </is>
      </c>
      <c r="B10" s="3">
        <f>SUMIF(Saldos!$A:$A,"BIY|BNA|ARS|CC",Saldos!$G:$G)+SUMIF(Saldos!$A:$A,"BIY|BNA|ARS|TRANSITO",Saldos!$G:$G)</f>
        <v/>
      </c>
      <c r="C10" s="3">
        <f>SUMIF(Saldos!$A:$A,"KAN|BNA|ARS|CC",Saldos!$G:$G)+SUMIF(Saldos!$A:$A,"KAN|BNA|ARS|TRANSITO",Saldos!$G:$G)</f>
        <v/>
      </c>
      <c r="D10" s="3">
        <f>SUMIF(Saldos!$A:$A,"REB|BNA|ARS|CC",Saldos!$G:$G)+SUMIF(Saldos!$A:$A,"REB|BNA|ARS|TRANSITO",Saldos!$G:$G)</f>
        <v/>
      </c>
      <c r="E10" s="3">
        <f>SUM(B10:D10)</f>
        <v/>
      </c>
    </row>
    <row r="11">
      <c r="A11" t="inlineStr">
        <is>
          <t>Bi Bank</t>
        </is>
      </c>
      <c r="B11" s="3">
        <f>SUMIF(Saldos!$A:$A,"BIY|BIBANK|ARS|CC",Saldos!$G:$G)+SUMIF(Saldos!$A:$A,"BIY|BIBANK|ARS|TRANSITO",Saldos!$G:$G)</f>
        <v/>
      </c>
      <c r="C11" s="3">
        <f>SUMIF(Saldos!$A:$A,"KAN|BIBANK|ARS|CC",Saldos!$G:$G)+SUMIF(Saldos!$A:$A,"KAN|BIBANK|ARS|TRANSITO",Saldos!$G:$G)</f>
        <v/>
      </c>
      <c r="D11" s="3">
        <f>SUMIF(Saldos!$A:$A,"REB|BIBANK|ARS|CC",Saldos!$G:$G)+SUMIF(Saldos!$A:$A,"REB|BIBANK|ARS|TRANSITO",Saldos!$G:$G)</f>
        <v/>
      </c>
      <c r="E11" s="3">
        <f>SUM(B11:D11)</f>
        <v/>
      </c>
    </row>
    <row r="12">
      <c r="A12" t="inlineStr">
        <is>
          <t>Banco Industrial</t>
        </is>
      </c>
      <c r="B12" s="3">
        <f>SUMIF(Saldos!$A:$A,"BIY|BIND|ARS|CC",Saldos!$G:$G)+SUMIF(Saldos!$A:$A,"BIY|BIND|ARS|TRANSITO",Saldos!$G:$G)</f>
        <v/>
      </c>
      <c r="C12" s="3">
        <f>SUMIF(Saldos!$A:$A,"KAN|BIND|ARS|CC",Saldos!$G:$G)+SUMIF(Saldos!$A:$A,"KAN|BIND|ARS|TRANSITO",Saldos!$G:$G)</f>
        <v/>
      </c>
      <c r="D12" s="3">
        <f>SUMIF(Saldos!$A:$A,"REB|BIND|ARS|CC",Saldos!$G:$G)+SUMIF(Saldos!$A:$A,"REB|BIND|ARS|TRANSITO",Saldos!$G:$G)</f>
        <v/>
      </c>
      <c r="E12" s="3">
        <f>SUM(B12:D12)</f>
        <v/>
      </c>
    </row>
    <row r="13">
      <c r="A13" t="inlineStr">
        <is>
          <t>Maco</t>
        </is>
      </c>
      <c r="B13" s="3">
        <f>SUMIF(Saldos!$A:$A,"BIY|MACO|ARS|CC",Saldos!$G:$G)</f>
        <v/>
      </c>
      <c r="C13" s="3">
        <f>SUMIF(Saldos!$A:$A,"KAN|MACO|ARS|CC",Saldos!$G:$G)</f>
        <v/>
      </c>
      <c r="D13" s="3">
        <f>SUMIF(Saldos!$A:$A,"REB|MACO|ARS|CC",Saldos!$G:$G)</f>
        <v/>
      </c>
      <c r="E13" s="3">
        <f>SUM(B13:D13)</f>
        <v/>
      </c>
    </row>
    <row r="14">
      <c r="A14" t="inlineStr">
        <is>
          <t>Banco Ciudad</t>
        </is>
      </c>
      <c r="B14" s="3" t="n">
        <v>0</v>
      </c>
      <c r="C14" s="3" t="n">
        <v>0</v>
      </c>
      <c r="D14" s="3" t="n">
        <v>0</v>
      </c>
      <c r="E14" s="3">
        <f>SUM(B14:D14)</f>
        <v/>
      </c>
      <c r="G14" s="3">
        <f>SUMIF(Saldos!$A:$A,"UT|CIUDAD|ARS|CC",Saldos!$G:$G)+SUMIF(Saldos!$A:$A,"UT|CIUDAD|ARS|LOTBA",Saldos!$G:$G)</f>
        <v/>
      </c>
    </row>
    <row r="15">
      <c r="A15" t="inlineStr">
        <is>
          <t>Mercado Pago</t>
        </is>
      </c>
      <c r="B15" s="3">
        <f>SUMIF(Saldos!$A:$A,"BIY|MP|ARS|SALDO",Saldos!$G:$G)</f>
        <v/>
      </c>
      <c r="C15" s="3">
        <f>SUMIF(Saldos!$A:$A,"KAN|MP|ARS|SALDO",Saldos!$G:$G)</f>
        <v/>
      </c>
      <c r="D15" s="3">
        <f>SUMIF(Saldos!$A:$A,"REB|MP|ARS|SALDO",Saldos!$G:$G)</f>
        <v/>
      </c>
      <c r="E15" s="3">
        <f>SUM(B15:D15)</f>
        <v/>
      </c>
      <c r="G15" s="3">
        <f>SUMIF(Saldos!$A:$A,"UT|MACRO|ARS|TRANSITO",Saldos!$G:$G)</f>
        <v/>
      </c>
    </row>
    <row r="16">
      <c r="A16" t="inlineStr">
        <is>
          <t>Tesorería</t>
        </is>
      </c>
      <c r="B16" s="3">
        <f>SUMIF(Saldos!$A:$A,"BIY|TESORERIA|ARS|CC",Saldos!$G:$G)</f>
        <v/>
      </c>
      <c r="C16" s="3">
        <f>SUMIF(Saldos!$A:$A,"KAN|TESORERIA|ARS|CC",Saldos!$G:$G)</f>
        <v/>
      </c>
      <c r="D16" s="3">
        <f>SUMIF(Saldos!$A:$A,"REB|TESORERIA|ARS|CC",Saldos!$G:$G)</f>
        <v/>
      </c>
      <c r="E16" s="3">
        <f>SUM(B16:D16)</f>
        <v/>
      </c>
    </row>
    <row r="17">
      <c r="A17" s="1" t="inlineStr">
        <is>
          <t>Total</t>
        </is>
      </c>
      <c r="B17" s="3">
        <f>SUM(B6:B16)</f>
        <v/>
      </c>
      <c r="C17" s="3">
        <f>SUM(C6:C16)</f>
        <v/>
      </c>
      <c r="D17" s="3">
        <f>SUM(D6:D16)</f>
        <v/>
      </c>
      <c r="E17" s="3">
        <f>SUM(E6:E16)</f>
        <v/>
      </c>
      <c r="G17" s="3">
        <f>SUM(G6:G16)</f>
        <v/>
      </c>
    </row>
    <row r="19">
      <c r="A19" t="inlineStr">
        <is>
          <t>DOLARES</t>
        </is>
      </c>
      <c r="B19" s="1" t="inlineStr">
        <is>
          <t>Biyemas</t>
        </is>
      </c>
      <c r="C19" s="1" t="inlineStr">
        <is>
          <t>Kandiko</t>
        </is>
      </c>
      <c r="D19" s="1" t="inlineStr">
        <is>
          <t>Rebisco</t>
        </is>
      </c>
      <c r="E19" s="1" t="inlineStr">
        <is>
          <t>Total</t>
        </is>
      </c>
      <c r="G19" s="1" t="inlineStr">
        <is>
          <t>Biyemas Skill ON NET UT</t>
        </is>
      </c>
    </row>
    <row r="20">
      <c r="A20" t="inlineStr">
        <is>
          <t>Banco Macro</t>
        </is>
      </c>
      <c r="B20" s="3">
        <f>SUMIF(Saldos!$A:$A,"BIY|MACRO|USD|CC",Saldos!$G:$G)</f>
        <v/>
      </c>
      <c r="C20" s="3">
        <f>SUMIF(Saldos!$A:$A,"KAN|MACRO|USD|CC",Saldos!$G:$G)</f>
        <v/>
      </c>
      <c r="D20" s="3">
        <f>SUMIF(Saldos!$A:$A,"REB|MACRO|USD|CC",Saldos!$G:$G)</f>
        <v/>
      </c>
      <c r="E20" s="3">
        <f>SUM(B20:D20)</f>
        <v/>
      </c>
      <c r="G20" t="n">
        <v>0</v>
      </c>
    </row>
    <row r="21">
      <c r="A21" t="inlineStr">
        <is>
          <t>Banco ITAU</t>
        </is>
      </c>
      <c r="B21" s="3">
        <f>SUMIF(Saldos!$A:$A,"BIY|ITAU|USD|CC",Saldos!$G:$G)</f>
        <v/>
      </c>
      <c r="C21" s="3">
        <f>SUMIF(Saldos!$A:$A,"KAN|ITAU|USD|CC",Saldos!$G:$G)</f>
        <v/>
      </c>
      <c r="D21" s="3">
        <f>SUMIF(Saldos!$A:$A,"REB|ITAU|USD|CC",Saldos!$G:$G)</f>
        <v/>
      </c>
      <c r="E21" s="3">
        <f>SUM(B21:D21)</f>
        <v/>
      </c>
      <c r="G21" t="n">
        <v>0</v>
      </c>
    </row>
    <row r="22">
      <c r="A22" t="inlineStr">
        <is>
          <t>Banco Francés</t>
        </is>
      </c>
      <c r="B22" s="3">
        <f>SUMIF(Saldos!$A:$A,"BIY|FRANCES|USD|CC",Saldos!$G:$G)</f>
        <v/>
      </c>
      <c r="C22" s="3">
        <f>SUMIF(Saldos!$A:$A,"KAN|FRANCES|USD|CC",Saldos!$G:$G)</f>
        <v/>
      </c>
      <c r="D22" s="3">
        <f>SUMIF(Saldos!$A:$A,"REB|FRANCES|USD|CC",Saldos!$G:$G)</f>
        <v/>
      </c>
      <c r="E22" s="3">
        <f>SUM(B22:D22)</f>
        <v/>
      </c>
      <c r="G22" t="n">
        <v>0</v>
      </c>
    </row>
    <row r="23">
      <c r="A23" t="inlineStr">
        <is>
          <t>Banco Provincia</t>
        </is>
      </c>
      <c r="B23" s="3">
        <f>SUMIF(Saldos!$A:$A,"BIY|BAPRO|USD|CC",Saldos!$G:$G)</f>
        <v/>
      </c>
      <c r="C23" s="3">
        <f>SUMIF(Saldos!$A:$A,"KAN|BAPRO|USD|CC",Saldos!$G:$G)</f>
        <v/>
      </c>
      <c r="D23" s="3">
        <f>SUMIF(Saldos!$A:$A,"REB|BAPRO|USD|CC",Saldos!$G:$G)</f>
        <v/>
      </c>
      <c r="E23" s="3">
        <f>SUM(B23:D23)</f>
        <v/>
      </c>
      <c r="G23" t="n">
        <v>0</v>
      </c>
    </row>
    <row r="24">
      <c r="A24" t="inlineStr">
        <is>
          <t>BNA</t>
        </is>
      </c>
      <c r="B24" s="3">
        <f>SUMIF(Saldos!$A:$A,"BIY|BNA|USD|CC",Saldos!$G:$G)</f>
        <v/>
      </c>
      <c r="C24" s="3">
        <f>SUMIF(Saldos!$A:$A,"KAN|BNA|USD|CC",Saldos!$G:$G)</f>
        <v/>
      </c>
      <c r="D24" s="3">
        <f>SUMIF(Saldos!$A:$A,"REB|BNA|USD|CC",Saldos!$G:$G)</f>
        <v/>
      </c>
      <c r="E24" s="3">
        <f>SUM(B24:D24)</f>
        <v/>
      </c>
      <c r="G24" t="n">
        <v>0</v>
      </c>
    </row>
    <row r="25">
      <c r="A25" t="inlineStr">
        <is>
          <t>Bi Bank</t>
        </is>
      </c>
      <c r="B25" s="3">
        <f>SUMIF(Saldos!$A:$A,"BIY|BIBANK|USD|CC",Saldos!$G:$G)</f>
        <v/>
      </c>
      <c r="C25" s="3">
        <f>SUMIF(Saldos!$A:$A,"KAN|BIBANK|USD|CC",Saldos!$G:$G)</f>
        <v/>
      </c>
      <c r="D25" s="3">
        <f>SUMIF(Saldos!$A:$A,"REB|BIBANK|USD|CC",Saldos!$G:$G)</f>
        <v/>
      </c>
      <c r="E25" s="3">
        <f>SUM(B25:D25)</f>
        <v/>
      </c>
      <c r="G25" t="n">
        <v>0</v>
      </c>
    </row>
    <row r="26">
      <c r="A26" t="inlineStr">
        <is>
          <t>Banco Industrial</t>
        </is>
      </c>
      <c r="B26" s="3">
        <f>SUMIF(Saldos!$A:$A,"BIY|BIND|USD|CC",Saldos!$G:$G)</f>
        <v/>
      </c>
      <c r="C26" s="3">
        <f>SUMIF(Saldos!$A:$A,"KAN|BIND|USD|CC",Saldos!$G:$G)</f>
        <v/>
      </c>
      <c r="D26" s="3">
        <f>SUMIF(Saldos!$A:$A,"REB|BIND|USD|CC",Saldos!$G:$G)</f>
        <v/>
      </c>
      <c r="E26" s="3">
        <f>SUM(B26:D26)</f>
        <v/>
      </c>
      <c r="G26" t="n">
        <v>0</v>
      </c>
    </row>
    <row r="27">
      <c r="A27" t="inlineStr">
        <is>
          <t>Maco</t>
        </is>
      </c>
      <c r="B27" s="3">
        <f>SUMIF(Saldos!$A:$A,"BIY|MACO|USD|CC",Saldos!$G:$G)</f>
        <v/>
      </c>
      <c r="C27" s="3">
        <f>SUMIF(Saldos!$A:$A,"KAN|MACO|USD|CC",Saldos!$G:$G)</f>
        <v/>
      </c>
      <c r="D27" s="3">
        <f>SUMIF(Saldos!$A:$A,"REB|MACO|USD|CC",Saldos!$G:$G)</f>
        <v/>
      </c>
      <c r="E27" s="3">
        <f>SUM(B27:D27)</f>
        <v/>
      </c>
      <c r="G27" t="n">
        <v>0</v>
      </c>
    </row>
    <row r="28">
      <c r="A28" t="inlineStr">
        <is>
          <t>Tesorería</t>
        </is>
      </c>
      <c r="B28" s="3">
        <f>SUMIF(Saldos!$A:$A,"BIY|TESORERIA|USD|CC",Saldos!$G:$G)</f>
        <v/>
      </c>
      <c r="C28" s="3">
        <f>SUMIF(Saldos!$A:$A,"KAN|TESORERIA|USD|CC",Saldos!$G:$G)</f>
        <v/>
      </c>
      <c r="D28" s="3">
        <f>SUMIF(Saldos!$A:$A,"REB|TESORERIA|USD|CC",Saldos!$G:$G)</f>
        <v/>
      </c>
      <c r="E28" s="3">
        <f>SUM(B28:D28)</f>
        <v/>
      </c>
      <c r="G28" t="n">
        <v>0</v>
      </c>
    </row>
    <row r="29">
      <c r="A29" s="1" t="inlineStr">
        <is>
          <t>Total</t>
        </is>
      </c>
      <c r="B29" s="3">
        <f>SUM(B20:B28)</f>
        <v/>
      </c>
      <c r="C29" s="3">
        <f>SUM(C20:C28)</f>
        <v/>
      </c>
      <c r="D29" s="3">
        <f>SUM(D20:D28)</f>
        <v/>
      </c>
      <c r="E29" s="3">
        <f>SUM(E20:E28)</f>
        <v/>
      </c>
      <c r="G29" s="3">
        <f>SUM(G20:G28)</f>
        <v/>
      </c>
    </row>
    <row r="31">
      <c r="A31" t="inlineStr">
        <is>
          <t>EUROS</t>
        </is>
      </c>
      <c r="B31" s="1" t="inlineStr">
        <is>
          <t>Biyemas</t>
        </is>
      </c>
      <c r="C31" s="1" t="inlineStr">
        <is>
          <t>Kandiko</t>
        </is>
      </c>
      <c r="D31" s="1" t="inlineStr">
        <is>
          <t>Rebisco</t>
        </is>
      </c>
      <c r="E31" s="1" t="inlineStr">
        <is>
          <t>Total</t>
        </is>
      </c>
      <c r="G31" s="1" t="inlineStr">
        <is>
          <t>Biyemas Skill ON NET UT</t>
        </is>
      </c>
    </row>
    <row r="32">
      <c r="A32" t="inlineStr">
        <is>
          <t>Banco Macro</t>
        </is>
      </c>
      <c r="B32" s="3">
        <f>SUMIF(Saldos!$A:$A,"BIY|MACRO|EUR|CC",Saldos!$G:$G)</f>
        <v/>
      </c>
      <c r="C32" s="3">
        <f>SUMIF(Saldos!$A:$A,"KAN|MACRO|EUR|CC",Saldos!$G:$G)</f>
        <v/>
      </c>
      <c r="D32" s="3">
        <f>SUMIF(Saldos!$A:$A,"REB|MACRO|EUR|CC",Saldos!$G:$G)</f>
        <v/>
      </c>
      <c r="E32" s="3">
        <f>SUM(B32:D32)</f>
        <v/>
      </c>
      <c r="G32" t="n">
        <v>0</v>
      </c>
    </row>
    <row r="33">
      <c r="A33" t="inlineStr">
        <is>
          <t>Banco Francés</t>
        </is>
      </c>
      <c r="B33" s="3">
        <f>SUMIF(Saldos!$A:$A,"BIY|FRANCES|EUR|CC",Saldos!$G:$G)</f>
        <v/>
      </c>
      <c r="C33" s="3">
        <f>SUMIF(Saldos!$A:$A,"KAN|FRANCES|EUR|CC",Saldos!$G:$G)</f>
        <v/>
      </c>
      <c r="D33" s="3">
        <f>SUMIF(Saldos!$A:$A,"REB|FRANCES|EUR|CC",Saldos!$G:$G)</f>
        <v/>
      </c>
      <c r="E33" s="3">
        <f>SUM(B33:D33)</f>
        <v/>
      </c>
      <c r="G33" t="n">
        <v>0</v>
      </c>
    </row>
    <row r="34">
      <c r="A34" t="inlineStr">
        <is>
          <t>Banco Provincia</t>
        </is>
      </c>
      <c r="B34" s="3">
        <f>SUMIF(Saldos!$A:$A,"BIY|BAPRO|EUR|CC",Saldos!$G:$G)</f>
        <v/>
      </c>
      <c r="C34" s="3">
        <f>SUMIF(Saldos!$A:$A,"KAN|BAPRO|EUR|CC",Saldos!$G:$G)</f>
        <v/>
      </c>
      <c r="D34" s="3">
        <f>SUMIF(Saldos!$A:$A,"REB|BAPRO|EUR|CC",Saldos!$G:$G)</f>
        <v/>
      </c>
      <c r="E34" s="3">
        <f>SUM(B34:D34)</f>
        <v/>
      </c>
      <c r="G34" t="n">
        <v>0</v>
      </c>
    </row>
    <row r="35">
      <c r="A35" t="inlineStr">
        <is>
          <t>Maco</t>
        </is>
      </c>
      <c r="B35" s="3">
        <f>SUMIF(Saldos!$A:$A,"BIY|MACO|EUR|CC",Saldos!$G:$G)</f>
        <v/>
      </c>
      <c r="C35" s="3">
        <f>SUMIF(Saldos!$A:$A,"KAN|MACO|EUR|CC",Saldos!$G:$G)</f>
        <v/>
      </c>
      <c r="D35" s="3">
        <f>SUMIF(Saldos!$A:$A,"REB|MACO|EUR|CC",Saldos!$G:$G)</f>
        <v/>
      </c>
      <c r="E35" s="3">
        <f>SUM(B35:D35)</f>
        <v/>
      </c>
      <c r="G35" t="n">
        <v>0</v>
      </c>
    </row>
    <row r="36">
      <c r="A36" t="inlineStr">
        <is>
          <t>Tesorería</t>
        </is>
      </c>
      <c r="B36" s="3">
        <f>SUMIF(Saldos!$A:$A,"BIY|TESORERIA|EUR|CC",Saldos!$G:$G)</f>
        <v/>
      </c>
      <c r="C36" s="3">
        <f>SUMIF(Saldos!$A:$A,"KAN|TESORERIA|EUR|CC",Saldos!$G:$G)</f>
        <v/>
      </c>
      <c r="D36" s="3">
        <f>SUMIF(Saldos!$A:$A,"REB|TESORERIA|EUR|CC",Saldos!$G:$G)</f>
        <v/>
      </c>
      <c r="E36" s="3">
        <f>SUM(B36:D36)</f>
        <v/>
      </c>
      <c r="G36" t="n">
        <v>0</v>
      </c>
    </row>
    <row r="37">
      <c r="A37" t="inlineStr">
        <is>
          <t>Total</t>
        </is>
      </c>
      <c r="B37" s="3">
        <f>SUM(B32:B36)</f>
        <v/>
      </c>
      <c r="C37" s="3">
        <f>SUM(C32:C36)</f>
        <v/>
      </c>
      <c r="D37" s="3">
        <f>SUM(D32:D36)</f>
        <v/>
      </c>
      <c r="E37" s="3">
        <f>SUM(E32:E36)</f>
        <v/>
      </c>
      <c r="G37" s="3">
        <f>SUM(G32:G36)</f>
        <v/>
      </c>
    </row>
    <row r="39">
      <c r="A39" s="1" t="inlineStr">
        <is>
          <t>2) Posiciones Bancarias (Saldos Pesificados)</t>
        </is>
      </c>
    </row>
    <row r="41">
      <c r="A41" t="inlineStr">
        <is>
          <t>Cotización Dólar Comprador:</t>
        </is>
      </c>
      <c r="B41" t="n">
        <v>1400</v>
      </c>
    </row>
    <row r="42">
      <c r="A42" t="inlineStr">
        <is>
          <t>Cotización Euro Comprador:</t>
        </is>
      </c>
      <c r="B42" t="n">
        <v>1500</v>
      </c>
    </row>
    <row r="44">
      <c r="A44" t="inlineStr">
        <is>
          <t>Banco</t>
        </is>
      </c>
      <c r="B44" s="1" t="inlineStr">
        <is>
          <t>Biyemas</t>
        </is>
      </c>
      <c r="C44" s="1" t="inlineStr">
        <is>
          <t>Kandiko</t>
        </is>
      </c>
      <c r="D44" s="1" t="inlineStr">
        <is>
          <t>Rebisco</t>
        </is>
      </c>
      <c r="E44" s="1" t="inlineStr">
        <is>
          <t>Total</t>
        </is>
      </c>
      <c r="G44" s="1" t="inlineStr">
        <is>
          <t>Biyemas Skill ON NET UT</t>
        </is>
      </c>
    </row>
    <row r="45">
      <c r="A45" t="inlineStr">
        <is>
          <t>Macro (PESOS)</t>
        </is>
      </c>
      <c r="B45" s="3">
        <f>B6</f>
        <v/>
      </c>
      <c r="C45" s="3">
        <f>C6</f>
        <v/>
      </c>
      <c r="D45" s="3">
        <f>D6</f>
        <v/>
      </c>
      <c r="E45" s="3">
        <f>SUM(B45:D45)</f>
        <v/>
      </c>
      <c r="G45" t="n">
        <v>0</v>
      </c>
    </row>
    <row r="46">
      <c r="A46" t="inlineStr">
        <is>
          <t>ITAU (PESOS)</t>
        </is>
      </c>
      <c r="B46" s="3">
        <f>B7</f>
        <v/>
      </c>
      <c r="C46" s="3">
        <f>C7</f>
        <v/>
      </c>
      <c r="D46" s="3">
        <f>D7</f>
        <v/>
      </c>
      <c r="E46" s="3">
        <f>SUM(B46:D46)</f>
        <v/>
      </c>
      <c r="G46" t="n">
        <v>0</v>
      </c>
    </row>
    <row r="47">
      <c r="A47" t="inlineStr">
        <is>
          <t>Francés (PESOS)</t>
        </is>
      </c>
      <c r="B47" s="3">
        <f>B8</f>
        <v/>
      </c>
      <c r="C47" s="3">
        <f>C8</f>
        <v/>
      </c>
      <c r="D47" s="3">
        <f>D8</f>
        <v/>
      </c>
      <c r="E47" s="3">
        <f>SUM(B47:D47)</f>
        <v/>
      </c>
      <c r="G47" t="n">
        <v>0</v>
      </c>
    </row>
    <row r="48">
      <c r="A48" t="inlineStr">
        <is>
          <t>Provincia (PESOS)</t>
        </is>
      </c>
      <c r="B48" s="3">
        <f>B9</f>
        <v/>
      </c>
      <c r="C48" s="3">
        <f>C9</f>
        <v/>
      </c>
      <c r="D48" s="3">
        <f>D9</f>
        <v/>
      </c>
      <c r="E48" s="3">
        <f>SUM(B48:D48)</f>
        <v/>
      </c>
      <c r="G48" t="n">
        <v>0</v>
      </c>
    </row>
    <row r="49">
      <c r="A49" t="inlineStr">
        <is>
          <t>BNA (PESOS)</t>
        </is>
      </c>
      <c r="B49" s="3">
        <f>B10</f>
        <v/>
      </c>
      <c r="C49" s="3">
        <f>C10</f>
        <v/>
      </c>
      <c r="D49" s="3">
        <f>D10</f>
        <v/>
      </c>
      <c r="E49" s="3">
        <f>SUM(B49:D49)</f>
        <v/>
      </c>
      <c r="G49" t="n">
        <v>0</v>
      </c>
    </row>
    <row r="50">
      <c r="A50" t="inlineStr">
        <is>
          <t>BIND (PESOS)</t>
        </is>
      </c>
      <c r="B50" s="3">
        <f>B12</f>
        <v/>
      </c>
      <c r="C50" s="3">
        <f>C12</f>
        <v/>
      </c>
      <c r="D50" s="3">
        <f>D12</f>
        <v/>
      </c>
      <c r="E50" s="3">
        <f>SUM(B50:D50)</f>
        <v/>
      </c>
      <c r="G50" t="n">
        <v>0</v>
      </c>
    </row>
    <row r="51">
      <c r="A51" t="inlineStr">
        <is>
          <t>Macro (DOLARES)</t>
        </is>
      </c>
      <c r="B51" s="3">
        <f>B20*$B$41</f>
        <v/>
      </c>
      <c r="C51" s="3">
        <f>C20*$B$41</f>
        <v/>
      </c>
      <c r="D51" s="3">
        <f>D20*$B$41</f>
        <v/>
      </c>
      <c r="E51" s="3">
        <f>SUM(B51:D51)</f>
        <v/>
      </c>
      <c r="G51" t="n">
        <v>0</v>
      </c>
    </row>
    <row r="52">
      <c r="A52" t="inlineStr">
        <is>
          <t>ITAU (DOLARES)</t>
        </is>
      </c>
      <c r="B52" s="3">
        <f>B21*$B$41</f>
        <v/>
      </c>
      <c r="C52" s="3">
        <f>C21*$B$41</f>
        <v/>
      </c>
      <c r="D52" s="3">
        <f>D21*$B$41</f>
        <v/>
      </c>
      <c r="E52" s="3">
        <f>SUM(B52:D52)</f>
        <v/>
      </c>
      <c r="G52" t="n">
        <v>0</v>
      </c>
    </row>
    <row r="53">
      <c r="A53" t="inlineStr">
        <is>
          <t>Francés (DOLARES)</t>
        </is>
      </c>
      <c r="B53" s="3">
        <f>B22*$B$41</f>
        <v/>
      </c>
      <c r="C53" s="3">
        <f>C22*$B$41</f>
        <v/>
      </c>
      <c r="D53" s="3">
        <f>D22*$B$41</f>
        <v/>
      </c>
      <c r="E53" s="3">
        <f>SUM(B53:D53)</f>
        <v/>
      </c>
      <c r="G53" t="n">
        <v>0</v>
      </c>
    </row>
    <row r="54">
      <c r="A54" t="inlineStr">
        <is>
          <t>Provincia (DOLARES)</t>
        </is>
      </c>
      <c r="B54" s="3">
        <f>B23*$B$41</f>
        <v/>
      </c>
      <c r="C54" s="3">
        <f>C23*$B$41</f>
        <v/>
      </c>
      <c r="D54" s="3">
        <f>D23*$B$41</f>
        <v/>
      </c>
      <c r="E54" s="3">
        <f>SUM(B54:D54)</f>
        <v/>
      </c>
      <c r="G54" t="n">
        <v>0</v>
      </c>
    </row>
    <row r="55">
      <c r="A55" t="inlineStr">
        <is>
          <t>BNA (DOLARES)</t>
        </is>
      </c>
      <c r="B55" s="3">
        <f>B24*$B$41</f>
        <v/>
      </c>
      <c r="C55" s="3">
        <f>C24*$B$41</f>
        <v/>
      </c>
      <c r="D55" s="3">
        <f>D24*$B$41</f>
        <v/>
      </c>
      <c r="E55" s="3">
        <f>SUM(B55:D55)</f>
        <v/>
      </c>
      <c r="G55" t="n">
        <v>0</v>
      </c>
    </row>
    <row r="56">
      <c r="A56" t="inlineStr">
        <is>
          <t>Macro (EUROS)</t>
        </is>
      </c>
      <c r="B56" s="3">
        <f>B32*$B$42</f>
        <v/>
      </c>
      <c r="C56" s="3">
        <f>C32*$B$42</f>
        <v/>
      </c>
      <c r="D56" s="3">
        <f>D32*$B$42</f>
        <v/>
      </c>
      <c r="E56" s="3">
        <f>SUM(B56:D56)</f>
        <v/>
      </c>
      <c r="G56" t="n">
        <v>0</v>
      </c>
    </row>
    <row r="57">
      <c r="A57" t="inlineStr">
        <is>
          <t>Francés (EUROS)</t>
        </is>
      </c>
      <c r="B57" s="3">
        <f>B33*$B$42</f>
        <v/>
      </c>
      <c r="C57" s="3">
        <f>C33*$B$42</f>
        <v/>
      </c>
      <c r="D57" s="3">
        <f>D33*$B$42</f>
        <v/>
      </c>
      <c r="E57" s="3">
        <f>SUM(B57:D57)</f>
        <v/>
      </c>
      <c r="G57" t="n">
        <v>0</v>
      </c>
    </row>
    <row r="58">
      <c r="A58" t="inlineStr">
        <is>
          <t>Provincia (EUROS)</t>
        </is>
      </c>
      <c r="B58" s="3">
        <f>B34*$B$42</f>
        <v/>
      </c>
      <c r="C58" s="3">
        <f>C34*$B$42</f>
        <v/>
      </c>
      <c r="D58" s="3">
        <f>D34*$B$42</f>
        <v/>
      </c>
      <c r="E58" s="3">
        <f>SUM(B58:D58)</f>
        <v/>
      </c>
      <c r="G58" t="n">
        <v>0</v>
      </c>
    </row>
    <row r="59">
      <c r="A59" t="inlineStr">
        <is>
          <t>Ciudad UT (PESOS)</t>
        </is>
      </c>
      <c r="B59" t="n">
        <v>0</v>
      </c>
      <c r="C59" t="n">
        <v>0</v>
      </c>
      <c r="D59" t="n">
        <v>0</v>
      </c>
      <c r="E59">
        <f>SUM(B59:D59)</f>
        <v/>
      </c>
      <c r="G59" t="n">
        <v>0</v>
      </c>
    </row>
    <row r="60">
      <c r="A60" t="inlineStr">
        <is>
          <t>Bi Bank (PESOS) ref</t>
        </is>
      </c>
      <c r="B60" t="n">
        <v>0</v>
      </c>
      <c r="C60" t="n">
        <v>0</v>
      </c>
      <c r="D60" t="n">
        <v>0</v>
      </c>
      <c r="E60">
        <f>SUM(B60:D60)</f>
        <v/>
      </c>
      <c r="G60">
        <f>G16</f>
        <v/>
      </c>
    </row>
    <row r="61">
      <c r="A61" s="1" t="inlineStr">
        <is>
          <t>Total</t>
        </is>
      </c>
      <c r="B61" s="3">
        <f>SUM(B45:B60)</f>
        <v/>
      </c>
      <c r="C61" s="3">
        <f>SUM(C45:C60)</f>
        <v/>
      </c>
      <c r="D61" s="3">
        <f>SUM(D45:D60)</f>
        <v/>
      </c>
      <c r="E61" s="3">
        <f>SUM(E45:E60)</f>
        <v/>
      </c>
      <c r="G61" s="3">
        <f>SUM(G45:G60)</f>
        <v/>
      </c>
    </row>
    <row r="63">
      <c r="A63" s="1" t="inlineStr">
        <is>
          <t>3) Resumen Inversiones</t>
        </is>
      </c>
    </row>
    <row r="65">
      <c r="A65" t="inlineStr">
        <is>
          <t>Fondo</t>
        </is>
      </c>
      <c r="B65" s="1" t="inlineStr">
        <is>
          <t>Biyemas</t>
        </is>
      </c>
      <c r="C65" s="1" t="inlineStr">
        <is>
          <t>Kandiko</t>
        </is>
      </c>
      <c r="D65" s="1" t="inlineStr">
        <is>
          <t>Rebisco</t>
        </is>
      </c>
      <c r="E65" s="1" t="inlineStr">
        <is>
          <t>Total</t>
        </is>
      </c>
      <c r="G65" s="1" t="inlineStr">
        <is>
          <t>Biyemas Skill ON NET UT</t>
        </is>
      </c>
    </row>
    <row r="66">
      <c r="A66" t="inlineStr">
        <is>
          <t>FCI Pionero Pesos / Goal renta global (slot)</t>
        </is>
      </c>
      <c r="B66" s="3">
        <f>SUMIF(Saldos!$A:$A,"BIY|INVERSIONES|ARS|FCI_GOAL_RENTA_GLOBAL",Saldos!$G:$G)</f>
        <v/>
      </c>
      <c r="C66" s="3">
        <f>SUMIF(Saldos!$A:$A,"KAN|INVERSIONES|ARS|FCI_PIONERO_PESOS",Saldos!$G:$G)</f>
        <v/>
      </c>
      <c r="D66" s="3">
        <f>SUMIF(Saldos!$A:$A,"REB|INVERSIONES|ARS|FCI_PIONERO_PESOS",Saldos!$G:$G)</f>
        <v/>
      </c>
      <c r="E66" s="3">
        <f>SUM(B66:D66)</f>
        <v/>
      </c>
      <c r="G66" s="3" t="n">
        <v>0</v>
      </c>
    </row>
    <row r="67">
      <c r="A67" t="inlineStr">
        <is>
          <t>FCI Pionero Renta Ahorro</t>
        </is>
      </c>
      <c r="B67" s="3">
        <f>SUMIF(Saldos!$A:$A,"BIY|INVERSIONES|ARS|FCI_PIONERO_RENTA_AHORRO",Saldos!$G:$G)</f>
        <v/>
      </c>
      <c r="C67" s="3">
        <f>SUMIF(Saldos!$A:$A,"KAN|INVERSIONES|ARS|FCI_PIONERO_RENTA_AHORRO",Saldos!$G:$G)</f>
        <v/>
      </c>
      <c r="D67" s="3">
        <f>SUMIF(Saldos!$A:$A,"REB|INVERSIONES|ARS|FCI_PIONERO_RENTA_AHORRO",Saldos!$G:$G)</f>
        <v/>
      </c>
      <c r="E67" s="3">
        <f>SUM(B67:D67)</f>
        <v/>
      </c>
      <c r="G67" s="3" t="n">
        <v>0</v>
      </c>
    </row>
    <row r="68">
      <c r="A68" t="inlineStr">
        <is>
          <t>FCI Pellegrini / renta crecimiento (slot)</t>
        </is>
      </c>
      <c r="B68" s="3">
        <f>SUMIF(Saldos!$A:$A,"BIY|INVERSIONES|ARS|FCI_RENTA_CRECIMIENTO",Saldos!$G:$G)</f>
        <v/>
      </c>
      <c r="C68" s="3">
        <f>SUMIF(Saldos!$A:$A,"KAN|INVERSIONES|ARS|FCI_PELLEGRINI_RENTA_PESOS",Saldos!$G:$G)</f>
        <v/>
      </c>
      <c r="D68" s="3">
        <f>SUMIF(Saldos!$A:$A,"REB|INVERSIONES|ARS|FCI_PELLEGRINI_RENTA_PESOS",Saldos!$G:$G)</f>
        <v/>
      </c>
      <c r="E68" s="3">
        <f>SUM(B68:D68)</f>
        <v/>
      </c>
      <c r="G68" s="3" t="n">
        <v>0</v>
      </c>
    </row>
    <row r="69">
      <c r="A69" t="inlineStr">
        <is>
          <t>FCI Goal Pesos</t>
        </is>
      </c>
      <c r="B69" s="3">
        <f>SUMIF(Saldos!$A:$A,"BIY|INVERSIONES|ARS|FCI_GOAL_PESOS",Saldos!$G:$G)</f>
        <v/>
      </c>
      <c r="C69" s="3">
        <f>SUMIF(Saldos!$A:$A,"KAN|INVERSIONES|ARS|FCI_GOAL_PESOS",Saldos!$G:$G)</f>
        <v/>
      </c>
      <c r="D69" s="3">
        <f>SUMIF(Saldos!$A:$A,"REB|INVERSIONES|ARS|FCI_GOAL_PESOS",Saldos!$G:$G)</f>
        <v/>
      </c>
      <c r="E69" s="3">
        <f>SUM(B69:D69)</f>
        <v/>
      </c>
      <c r="G69" s="3">
        <f>SUMIF(Saldos!$A:$A,"UT|INVERSIONES|ARS|FCI_GOAL_PESOS",Saldos!$G:$G)</f>
        <v/>
      </c>
    </row>
    <row r="70">
      <c r="A70" t="inlineStr">
        <is>
          <t>FCI acciones / Goal Capital Plus (slot)</t>
        </is>
      </c>
      <c r="B70" s="3">
        <f>SUMIF(Saldos!$A:$A,"BIY|INVERSIONES|ARS|FCI_ACCIONES_ARGENTINAS",Saldos!$G:$G)</f>
        <v/>
      </c>
      <c r="C70" s="3">
        <f>SUMIF(Saldos!$A:$A,"KAN|INVERSIONES|ARS|FCI_GOAL_CAPITAL_PLUS",Saldos!$G:$G)</f>
        <v/>
      </c>
      <c r="D70" s="3">
        <f>SUMIF(Saldos!$A:$A,"REB|INVERSIONES|ARS|FCI_GOAL_CAPITAL_PLUS",Saldos!$G:$G)</f>
        <v/>
      </c>
      <c r="E70" s="3">
        <f>SUM(B70:D70)</f>
        <v/>
      </c>
      <c r="G70" s="3" t="n">
        <v>0</v>
      </c>
    </row>
    <row r="71">
      <c r="A71" t="inlineStr">
        <is>
          <t>IAM Ahorro Pesos</t>
        </is>
      </c>
      <c r="B71" s="3">
        <f>SUMIF(Saldos!$A:$A,"BIY|INVERSIONES|ARS|IAM_AHORRO_PESOS",Saldos!$G:$G)</f>
        <v/>
      </c>
      <c r="C71" s="3">
        <f>SUMIF(Saldos!$A:$A,"KAN|INVERSIONES|ARS|IAM_AHORRO_PESOS",Saldos!$G:$G)</f>
        <v/>
      </c>
      <c r="D71" s="3">
        <f>SUMIF(Saldos!$A:$A,"REB|INVERSIONES|ARS|IAM_AHORRO_PESOS",Saldos!$G:$G)</f>
        <v/>
      </c>
      <c r="E71" s="3">
        <f>SUM(B71:D71)</f>
        <v/>
      </c>
      <c r="G71" s="3" t="n">
        <v>0</v>
      </c>
    </row>
    <row r="72">
      <c r="A72" t="inlineStr">
        <is>
          <t>Plazo fijo</t>
        </is>
      </c>
      <c r="B72" s="3">
        <f>SUMIF(Saldos!$A:$A,"BIY|INVERSIONES|ARS|PLAZO_FIJO",Saldos!$G:$G)</f>
        <v/>
      </c>
      <c r="C72" s="3">
        <f>SUMIF(Saldos!$A:$A,"KAN|INVERSIONES|ARS|PLAZO_FIJO",Saldos!$G:$G)</f>
        <v/>
      </c>
      <c r="D72" s="3">
        <f>SUMIF(Saldos!$A:$A,"REB|INVERSIONES|ARS|PLAZO_FIJO",Saldos!$G:$G)</f>
        <v/>
      </c>
      <c r="E72" s="3">
        <f>SUM(B72:D72)</f>
        <v/>
      </c>
      <c r="G72" s="3" t="n">
        <v>0</v>
      </c>
    </row>
    <row r="73">
      <c r="A73" t="inlineStr">
        <is>
          <t>Otros</t>
        </is>
      </c>
      <c r="B73" s="3">
        <f>SUMIF(Saldos!$A:$A,"BIY|INVERSIONES|ARS|OTROS",Saldos!$G:$G)</f>
        <v/>
      </c>
      <c r="C73" s="3">
        <f>SUMIF(Saldos!$A:$A,"KAN|INVERSIONES|ARS|FCI_GOAL_PESOS#127",Saldos!$G:$G)</f>
        <v/>
      </c>
      <c r="D73" s="3">
        <f>SUMIF(Saldos!$A:$A,"REB|INVERSIONES|ARS|OTROS",Saldos!$G:$G)</f>
        <v/>
      </c>
      <c r="E73" s="3">
        <f>SUM(B73:D73)</f>
        <v/>
      </c>
      <c r="G73" s="3" t="n">
        <v>0</v>
      </c>
    </row>
    <row r="74">
      <c r="A74" t="inlineStr">
        <is>
          <t>Total</t>
        </is>
      </c>
      <c r="B74" s="3">
        <f>SUM(B66:B73)</f>
        <v/>
      </c>
      <c r="C74" s="3">
        <f>SUM(C66:C73)</f>
        <v/>
      </c>
      <c r="D74" s="3">
        <f>SUM(D66:D73)</f>
        <v/>
      </c>
      <c r="E74" s="3">
        <f>SUM(E66:E73)</f>
        <v/>
      </c>
      <c r="G74" s="3">
        <f>SUM(G66:G73)</f>
        <v/>
      </c>
    </row>
    <row r="76">
      <c r="A76" t="inlineStr">
        <is>
          <t>4) Cheques y proyecciones — pendiente Fase 2/3</t>
        </is>
      </c>
    </row>
    <row r="78">
      <c r="A78" t="inlineStr">
        <is>
          <t>Notas</t>
        </is>
      </c>
    </row>
    <row r="79">
      <c r="A79" t="inlineStr">
        <is>
          <t>Saldos es el dato base. Cambiar E1 (fecha) actualiza saldo_dia. Provincia USD Kan/Reb corregidos (ya no apuntan a Francés EUR / Macro tránsito).</t>
        </is>
      </c>
    </row>
    <row r="80"/>
  </sheetData>
  <mergeCells count="1">
    <mergeCell ref="A79:G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t="inlineStr">
        <is>
          <t>celda_resumen</t>
        </is>
      </c>
      <c r="B1" t="inlineStr">
        <is>
          <t>codigos</t>
        </is>
      </c>
      <c r="C1" t="inlineStr">
        <is>
          <t>nota</t>
        </is>
      </c>
    </row>
    <row r="2">
      <c r="A2" t="inlineStr">
        <is>
          <t>B6</t>
        </is>
      </c>
      <c r="B2" t="inlineStr">
        <is>
          <t>BIY|MACRO|ARS|CC + BIY|MACRO|ARS|TRANSITO</t>
        </is>
      </c>
    </row>
    <row r="3">
      <c r="A3" t="inlineStr">
        <is>
          <t>C6</t>
        </is>
      </c>
      <c r="B3" t="inlineStr">
        <is>
          <t>KAN|MACRO|ARS|CC + KAN|MACRO|ARS|TRANSITO + KAN|MACRO|ARS|CA</t>
        </is>
      </c>
    </row>
    <row r="4">
      <c r="A4" t="inlineStr">
        <is>
          <t>D6</t>
        </is>
      </c>
      <c r="B4" t="inlineStr">
        <is>
          <t>REB|MACRO|ARS|CC + REB|MACRO|ARS|TRANSITO + REB|MACRO|ARS|CA</t>
        </is>
      </c>
    </row>
    <row r="5">
      <c r="A5" t="inlineStr">
        <is>
          <t>G6</t>
        </is>
      </c>
      <c r="B5" t="inlineStr">
        <is>
          <t>UT|MACRO|ARS|CC</t>
        </is>
      </c>
    </row>
    <row r="6">
      <c r="A6" t="inlineStr">
        <is>
          <t>B7</t>
        </is>
      </c>
      <c r="B6" t="inlineStr">
        <is>
          <t>BIY|ITAU|ARS|CC + BIY|ITAU|ARS|TRANSITO + BIY|ITAU|ARS|AVELLANEDA</t>
        </is>
      </c>
    </row>
    <row r="7">
      <c r="A7" t="inlineStr">
        <is>
          <t>C7</t>
        </is>
      </c>
      <c r="B7" t="inlineStr">
        <is>
          <t>KAN|ITAU|ARS|CC</t>
        </is>
      </c>
    </row>
    <row r="8">
      <c r="A8" t="inlineStr">
        <is>
          <t>D7</t>
        </is>
      </c>
      <c r="B8" t="inlineStr">
        <is>
          <t>REB|ITAU|ARS|CC + REB|ITAU|ARS|TRANSITO + REB|ITAU|ARS|AVELLANEDA</t>
        </is>
      </c>
    </row>
    <row r="9">
      <c r="A9" t="inlineStr">
        <is>
          <t>B8</t>
        </is>
      </c>
      <c r="B9" t="inlineStr">
        <is>
          <t>BIY|FRANCES|ARS|CC</t>
        </is>
      </c>
    </row>
    <row r="10">
      <c r="A10" t="inlineStr">
        <is>
          <t>C8</t>
        </is>
      </c>
      <c r="B10" t="inlineStr">
        <is>
          <t>KAN|FRANCES|ARS|CC</t>
        </is>
      </c>
    </row>
    <row r="11">
      <c r="A11" t="inlineStr">
        <is>
          <t>D8</t>
        </is>
      </c>
      <c r="B11" t="inlineStr">
        <is>
          <t>REB|FRANCES|ARS|CC</t>
        </is>
      </c>
    </row>
    <row r="12">
      <c r="A12" t="inlineStr">
        <is>
          <t>B9</t>
        </is>
      </c>
      <c r="B12" t="inlineStr">
        <is>
          <t>BIY|BAPRO|ARS|CC + BIY|BAPRO|ARS|TRANSITO</t>
        </is>
      </c>
    </row>
    <row r="13">
      <c r="A13" t="inlineStr">
        <is>
          <t>C9</t>
        </is>
      </c>
      <c r="B13" t="inlineStr">
        <is>
          <t>KAN|BAPRO|ARS|CC + KAN|BAPRO|ARS|TRANSITO</t>
        </is>
      </c>
    </row>
    <row r="14">
      <c r="A14" t="inlineStr">
        <is>
          <t>D9</t>
        </is>
      </c>
      <c r="B14" t="inlineStr">
        <is>
          <t>REB|BAPRO|ARS|CC + REB|BAPRO|ARS|TRANSITO</t>
        </is>
      </c>
    </row>
    <row r="15">
      <c r="A15" t="inlineStr">
        <is>
          <t>B10</t>
        </is>
      </c>
      <c r="B15" t="inlineStr">
        <is>
          <t>BIY|BNA|ARS|CC + BIY|BNA|ARS|TRANSITO</t>
        </is>
      </c>
    </row>
    <row r="16">
      <c r="A16" t="inlineStr">
        <is>
          <t>C10</t>
        </is>
      </c>
      <c r="B16" t="inlineStr">
        <is>
          <t>KAN|BNA|ARS|CC + KAN|BNA|ARS|TRANSITO</t>
        </is>
      </c>
    </row>
    <row r="17">
      <c r="A17" t="inlineStr">
        <is>
          <t>D10</t>
        </is>
      </c>
      <c r="B17" t="inlineStr">
        <is>
          <t>REB|BNA|ARS|CC + REB|BNA|ARS|TRANSITO</t>
        </is>
      </c>
    </row>
    <row r="18">
      <c r="A18" t="inlineStr">
        <is>
          <t>B11</t>
        </is>
      </c>
      <c r="B18" t="inlineStr">
        <is>
          <t>BIY|BIBANK|ARS|CC + BIY|BIBANK|ARS|TRANSITO</t>
        </is>
      </c>
    </row>
    <row r="19">
      <c r="A19" t="inlineStr">
        <is>
          <t>C11</t>
        </is>
      </c>
      <c r="B19" t="inlineStr">
        <is>
          <t>KAN|BIBANK|ARS|CC + KAN|BIBANK|ARS|TRANSITO</t>
        </is>
      </c>
    </row>
    <row r="20">
      <c r="A20" t="inlineStr">
        <is>
          <t>D11</t>
        </is>
      </c>
      <c r="B20" t="inlineStr">
        <is>
          <t>REB|BIBANK|ARS|CC + REB|BIBANK|ARS|TRANSITO</t>
        </is>
      </c>
    </row>
    <row r="21">
      <c r="A21" t="inlineStr">
        <is>
          <t>B12</t>
        </is>
      </c>
      <c r="B21" t="inlineStr">
        <is>
          <t>BIY|BIND|ARS|CC + BIY|BIND|ARS|TRANSITO</t>
        </is>
      </c>
    </row>
    <row r="22">
      <c r="A22" t="inlineStr">
        <is>
          <t>C12</t>
        </is>
      </c>
      <c r="B22" t="inlineStr">
        <is>
          <t>KAN|BIND|ARS|CC + KAN|BIND|ARS|TRANSITO</t>
        </is>
      </c>
    </row>
    <row r="23">
      <c r="A23" t="inlineStr">
        <is>
          <t>D12</t>
        </is>
      </c>
      <c r="B23" t="inlineStr">
        <is>
          <t>REB|BIND|ARS|CC + REB|BIND|ARS|TRANSITO</t>
        </is>
      </c>
    </row>
    <row r="24">
      <c r="A24" t="inlineStr">
        <is>
          <t>B13</t>
        </is>
      </c>
      <c r="B24" t="inlineStr">
        <is>
          <t>BIY|MACO|ARS|CC</t>
        </is>
      </c>
    </row>
    <row r="25">
      <c r="A25" t="inlineStr">
        <is>
          <t>C13</t>
        </is>
      </c>
      <c r="B25" t="inlineStr">
        <is>
          <t>KAN|MACO|ARS|CC</t>
        </is>
      </c>
    </row>
    <row r="26">
      <c r="A26" t="inlineStr">
        <is>
          <t>D13</t>
        </is>
      </c>
      <c r="B26" t="inlineStr">
        <is>
          <t>REB|MACO|ARS|CC</t>
        </is>
      </c>
    </row>
    <row r="27">
      <c r="A27" t="inlineStr">
        <is>
          <t>G14</t>
        </is>
      </c>
      <c r="B27" t="inlineStr">
        <is>
          <t>UT|CIUDAD|ARS|CC + UT|CIUDAD|ARS|LOTBA</t>
        </is>
      </c>
    </row>
    <row r="28">
      <c r="A28" t="inlineStr">
        <is>
          <t>B15</t>
        </is>
      </c>
      <c r="B28" t="inlineStr">
        <is>
          <t>BIY|MP|ARS|SALDO</t>
        </is>
      </c>
    </row>
    <row r="29">
      <c r="A29" t="inlineStr">
        <is>
          <t>C15</t>
        </is>
      </c>
      <c r="B29" t="inlineStr">
        <is>
          <t>KAN|MP|ARS|SALDO</t>
        </is>
      </c>
    </row>
    <row r="30">
      <c r="A30" t="inlineStr">
        <is>
          <t>D15</t>
        </is>
      </c>
      <c r="B30" t="inlineStr">
        <is>
          <t>REB|MP|ARS|SALDO</t>
        </is>
      </c>
    </row>
    <row r="31">
      <c r="A31" t="inlineStr">
        <is>
          <t>G15</t>
        </is>
      </c>
      <c r="B31" t="inlineStr">
        <is>
          <t>UT|MACRO|ARS|TRANSITO</t>
        </is>
      </c>
    </row>
    <row r="32">
      <c r="A32" t="inlineStr">
        <is>
          <t>B16</t>
        </is>
      </c>
      <c r="B32" t="inlineStr">
        <is>
          <t>BIY|TESORERIA|ARS|CC</t>
        </is>
      </c>
    </row>
    <row r="33">
      <c r="A33" t="inlineStr">
        <is>
          <t>C16</t>
        </is>
      </c>
      <c r="B33" t="inlineStr">
        <is>
          <t>KAN|TESORERIA|ARS|CC</t>
        </is>
      </c>
    </row>
    <row r="34">
      <c r="A34" t="inlineStr">
        <is>
          <t>D16</t>
        </is>
      </c>
      <c r="B34" t="inlineStr">
        <is>
          <t>REB|TESORERIA|ARS|CC</t>
        </is>
      </c>
    </row>
    <row r="35">
      <c r="A35" t="inlineStr">
        <is>
          <t>B20</t>
        </is>
      </c>
      <c r="B35" t="inlineStr">
        <is>
          <t>BIY|MACRO|USD|CC</t>
        </is>
      </c>
    </row>
    <row r="36">
      <c r="A36" t="inlineStr">
        <is>
          <t>C20</t>
        </is>
      </c>
      <c r="B36" t="inlineStr">
        <is>
          <t>KAN|MACRO|USD|CC</t>
        </is>
      </c>
    </row>
    <row r="37">
      <c r="A37" t="inlineStr">
        <is>
          <t>D20</t>
        </is>
      </c>
      <c r="B37" t="inlineStr">
        <is>
          <t>REB|MACRO|USD|CC</t>
        </is>
      </c>
    </row>
    <row r="38">
      <c r="A38" t="inlineStr">
        <is>
          <t>B21</t>
        </is>
      </c>
      <c r="B38" t="inlineStr">
        <is>
          <t>BIY|ITAU|USD|CC</t>
        </is>
      </c>
    </row>
    <row r="39">
      <c r="A39" t="inlineStr">
        <is>
          <t>C21</t>
        </is>
      </c>
      <c r="B39" t="inlineStr">
        <is>
          <t>KAN|ITAU|USD|CC</t>
        </is>
      </c>
    </row>
    <row r="40">
      <c r="A40" t="inlineStr">
        <is>
          <t>D21</t>
        </is>
      </c>
      <c r="B40" t="inlineStr">
        <is>
          <t>REB|ITAU|USD|CC</t>
        </is>
      </c>
    </row>
    <row r="41">
      <c r="A41" t="inlineStr">
        <is>
          <t>B22</t>
        </is>
      </c>
      <c r="B41" t="inlineStr">
        <is>
          <t>BIY|FRANCES|USD|CC</t>
        </is>
      </c>
    </row>
    <row r="42">
      <c r="A42" t="inlineStr">
        <is>
          <t>C22</t>
        </is>
      </c>
      <c r="B42" t="inlineStr">
        <is>
          <t>KAN|FRANCES|USD|CC</t>
        </is>
      </c>
    </row>
    <row r="43">
      <c r="A43" t="inlineStr">
        <is>
          <t>D22</t>
        </is>
      </c>
      <c r="B43" t="inlineStr">
        <is>
          <t>REB|FRANCES|USD|CC</t>
        </is>
      </c>
    </row>
    <row r="44">
      <c r="A44" t="inlineStr">
        <is>
          <t>B23</t>
        </is>
      </c>
      <c r="B44" t="inlineStr">
        <is>
          <t>BIY|BAPRO|USD|CC</t>
        </is>
      </c>
    </row>
    <row r="45">
      <c r="A45" t="inlineStr">
        <is>
          <t>C23</t>
        </is>
      </c>
      <c r="B45" t="inlineStr">
        <is>
          <t>KAN|BAPRO|USD|CC</t>
        </is>
      </c>
      <c r="C45" t="inlineStr">
        <is>
          <t>FIX vs Excel viejo (antes fila 84 Francés EUR)</t>
        </is>
      </c>
    </row>
    <row r="46">
      <c r="A46" t="inlineStr">
        <is>
          <t>D23</t>
        </is>
      </c>
      <c r="B46" t="inlineStr">
        <is>
          <t>REB|BAPRO|USD|CC</t>
        </is>
      </c>
      <c r="C46" t="inlineStr">
        <is>
          <t>FIX vs Excel viejo (antes fila 135 Macro tránsito)</t>
        </is>
      </c>
    </row>
    <row r="47">
      <c r="A47" t="inlineStr">
        <is>
          <t>B24</t>
        </is>
      </c>
      <c r="B47" t="inlineStr">
        <is>
          <t>BIY|BNA|USD|CC</t>
        </is>
      </c>
    </row>
    <row r="48">
      <c r="A48" t="inlineStr">
        <is>
          <t>C24</t>
        </is>
      </c>
      <c r="B48" t="inlineStr">
        <is>
          <t>KAN|BNA|USD|CC</t>
        </is>
      </c>
    </row>
    <row r="49">
      <c r="A49" t="inlineStr">
        <is>
          <t>D24</t>
        </is>
      </c>
      <c r="B49" t="inlineStr">
        <is>
          <t>REB|BNA|USD|CC</t>
        </is>
      </c>
    </row>
    <row r="50">
      <c r="A50" t="inlineStr">
        <is>
          <t>B25</t>
        </is>
      </c>
      <c r="B50" t="inlineStr">
        <is>
          <t>BIY|BIBANK|USD|CC</t>
        </is>
      </c>
    </row>
    <row r="51">
      <c r="A51" t="inlineStr">
        <is>
          <t>C25</t>
        </is>
      </c>
      <c r="B51" t="inlineStr">
        <is>
          <t>KAN|BIBANK|USD|CC</t>
        </is>
      </c>
    </row>
    <row r="52">
      <c r="A52" t="inlineStr">
        <is>
          <t>D25</t>
        </is>
      </c>
      <c r="B52" t="inlineStr">
        <is>
          <t>REB|BIBANK|USD|CC</t>
        </is>
      </c>
    </row>
    <row r="53">
      <c r="A53" t="inlineStr">
        <is>
          <t>B26</t>
        </is>
      </c>
      <c r="B53" t="inlineStr">
        <is>
          <t>BIY|BIND|USD|CC</t>
        </is>
      </c>
    </row>
    <row r="54">
      <c r="A54" t="inlineStr">
        <is>
          <t>C26</t>
        </is>
      </c>
      <c r="B54" t="inlineStr">
        <is>
          <t>KAN|BIND|USD|CC</t>
        </is>
      </c>
    </row>
    <row r="55">
      <c r="A55" t="inlineStr">
        <is>
          <t>D26</t>
        </is>
      </c>
      <c r="B55" t="inlineStr">
        <is>
          <t>REB|BIND|USD|CC</t>
        </is>
      </c>
    </row>
    <row r="56">
      <c r="A56" t="inlineStr">
        <is>
          <t>B27</t>
        </is>
      </c>
      <c r="B56" t="inlineStr">
        <is>
          <t>BIY|MACO|USD|CC</t>
        </is>
      </c>
    </row>
    <row r="57">
      <c r="A57" t="inlineStr">
        <is>
          <t>C27</t>
        </is>
      </c>
      <c r="B57" t="inlineStr">
        <is>
          <t>KAN|MACO|USD|CC</t>
        </is>
      </c>
    </row>
    <row r="58">
      <c r="A58" t="inlineStr">
        <is>
          <t>D27</t>
        </is>
      </c>
      <c r="B58" t="inlineStr">
        <is>
          <t>REB|MACO|USD|CC</t>
        </is>
      </c>
    </row>
    <row r="59">
      <c r="A59" t="inlineStr">
        <is>
          <t>B28</t>
        </is>
      </c>
      <c r="B59" t="inlineStr">
        <is>
          <t>BIY|TESORERIA|USD|CC</t>
        </is>
      </c>
    </row>
    <row r="60">
      <c r="A60" t="inlineStr">
        <is>
          <t>C28</t>
        </is>
      </c>
      <c r="B60" t="inlineStr">
        <is>
          <t>KAN|TESORERIA|USD|CC</t>
        </is>
      </c>
    </row>
    <row r="61">
      <c r="A61" t="inlineStr">
        <is>
          <t>D28</t>
        </is>
      </c>
      <c r="B61" t="inlineStr">
        <is>
          <t>REB|TESORERIA|USD|CC</t>
        </is>
      </c>
    </row>
    <row r="62">
      <c r="A62" t="inlineStr">
        <is>
          <t>B66</t>
        </is>
      </c>
      <c r="B62" t="inlineStr">
        <is>
          <t>BIY|INVERSIONES|ARS|FCI_GOAL_RENTA_GLOBAL</t>
        </is>
      </c>
    </row>
    <row r="63">
      <c r="A63" t="inlineStr">
        <is>
          <t>C66</t>
        </is>
      </c>
      <c r="B63" t="inlineStr">
        <is>
          <t>KAN|INVERSIONES|ARS|FCI_PIONERO_PESOS</t>
        </is>
      </c>
    </row>
    <row r="64">
      <c r="A64" t="inlineStr">
        <is>
          <t>D66</t>
        </is>
      </c>
      <c r="B64" t="inlineStr">
        <is>
          <t>REB|INVERSIONES|ARS|FCI_PIONERO_PESOS</t>
        </is>
      </c>
    </row>
    <row r="65">
      <c r="A65" t="inlineStr">
        <is>
          <t>B67</t>
        </is>
      </c>
      <c r="B65" t="inlineStr">
        <is>
          <t>BIY|INVERSIONES|ARS|FCI_PIONERO_RENTA_AHORRO</t>
        </is>
      </c>
    </row>
    <row r="66">
      <c r="A66" t="inlineStr">
        <is>
          <t>C67</t>
        </is>
      </c>
      <c r="B66" t="inlineStr">
        <is>
          <t>KAN|INVERSIONES|ARS|FCI_PIONERO_RENTA_AHORRO</t>
        </is>
      </c>
    </row>
    <row r="67">
      <c r="A67" t="inlineStr">
        <is>
          <t>D67</t>
        </is>
      </c>
      <c r="B67" t="inlineStr">
        <is>
          <t>REB|INVERSIONES|ARS|FCI_PIONERO_RENTA_AHORRO</t>
        </is>
      </c>
    </row>
    <row r="68">
      <c r="A68" t="inlineStr">
        <is>
          <t>B68</t>
        </is>
      </c>
      <c r="B68" t="inlineStr">
        <is>
          <t>BIY|INVERSIONES|ARS|FCI_RENTA_CRECIMIENTO</t>
        </is>
      </c>
    </row>
    <row r="69">
      <c r="A69" t="inlineStr">
        <is>
          <t>C68</t>
        </is>
      </c>
      <c r="B69" t="inlineStr">
        <is>
          <t>KAN|INVERSIONES|ARS|FCI_PELLEGRINI_RENTA_PESOS</t>
        </is>
      </c>
    </row>
    <row r="70">
      <c r="A70" t="inlineStr">
        <is>
          <t>D68</t>
        </is>
      </c>
      <c r="B70" t="inlineStr">
        <is>
          <t>REB|INVERSIONES|ARS|FCI_PELLEGRINI_RENTA_PESOS</t>
        </is>
      </c>
    </row>
    <row r="71">
      <c r="A71" t="inlineStr">
        <is>
          <t>B69</t>
        </is>
      </c>
      <c r="B71" t="inlineStr">
        <is>
          <t>BIY|INVERSIONES|ARS|FCI_GOAL_PESOS</t>
        </is>
      </c>
    </row>
    <row r="72">
      <c r="A72" t="inlineStr">
        <is>
          <t>C69</t>
        </is>
      </c>
      <c r="B72" t="inlineStr">
        <is>
          <t>KAN|INVERSIONES|ARS|FCI_GOAL_PESOS</t>
        </is>
      </c>
    </row>
    <row r="73">
      <c r="A73" t="inlineStr">
        <is>
          <t>D69</t>
        </is>
      </c>
      <c r="B73" t="inlineStr">
        <is>
          <t>REB|INVERSIONES|ARS|FCI_GOAL_PESOS</t>
        </is>
      </c>
    </row>
    <row r="74">
      <c r="A74" t="inlineStr">
        <is>
          <t>G69</t>
        </is>
      </c>
      <c r="B74" t="inlineStr">
        <is>
          <t>UT|INVERSIONES|ARS|FCI_GOAL_PESOS</t>
        </is>
      </c>
    </row>
    <row r="75">
      <c r="A75" t="inlineStr">
        <is>
          <t>B70</t>
        </is>
      </c>
      <c r="B75" t="inlineStr">
        <is>
          <t>BIY|INVERSIONES|ARS|FCI_ACCIONES_ARGENTINAS</t>
        </is>
      </c>
    </row>
    <row r="76">
      <c r="A76" t="inlineStr">
        <is>
          <t>C70</t>
        </is>
      </c>
      <c r="B76" t="inlineStr">
        <is>
          <t>KAN|INVERSIONES|ARS|FCI_GOAL_CAPITAL_PLUS</t>
        </is>
      </c>
    </row>
    <row r="77">
      <c r="A77" t="inlineStr">
        <is>
          <t>D70</t>
        </is>
      </c>
      <c r="B77" t="inlineStr">
        <is>
          <t>REB|INVERSIONES|ARS|FCI_GOAL_CAPITAL_PLUS</t>
        </is>
      </c>
    </row>
    <row r="78">
      <c r="A78" t="inlineStr">
        <is>
          <t>B71</t>
        </is>
      </c>
      <c r="B78" t="inlineStr">
        <is>
          <t>BIY|INVERSIONES|ARS|IAM_AHORRO_PESOS</t>
        </is>
      </c>
    </row>
    <row r="79">
      <c r="A79" t="inlineStr">
        <is>
          <t>C71</t>
        </is>
      </c>
      <c r="B79" t="inlineStr">
        <is>
          <t>KAN|INVERSIONES|ARS|IAM_AHORRO_PESOS</t>
        </is>
      </c>
    </row>
    <row r="80">
      <c r="A80" t="inlineStr">
        <is>
          <t>D71</t>
        </is>
      </c>
      <c r="B80" t="inlineStr">
        <is>
          <t>REB|INVERSIONES|ARS|IAM_AHORRO_PESOS</t>
        </is>
      </c>
    </row>
    <row r="81">
      <c r="A81" t="inlineStr">
        <is>
          <t>B72</t>
        </is>
      </c>
      <c r="B81" t="inlineStr">
        <is>
          <t>BIY|INVERSIONES|ARS|PLAZO_FIJO</t>
        </is>
      </c>
    </row>
    <row r="82">
      <c r="A82" t="inlineStr">
        <is>
          <t>C72</t>
        </is>
      </c>
      <c r="B82" t="inlineStr">
        <is>
          <t>KAN|INVERSIONES|ARS|PLAZO_FIJO</t>
        </is>
      </c>
    </row>
    <row r="83">
      <c r="A83" t="inlineStr">
        <is>
          <t>D72</t>
        </is>
      </c>
      <c r="B83" t="inlineStr">
        <is>
          <t>REB|INVERSIONES|ARS|PLAZO_FIJO</t>
        </is>
      </c>
    </row>
    <row r="84">
      <c r="A84" t="inlineStr">
        <is>
          <t>B73</t>
        </is>
      </c>
      <c r="B84" t="inlineStr">
        <is>
          <t>BIY|INVERSIONES|ARS|OTROS</t>
        </is>
      </c>
    </row>
    <row r="85">
      <c r="A85" t="inlineStr">
        <is>
          <t>C73</t>
        </is>
      </c>
      <c r="B85" t="inlineStr">
        <is>
          <t>KAN|INVERSIONES|ARS|FCI_GOAL_PESOS#127</t>
        </is>
      </c>
    </row>
    <row r="86">
      <c r="A86" t="inlineStr">
        <is>
          <t>D73</t>
        </is>
      </c>
      <c r="B86" t="inlineStr">
        <is>
          <t>REB|INVERSIONES|ARS|OTROS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usar esta plantilla</t>
        </is>
      </c>
    </row>
    <row r="3">
      <c r="A3" t="inlineStr">
        <is>
          <t>1. Hoja Saldos = dato base. Pegar/importar saldos Interbanking en las columnas de fecha (desde H).</t>
        </is>
      </c>
    </row>
    <row r="4">
      <c r="A4" t="inlineStr">
        <is>
          <t>2. Cada fila tiene un codigo estable (col A). No insertar filas a mano sin mantener el codigo.</t>
        </is>
      </c>
    </row>
    <row r="5">
      <c r="A5" t="inlineStr">
        <is>
          <t>3. Columna G (saldo_dia) toma el valor de la fecha indicada en Resumen!E1.</t>
        </is>
      </c>
    </row>
    <row r="6">
      <c r="A6" t="inlineStr">
        <is>
          <t>4. Resumen no usa HLOOKUP por número de fila: usa SUMIF por codigo.</t>
        </is>
      </c>
    </row>
    <row r="7">
      <c r="A7" t="inlineStr">
        <is>
          <t>5. Completar cotizaciones en Resumen!B41 (USD) y B42 (EUR).</t>
        </is>
      </c>
    </row>
    <row r="8">
      <c r="A8" t="inlineStr">
        <is>
          <t>6. Cheques y hojas por banco se agregan en Fase 2/3.</t>
        </is>
      </c>
    </row>
    <row r="9">
      <c r="A9" t="inlineStr">
        <is>
          <t>7. Generado desde docs/tesoreria/posicion-bancaria-diaria/generar_plantilla_posicion.py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2026-09-07T23:55:08Z</dcterms:created>
  <dcterms:modified xmlns:dcterms="http://purl.org/dc/terms/" xmlns:xsi="http://www.w3.org/2001/XMLSchema-instance" xsi:type="dcterms:W3CDTF">2026-09-07T23:55:08Z</dcterms:modified>
</cp:coreProperties>
</file>