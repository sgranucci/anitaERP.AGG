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barrios\Documents\"/>
    </mc:Choice>
  </mc:AlternateContent>
  <xr:revisionPtr revIDLastSave="0" documentId="13_ncr:1_{500E7BBA-9E26-42BC-88D5-018D6768D15A}" xr6:coauthVersionLast="47" xr6:coauthVersionMax="47" xr10:uidLastSave="{00000000-0000-0000-0000-000000000000}"/>
  <bookViews>
    <workbookView xWindow="-120" yWindow="-120" windowWidth="29040" windowHeight="15720" tabRatio="757" activeTab="1" xr2:uid="{00000000-000D-0000-FFFF-FFFF00000000}"/>
  </bookViews>
  <sheets>
    <sheet name="Resumen" sheetId="19" r:id="rId1"/>
    <sheet name="Biyemas S.A." sheetId="1" r:id="rId2"/>
    <sheet name="Kandiko S.A" sheetId="17" r:id="rId3"/>
    <sheet name="Rebisco S.A." sheetId="18" r:id="rId4"/>
    <sheet name="Tabla" sheetId="12" r:id="rId5"/>
    <sheet name="Seasonality" sheetId="9" state="hidden" r:id="rId6"/>
    <sheet name="Datos Biyemas" sheetId="14" r:id="rId7"/>
    <sheet name="Datos Kandiko" sheetId="15" r:id="rId8"/>
    <sheet name="Datos Rebisco" sheetId="16" r:id="rId9"/>
    <sheet name="Datos Consolidados" sheetId="2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U40" i="1"/>
  <c r="AT40" i="1"/>
  <c r="AU46" i="1"/>
  <c r="AU46" i="19" s="1"/>
  <c r="AT46" i="1"/>
  <c r="AT46" i="19" s="1"/>
  <c r="AS46" i="1"/>
  <c r="AS46" i="19" s="1"/>
  <c r="AR46" i="1"/>
  <c r="AR46" i="19" s="1"/>
  <c r="AQ46" i="1"/>
  <c r="AQ46" i="19" s="1"/>
  <c r="AU45" i="1"/>
  <c r="AU45" i="19" s="1"/>
  <c r="AT45" i="1"/>
  <c r="AT45" i="19" s="1"/>
  <c r="AS45" i="1"/>
  <c r="AS45" i="19" s="1"/>
  <c r="AR45" i="1"/>
  <c r="AR45" i="19" s="1"/>
  <c r="AQ45" i="1"/>
  <c r="AQ45" i="19" s="1"/>
  <c r="AO45" i="1"/>
  <c r="AN45" i="1"/>
  <c r="AU38" i="19"/>
  <c r="AS40" i="1"/>
  <c r="AR40" i="1"/>
  <c r="AQ40" i="1"/>
  <c r="AD40" i="1"/>
  <c r="AO40" i="1"/>
  <c r="AQ38" i="18"/>
  <c r="AR38" i="18"/>
  <c r="AS38" i="18"/>
  <c r="AT38" i="18"/>
  <c r="AQ38" i="17"/>
  <c r="AR38" i="17"/>
  <c r="AS38" i="17"/>
  <c r="AT38" i="17"/>
  <c r="AT38" i="1"/>
  <c r="AS38" i="1"/>
  <c r="AR38" i="1"/>
  <c r="AQ38" i="1"/>
  <c r="BK56" i="18"/>
  <c r="BJ56" i="18"/>
  <c r="BK47" i="18"/>
  <c r="BJ47" i="18"/>
  <c r="BK56" i="17"/>
  <c r="BK47" i="17"/>
  <c r="BK56" i="1"/>
  <c r="BK47" i="1"/>
  <c r="BJ39" i="1"/>
  <c r="BM56" i="17"/>
  <c r="BL56" i="17"/>
  <c r="BJ56" i="17"/>
  <c r="BM47" i="17"/>
  <c r="BL47" i="17"/>
  <c r="BJ47" i="17"/>
  <c r="BN56" i="1"/>
  <c r="BM56" i="1"/>
  <c r="BL56" i="1"/>
  <c r="BJ56" i="1"/>
  <c r="BM47" i="1"/>
  <c r="BL47" i="1"/>
  <c r="BJ47" i="1"/>
  <c r="BG47" i="1"/>
  <c r="BH47" i="1"/>
  <c r="BK45" i="1"/>
  <c r="BJ45" i="1"/>
  <c r="BK45" i="17"/>
  <c r="BJ45" i="17"/>
  <c r="BK45" i="18"/>
  <c r="BJ45" i="18"/>
  <c r="BK39" i="18"/>
  <c r="BJ39" i="18"/>
  <c r="BJ39" i="17"/>
  <c r="BK39" i="17"/>
  <c r="BK39" i="1"/>
  <c r="BH47" i="17"/>
  <c r="BG47" i="17"/>
  <c r="BH56" i="17"/>
  <c r="BG56" i="17"/>
  <c r="BH56" i="18"/>
  <c r="BG56" i="18"/>
  <c r="BH47" i="18"/>
  <c r="BG47" i="18"/>
  <c r="BI56" i="1"/>
  <c r="BH56" i="1"/>
  <c r="BG56" i="1"/>
  <c r="BF56" i="1"/>
  <c r="BF47" i="1"/>
  <c r="BF56" i="17"/>
  <c r="BF47" i="17"/>
  <c r="BF47" i="18"/>
  <c r="BF56" i="18"/>
  <c r="BF54" i="18"/>
  <c r="BF45" i="18"/>
  <c r="BF54" i="17"/>
  <c r="BF45" i="17"/>
  <c r="BF54" i="1"/>
  <c r="BF45" i="1"/>
  <c r="BE54" i="18"/>
  <c r="BE45" i="18"/>
  <c r="BE54" i="17"/>
  <c r="BE45" i="17"/>
  <c r="BE54" i="1"/>
  <c r="BE45" i="1"/>
  <c r="BE56" i="1"/>
  <c r="BE56" i="17"/>
  <c r="BE56" i="18"/>
  <c r="BE47" i="18"/>
  <c r="BE47" i="17"/>
  <c r="BE47" i="1"/>
  <c r="BK6" i="18"/>
  <c r="BK6" i="17"/>
  <c r="BK6" i="1"/>
  <c r="BN41" i="1"/>
  <c r="BG39" i="19"/>
  <c r="BF39" i="19"/>
  <c r="BE39" i="19"/>
  <c r="BG38" i="19"/>
  <c r="BF38" i="19"/>
  <c r="BE38" i="19"/>
  <c r="AV55" i="18"/>
  <c r="AV54" i="18"/>
  <c r="AV46" i="18"/>
  <c r="AV45" i="18"/>
  <c r="AV55" i="17"/>
  <c r="AV54" i="17"/>
  <c r="AV46" i="17"/>
  <c r="AV45" i="17"/>
  <c r="AV55" i="1"/>
  <c r="AV54" i="1"/>
  <c r="AV46" i="1"/>
  <c r="AV45" i="1"/>
  <c r="AN54" i="1"/>
  <c r="AN54" i="17"/>
  <c r="AN54" i="18"/>
  <c r="AN45" i="18"/>
  <c r="AN45" i="17"/>
  <c r="AV40" i="18"/>
  <c r="BE40" i="18" s="1"/>
  <c r="AV40" i="17"/>
  <c r="AV40" i="1"/>
  <c r="BG39" i="18"/>
  <c r="BF39" i="18"/>
  <c r="BE39" i="18"/>
  <c r="BG38" i="18"/>
  <c r="BF38" i="18"/>
  <c r="BE38" i="18"/>
  <c r="BG39" i="17"/>
  <c r="BF39" i="17"/>
  <c r="BE39" i="17"/>
  <c r="BG38" i="17"/>
  <c r="BF38" i="17"/>
  <c r="BE38" i="17"/>
  <c r="BG39" i="1"/>
  <c r="BF39" i="1"/>
  <c r="BE39" i="1"/>
  <c r="BG38" i="1"/>
  <c r="BF38" i="1"/>
  <c r="BE38" i="1"/>
  <c r="BA45" i="18"/>
  <c r="BK38" i="18"/>
  <c r="BJ38" i="18"/>
  <c r="BK38" i="17"/>
  <c r="BJ38" i="17"/>
  <c r="BK38" i="1"/>
  <c r="BJ38" i="1"/>
  <c r="AQ49" i="1" l="1"/>
  <c r="AU49" i="19"/>
  <c r="AU48" i="19"/>
  <c r="AR48" i="1"/>
  <c r="AV49" i="1"/>
  <c r="AQ48" i="1"/>
  <c r="AU48" i="1"/>
  <c r="AV48" i="1"/>
  <c r="AS48" i="1"/>
  <c r="AT49" i="1"/>
  <c r="AU49" i="1"/>
  <c r="AT48" i="1"/>
  <c r="AS49" i="1"/>
  <c r="AR49" i="1"/>
  <c r="BE40" i="1"/>
  <c r="AV57" i="1"/>
  <c r="BK6" i="19"/>
  <c r="BA38" i="18"/>
  <c r="BA38" i="17"/>
  <c r="BA38" i="1" l="1"/>
  <c r="AN38" i="18"/>
  <c r="AN38" i="17"/>
  <c r="AN38" i="1"/>
  <c r="AY38" i="18"/>
  <c r="AY38" i="17"/>
  <c r="AY38" i="1"/>
  <c r="BC38" i="18"/>
  <c r="BC38" i="17"/>
  <c r="BC38" i="1"/>
  <c r="AO46" i="18"/>
  <c r="AO46" i="17"/>
  <c r="AO45" i="17"/>
  <c r="AO55" i="17"/>
  <c r="AO54" i="17"/>
  <c r="AO55" i="18"/>
  <c r="AO54" i="18"/>
  <c r="AO45" i="18"/>
  <c r="AO55" i="1"/>
  <c r="AO40" i="17"/>
  <c r="BH39" i="19"/>
  <c r="BH39" i="1"/>
  <c r="B9" i="12"/>
  <c r="BL6" i="17"/>
  <c r="BB38" i="19"/>
  <c r="AZ38" i="19"/>
  <c r="AZ38" i="1"/>
  <c r="BB38" i="1"/>
  <c r="BB38" i="17"/>
  <c r="AZ38" i="17"/>
  <c r="BB38" i="18"/>
  <c r="AZ38" i="18"/>
  <c r="BI38" i="19"/>
  <c r="BH38" i="19"/>
  <c r="AO48" i="17" l="1"/>
  <c r="AO57" i="17"/>
  <c r="AO58" i="17"/>
  <c r="AO49" i="17"/>
  <c r="BI54" i="1"/>
  <c r="BH54" i="1"/>
  <c r="A3" i="18"/>
  <c r="A3" i="17"/>
  <c r="BI45" i="1"/>
  <c r="BI47" i="1" s="1"/>
  <c r="BH45" i="1"/>
  <c r="BN45" i="1"/>
  <c r="BN47" i="1" s="1"/>
  <c r="BM45" i="1"/>
  <c r="BN39" i="1"/>
  <c r="BM39" i="1"/>
  <c r="BN6" i="1"/>
  <c r="BN38" i="1"/>
  <c r="BI39" i="1"/>
  <c r="BI38" i="1"/>
  <c r="A53" i="18"/>
  <c r="A44" i="18"/>
  <c r="A53" i="17"/>
  <c r="A44" i="17"/>
  <c r="BP8" i="18"/>
  <c r="BP9" i="18"/>
  <c r="BP10" i="18"/>
  <c r="BP11" i="18"/>
  <c r="BP12" i="18"/>
  <c r="BP13" i="18"/>
  <c r="BP14" i="18"/>
  <c r="BP15" i="18"/>
  <c r="BP16" i="18"/>
  <c r="BP17" i="18"/>
  <c r="BP18" i="18"/>
  <c r="BP19" i="18"/>
  <c r="BP20" i="18"/>
  <c r="BP21" i="18"/>
  <c r="BP22" i="18"/>
  <c r="BP23" i="18"/>
  <c r="BP24" i="18"/>
  <c r="BP25" i="18"/>
  <c r="BP26" i="18"/>
  <c r="BP27" i="18"/>
  <c r="BP28" i="18"/>
  <c r="BP29" i="18"/>
  <c r="BP30" i="18"/>
  <c r="BP31" i="18"/>
  <c r="BP32" i="18"/>
  <c r="BP33" i="18"/>
  <c r="BP34" i="18"/>
  <c r="BP35" i="18"/>
  <c r="BP36" i="18"/>
  <c r="BP37" i="18"/>
  <c r="BP7" i="18"/>
  <c r="BP8" i="17"/>
  <c r="BP9" i="17"/>
  <c r="BP10" i="17"/>
  <c r="BP11" i="17"/>
  <c r="BP12" i="17"/>
  <c r="BP13" i="17"/>
  <c r="BP14" i="17"/>
  <c r="BP15" i="17"/>
  <c r="BP16" i="17"/>
  <c r="BP17" i="17"/>
  <c r="BP18" i="17"/>
  <c r="BP19" i="17"/>
  <c r="BP20" i="17"/>
  <c r="BP21" i="17"/>
  <c r="BP22" i="17"/>
  <c r="BP23" i="17"/>
  <c r="BP24" i="17"/>
  <c r="BP25" i="17"/>
  <c r="BP26" i="17"/>
  <c r="BP27" i="17"/>
  <c r="BP28" i="17"/>
  <c r="BP29" i="17"/>
  <c r="BP30" i="17"/>
  <c r="BP31" i="17"/>
  <c r="BP32" i="17"/>
  <c r="BP33" i="17"/>
  <c r="BP34" i="17"/>
  <c r="BP35" i="17"/>
  <c r="BP36" i="17"/>
  <c r="BP37" i="17"/>
  <c r="BP7" i="17"/>
  <c r="BM56" i="18"/>
  <c r="BL56" i="18"/>
  <c r="AL55" i="18"/>
  <c r="AK55" i="18"/>
  <c r="AI55" i="18"/>
  <c r="BG55" i="18" s="1"/>
  <c r="BL55" i="18" s="1"/>
  <c r="AH55" i="18"/>
  <c r="AG55" i="18"/>
  <c r="AF55" i="18"/>
  <c r="AE55" i="18"/>
  <c r="AD55" i="18"/>
  <c r="BF55" i="18" s="1"/>
  <c r="BK55" i="18" s="1"/>
  <c r="AC55" i="18"/>
  <c r="Y55" i="18"/>
  <c r="X55" i="18"/>
  <c r="W55" i="18"/>
  <c r="V55" i="18"/>
  <c r="O55" i="18"/>
  <c r="N55" i="18"/>
  <c r="M55" i="18"/>
  <c r="L55" i="18"/>
  <c r="G55" i="18"/>
  <c r="F55" i="18"/>
  <c r="E55" i="18"/>
  <c r="D55" i="18"/>
  <c r="C55" i="18"/>
  <c r="BH54" i="18"/>
  <c r="BG54" i="18"/>
  <c r="BC54" i="18"/>
  <c r="BA54" i="18"/>
  <c r="AL54" i="18"/>
  <c r="AK54" i="18"/>
  <c r="AI54" i="18"/>
  <c r="AH54" i="18"/>
  <c r="AG54" i="18"/>
  <c r="AF54" i="18"/>
  <c r="AE54" i="18"/>
  <c r="AD54" i="18"/>
  <c r="Y54" i="18"/>
  <c r="X54" i="18"/>
  <c r="W54" i="18"/>
  <c r="O54" i="18"/>
  <c r="N54" i="18"/>
  <c r="M54" i="18"/>
  <c r="G54" i="18"/>
  <c r="F54" i="18"/>
  <c r="E54" i="18"/>
  <c r="C54" i="18"/>
  <c r="BM47" i="18"/>
  <c r="BL47" i="18"/>
  <c r="BE46" i="18"/>
  <c r="BJ46" i="18" s="1"/>
  <c r="AL46" i="18"/>
  <c r="BH46" i="18" s="1"/>
  <c r="BM46" i="18" s="1"/>
  <c r="AK46" i="18"/>
  <c r="AI46" i="18"/>
  <c r="BG46" i="18" s="1"/>
  <c r="BL46" i="18" s="1"/>
  <c r="AH46" i="18"/>
  <c r="AG46" i="18"/>
  <c r="AF46" i="18"/>
  <c r="AE46" i="18"/>
  <c r="AD46" i="18"/>
  <c r="BF46" i="18" s="1"/>
  <c r="BK46" i="18" s="1"/>
  <c r="AC46" i="18"/>
  <c r="Y46" i="18"/>
  <c r="X46" i="18"/>
  <c r="W46" i="18"/>
  <c r="V46" i="18"/>
  <c r="O46" i="18"/>
  <c r="N46" i="18"/>
  <c r="M46" i="18"/>
  <c r="L46" i="18"/>
  <c r="G46" i="18"/>
  <c r="F46" i="18"/>
  <c r="E46" i="18"/>
  <c r="D46" i="18"/>
  <c r="C46" i="18"/>
  <c r="BM45" i="18"/>
  <c r="BL45" i="18"/>
  <c r="BH45" i="18"/>
  <c r="BG45" i="18"/>
  <c r="BC45" i="18"/>
  <c r="AL45" i="18"/>
  <c r="AK45" i="18"/>
  <c r="AI45" i="18"/>
  <c r="AH45" i="18"/>
  <c r="AG45" i="18"/>
  <c r="AF45" i="18"/>
  <c r="AE45" i="18"/>
  <c r="AD45" i="18"/>
  <c r="Y45" i="18"/>
  <c r="X45" i="18"/>
  <c r="W45" i="18"/>
  <c r="O45" i="18"/>
  <c r="N45" i="18"/>
  <c r="M45" i="18"/>
  <c r="G45" i="18"/>
  <c r="F45" i="18"/>
  <c r="E45" i="18"/>
  <c r="C45" i="18"/>
  <c r="AL40" i="18"/>
  <c r="BH40" i="18" s="1"/>
  <c r="AK40" i="18"/>
  <c r="AI40" i="18"/>
  <c r="AH40" i="18"/>
  <c r="AG40" i="18"/>
  <c r="AF40" i="18"/>
  <c r="AE40" i="18"/>
  <c r="AD40" i="18"/>
  <c r="BF40" i="18" s="1"/>
  <c r="Y40" i="18"/>
  <c r="X40" i="18"/>
  <c r="W40" i="18"/>
  <c r="V40" i="18"/>
  <c r="O40" i="18"/>
  <c r="N40" i="18"/>
  <c r="M40" i="18"/>
  <c r="L40" i="18"/>
  <c r="G40" i="18"/>
  <c r="F40" i="18"/>
  <c r="E40" i="18"/>
  <c r="D40" i="18"/>
  <c r="C40" i="18"/>
  <c r="BM39" i="18"/>
  <c r="BL39" i="18"/>
  <c r="BH39" i="18"/>
  <c r="BM6" i="18"/>
  <c r="BL6" i="18"/>
  <c r="AZ6" i="18"/>
  <c r="BE55" i="17"/>
  <c r="BJ55" i="17" s="1"/>
  <c r="AL55" i="17"/>
  <c r="AK55" i="17"/>
  <c r="AI55" i="17"/>
  <c r="BG55" i="17" s="1"/>
  <c r="AH55" i="17"/>
  <c r="AG55" i="17"/>
  <c r="AF55" i="17"/>
  <c r="AE55" i="17"/>
  <c r="AD55" i="17"/>
  <c r="BF55" i="17" s="1"/>
  <c r="BK55" i="17" s="1"/>
  <c r="AC55" i="17"/>
  <c r="Y55" i="17"/>
  <c r="X55" i="17"/>
  <c r="W55" i="17"/>
  <c r="V55" i="17"/>
  <c r="O55" i="17"/>
  <c r="N55" i="17"/>
  <c r="M55" i="17"/>
  <c r="L55" i="17"/>
  <c r="G55" i="17"/>
  <c r="F55" i="17"/>
  <c r="E55" i="17"/>
  <c r="D55" i="17"/>
  <c r="C55" i="17"/>
  <c r="BH54" i="17"/>
  <c r="BG54" i="17"/>
  <c r="BC54" i="17"/>
  <c r="BA54" i="17"/>
  <c r="BN54" i="17"/>
  <c r="AL54" i="17"/>
  <c r="AK54" i="17"/>
  <c r="AI54" i="17"/>
  <c r="AH54" i="17"/>
  <c r="AG54" i="17"/>
  <c r="AF54" i="17"/>
  <c r="AE54" i="17"/>
  <c r="AD54" i="17"/>
  <c r="Y54" i="17"/>
  <c r="X54" i="17"/>
  <c r="W54" i="17"/>
  <c r="O54" i="17"/>
  <c r="N54" i="17"/>
  <c r="M54" i="17"/>
  <c r="G54" i="17"/>
  <c r="F54" i="17"/>
  <c r="E54" i="17"/>
  <c r="C54" i="17"/>
  <c r="AL46" i="17"/>
  <c r="BH46" i="17" s="1"/>
  <c r="BM46" i="17" s="1"/>
  <c r="AK46" i="17"/>
  <c r="AI46" i="17"/>
  <c r="BG46" i="17" s="1"/>
  <c r="BL46" i="17" s="1"/>
  <c r="AH46" i="17"/>
  <c r="AG46" i="17"/>
  <c r="AF46" i="17"/>
  <c r="AE46" i="17"/>
  <c r="AD46" i="17"/>
  <c r="AC46" i="17"/>
  <c r="Y46" i="17"/>
  <c r="X46" i="17"/>
  <c r="W46" i="17"/>
  <c r="V46" i="17"/>
  <c r="O46" i="17"/>
  <c r="N46" i="17"/>
  <c r="M46" i="17"/>
  <c r="L46" i="17"/>
  <c r="G46" i="17"/>
  <c r="F46" i="17"/>
  <c r="E46" i="17"/>
  <c r="D46" i="17"/>
  <c r="C46" i="17"/>
  <c r="BM45" i="17"/>
  <c r="BL45" i="17"/>
  <c r="BH45" i="17"/>
  <c r="BG45" i="17"/>
  <c r="BC45" i="17"/>
  <c r="BA45" i="17"/>
  <c r="BN45" i="17"/>
  <c r="AL45" i="17"/>
  <c r="AK45" i="17"/>
  <c r="AI45" i="17"/>
  <c r="AH45" i="17"/>
  <c r="AG45" i="17"/>
  <c r="AF45" i="17"/>
  <c r="AE45" i="17"/>
  <c r="AD45" i="17"/>
  <c r="Y45" i="17"/>
  <c r="X45" i="17"/>
  <c r="W45" i="17"/>
  <c r="O45" i="17"/>
  <c r="N45" i="17"/>
  <c r="M45" i="17"/>
  <c r="G45" i="17"/>
  <c r="F45" i="17"/>
  <c r="E45" i="17"/>
  <c r="C45" i="17"/>
  <c r="AL40" i="17"/>
  <c r="AK40" i="17"/>
  <c r="AI40" i="17"/>
  <c r="AH40" i="17"/>
  <c r="AG40" i="17"/>
  <c r="AF40" i="17"/>
  <c r="AE40" i="17"/>
  <c r="AD40" i="17"/>
  <c r="BF40" i="17" s="1"/>
  <c r="Y40" i="17"/>
  <c r="X40" i="17"/>
  <c r="W40" i="17"/>
  <c r="V40" i="17"/>
  <c r="O40" i="17"/>
  <c r="N40" i="17"/>
  <c r="M40" i="17"/>
  <c r="L40" i="17"/>
  <c r="G40" i="17"/>
  <c r="F40" i="17"/>
  <c r="E40" i="17"/>
  <c r="D40" i="17"/>
  <c r="C40" i="17"/>
  <c r="BM39" i="17"/>
  <c r="BL39" i="17"/>
  <c r="BL40" i="17" s="1"/>
  <c r="BH39" i="17"/>
  <c r="BM6" i="17"/>
  <c r="AZ6" i="17"/>
  <c r="AL54" i="1"/>
  <c r="BC54" i="1"/>
  <c r="BA54" i="1"/>
  <c r="BC45" i="1"/>
  <c r="BA45" i="1"/>
  <c r="A37" i="17" l="1"/>
  <c r="B37" i="17" s="1"/>
  <c r="A35" i="17"/>
  <c r="BC35" i="17" s="1"/>
  <c r="A33" i="17"/>
  <c r="A31" i="17"/>
  <c r="C31" i="17" s="1"/>
  <c r="A29" i="17"/>
  <c r="C29" i="17" s="1"/>
  <c r="A27" i="17"/>
  <c r="B27" i="17" s="1"/>
  <c r="A25" i="17"/>
  <c r="A23" i="17"/>
  <c r="BC23" i="17" s="1"/>
  <c r="A21" i="17"/>
  <c r="C21" i="17" s="1"/>
  <c r="A19" i="17"/>
  <c r="C19" i="17" s="1"/>
  <c r="A17" i="17"/>
  <c r="C17" i="17" s="1"/>
  <c r="A15" i="17"/>
  <c r="B15" i="17" s="1"/>
  <c r="AH15" i="17" s="1"/>
  <c r="A13" i="17"/>
  <c r="B13" i="17" s="1"/>
  <c r="F13" i="17" s="1"/>
  <c r="A11" i="17"/>
  <c r="C11" i="17" s="1"/>
  <c r="A9" i="17"/>
  <c r="B9" i="17" s="1"/>
  <c r="A7" i="18"/>
  <c r="B7" i="18" s="1"/>
  <c r="A36" i="18"/>
  <c r="C36" i="18" s="1"/>
  <c r="A34" i="18"/>
  <c r="B34" i="18" s="1"/>
  <c r="X34" i="18" s="1"/>
  <c r="AA34" i="18" s="1"/>
  <c r="A32" i="18"/>
  <c r="A30" i="18"/>
  <c r="BC30" i="18" s="1"/>
  <c r="A28" i="18"/>
  <c r="B28" i="18" s="1"/>
  <c r="BM28" i="18" s="1"/>
  <c r="A26" i="18"/>
  <c r="B26" i="18" s="1"/>
  <c r="BM26" i="18" s="1"/>
  <c r="A24" i="18"/>
  <c r="C24" i="18" s="1"/>
  <c r="A22" i="18"/>
  <c r="B22" i="18" s="1"/>
  <c r="BM22" i="18" s="1"/>
  <c r="A20" i="18"/>
  <c r="A18" i="18"/>
  <c r="B18" i="18" s="1"/>
  <c r="A16" i="18"/>
  <c r="C16" i="18" s="1"/>
  <c r="A14" i="18"/>
  <c r="BC14" i="18" s="1"/>
  <c r="A12" i="18"/>
  <c r="B12" i="18" s="1"/>
  <c r="AH12" i="18" s="1"/>
  <c r="A10" i="18"/>
  <c r="B10" i="18" s="1"/>
  <c r="AH10" i="18" s="1"/>
  <c r="A8" i="18"/>
  <c r="B8" i="18" s="1"/>
  <c r="A7" i="17"/>
  <c r="BC7" i="17" s="1"/>
  <c r="A36" i="17"/>
  <c r="B36" i="17" s="1"/>
  <c r="BM36" i="17" s="1"/>
  <c r="A34" i="17"/>
  <c r="C34" i="17" s="1"/>
  <c r="A32" i="17"/>
  <c r="B32" i="17" s="1"/>
  <c r="D32" i="17" s="1"/>
  <c r="A30" i="17"/>
  <c r="BC30" i="17" s="1"/>
  <c r="A28" i="17"/>
  <c r="B28" i="17" s="1"/>
  <c r="BM28" i="17" s="1"/>
  <c r="A26" i="17"/>
  <c r="C26" i="17" s="1"/>
  <c r="A24" i="17"/>
  <c r="A22" i="17"/>
  <c r="BC22" i="17" s="1"/>
  <c r="A20" i="17"/>
  <c r="A18" i="17"/>
  <c r="B18" i="17" s="1"/>
  <c r="AL18" i="17" s="1"/>
  <c r="A16" i="17"/>
  <c r="B16" i="17" s="1"/>
  <c r="O16" i="17" s="1"/>
  <c r="A14" i="17"/>
  <c r="BC14" i="17" s="1"/>
  <c r="A12" i="17"/>
  <c r="B12" i="17" s="1"/>
  <c r="AE12" i="17" s="1"/>
  <c r="A10" i="17"/>
  <c r="C10" i="17" s="1"/>
  <c r="A8" i="17"/>
  <c r="B8" i="17" s="1"/>
  <c r="N8" i="17" s="1"/>
  <c r="A37" i="18"/>
  <c r="AZ37" i="18" s="1"/>
  <c r="A35" i="18"/>
  <c r="B35" i="18" s="1"/>
  <c r="A33" i="18"/>
  <c r="C33" i="18" s="1"/>
  <c r="A31" i="18"/>
  <c r="A29" i="18"/>
  <c r="BC29" i="18" s="1"/>
  <c r="A27" i="18"/>
  <c r="C27" i="18" s="1"/>
  <c r="A25" i="18"/>
  <c r="C25" i="18" s="1"/>
  <c r="A23" i="18"/>
  <c r="B23" i="18" s="1"/>
  <c r="O23" i="18" s="1"/>
  <c r="A21" i="18"/>
  <c r="A19" i="18"/>
  <c r="A17" i="18"/>
  <c r="C17" i="18" s="1"/>
  <c r="A15" i="18"/>
  <c r="B15" i="18" s="1"/>
  <c r="BM15" i="18" s="1"/>
  <c r="A13" i="18"/>
  <c r="BC13" i="18" s="1"/>
  <c r="A11" i="18"/>
  <c r="A9" i="18"/>
  <c r="C9" i="18" s="1"/>
  <c r="U55" i="17"/>
  <c r="U46" i="17"/>
  <c r="AF57" i="17"/>
  <c r="AF48" i="18"/>
  <c r="AF49" i="17"/>
  <c r="AF58" i="18"/>
  <c r="AF48" i="17"/>
  <c r="AF57" i="18"/>
  <c r="AF58" i="17"/>
  <c r="AF49" i="18"/>
  <c r="U55" i="18"/>
  <c r="AV48" i="18"/>
  <c r="BK40" i="17"/>
  <c r="AM55" i="18"/>
  <c r="BD54" i="1"/>
  <c r="J55" i="18"/>
  <c r="R55" i="18"/>
  <c r="C57" i="18"/>
  <c r="G57" i="18"/>
  <c r="I55" i="18"/>
  <c r="AC40" i="18"/>
  <c r="F48" i="18"/>
  <c r="AM55" i="17"/>
  <c r="BL54" i="18"/>
  <c r="BH55" i="17"/>
  <c r="BM55" i="17" s="1"/>
  <c r="BM54" i="17" s="1"/>
  <c r="H55" i="18"/>
  <c r="AW40" i="17"/>
  <c r="H40" i="17"/>
  <c r="AG58" i="17"/>
  <c r="AL58" i="17"/>
  <c r="BK54" i="17"/>
  <c r="P55" i="18"/>
  <c r="BH40" i="17"/>
  <c r="X57" i="18"/>
  <c r="N58" i="17"/>
  <c r="E58" i="17"/>
  <c r="F57" i="17"/>
  <c r="X58" i="17"/>
  <c r="AV49" i="17"/>
  <c r="AW55" i="17"/>
  <c r="H55" i="17"/>
  <c r="AA55" i="17"/>
  <c r="AK58" i="17"/>
  <c r="AK57" i="17"/>
  <c r="E57" i="17"/>
  <c r="M58" i="17"/>
  <c r="Z55" i="17"/>
  <c r="AD57" i="17"/>
  <c r="D11" i="12" s="1"/>
  <c r="AH57" i="17"/>
  <c r="BK54" i="18"/>
  <c r="O49" i="18"/>
  <c r="P46" i="18"/>
  <c r="N58" i="18"/>
  <c r="AV58" i="18"/>
  <c r="K55" i="17"/>
  <c r="T55" i="18"/>
  <c r="G57" i="17"/>
  <c r="M48" i="17"/>
  <c r="W49" i="17"/>
  <c r="AD48" i="17"/>
  <c r="C11" i="12" s="1"/>
  <c r="AH48" i="17"/>
  <c r="BJ54" i="17"/>
  <c r="N57" i="17"/>
  <c r="AA40" i="17"/>
  <c r="BB45" i="17"/>
  <c r="AI57" i="18"/>
  <c r="BE55" i="18"/>
  <c r="BJ55" i="18" s="1"/>
  <c r="BJ54" i="18" s="1"/>
  <c r="G58" i="18"/>
  <c r="AD49" i="17"/>
  <c r="AH58" i="17"/>
  <c r="Y57" i="17"/>
  <c r="AK49" i="17"/>
  <c r="AE48" i="18"/>
  <c r="AI48" i="18"/>
  <c r="BD45" i="1"/>
  <c r="AB46" i="17"/>
  <c r="BF46" i="17"/>
  <c r="BK46" i="17" s="1"/>
  <c r="AB55" i="17"/>
  <c r="W57" i="17"/>
  <c r="S46" i="17"/>
  <c r="AG48" i="17"/>
  <c r="F57" i="18"/>
  <c r="AW40" i="18"/>
  <c r="AD48" i="18"/>
  <c r="AW55" i="18"/>
  <c r="O57" i="18"/>
  <c r="N57" i="18"/>
  <c r="W57" i="18"/>
  <c r="AD58" i="18"/>
  <c r="AH58" i="18"/>
  <c r="BJ6" i="17"/>
  <c r="BJ40" i="17" s="1"/>
  <c r="M57" i="17"/>
  <c r="BI46" i="17"/>
  <c r="Y48" i="17"/>
  <c r="Y58" i="17"/>
  <c r="E48" i="17"/>
  <c r="O49" i="17"/>
  <c r="Z46" i="17"/>
  <c r="AL48" i="18"/>
  <c r="O48" i="18"/>
  <c r="AL49" i="18"/>
  <c r="Q55" i="18"/>
  <c r="AJ55" i="18"/>
  <c r="AI58" i="18"/>
  <c r="W49" i="18"/>
  <c r="AV57" i="18"/>
  <c r="C48" i="18"/>
  <c r="S46" i="18"/>
  <c r="AB46" i="18"/>
  <c r="AL57" i="18"/>
  <c r="K40" i="17"/>
  <c r="AM40" i="17"/>
  <c r="O58" i="18"/>
  <c r="AJ40" i="18"/>
  <c r="N48" i="18"/>
  <c r="Q40" i="18"/>
  <c r="AE58" i="18"/>
  <c r="AE49" i="18"/>
  <c r="BH55" i="18"/>
  <c r="BM55" i="18" s="1"/>
  <c r="BM54" i="18" s="1"/>
  <c r="AE57" i="18"/>
  <c r="F58" i="18"/>
  <c r="I40" i="18"/>
  <c r="W58" i="18"/>
  <c r="AH57" i="18"/>
  <c r="Z55" i="18"/>
  <c r="AA55" i="18"/>
  <c r="AB55" i="18"/>
  <c r="Y58" i="18"/>
  <c r="AW46" i="18"/>
  <c r="AM46" i="18"/>
  <c r="AJ46" i="18"/>
  <c r="I46" i="18"/>
  <c r="J46" i="18"/>
  <c r="G49" i="18"/>
  <c r="H46" i="18"/>
  <c r="G48" i="18"/>
  <c r="K46" i="18"/>
  <c r="BJ6" i="18"/>
  <c r="BJ40" i="18" s="1"/>
  <c r="BB45" i="18"/>
  <c r="X49" i="18"/>
  <c r="AA46" i="18"/>
  <c r="M57" i="18"/>
  <c r="M49" i="18"/>
  <c r="M48" i="18"/>
  <c r="M58" i="18"/>
  <c r="P40" i="18"/>
  <c r="AG48" i="18"/>
  <c r="AG58" i="18"/>
  <c r="AG57" i="18"/>
  <c r="AK58" i="18"/>
  <c r="AK49" i="18"/>
  <c r="AK48" i="18"/>
  <c r="AK57" i="18"/>
  <c r="BL40" i="18"/>
  <c r="BM40" i="18"/>
  <c r="AG49" i="18"/>
  <c r="E57" i="18"/>
  <c r="E49" i="18"/>
  <c r="E48" i="18"/>
  <c r="Y57" i="18"/>
  <c r="Y49" i="18"/>
  <c r="Z40" i="18"/>
  <c r="Y48" i="18"/>
  <c r="AA40" i="18"/>
  <c r="Q46" i="18"/>
  <c r="R46" i="18"/>
  <c r="BB54" i="18"/>
  <c r="W48" i="18"/>
  <c r="X48" i="18"/>
  <c r="X58" i="18"/>
  <c r="BK40" i="18"/>
  <c r="H40" i="18"/>
  <c r="U46" i="18"/>
  <c r="T46" i="18"/>
  <c r="Z46" i="18"/>
  <c r="E58" i="18"/>
  <c r="K40" i="18"/>
  <c r="S40" i="18"/>
  <c r="AM40" i="18"/>
  <c r="BG40" i="18"/>
  <c r="AH48" i="18"/>
  <c r="F49" i="18"/>
  <c r="N49" i="18"/>
  <c r="AD49" i="18"/>
  <c r="AI49" i="18"/>
  <c r="AV49" i="18"/>
  <c r="K55" i="18"/>
  <c r="S55" i="18"/>
  <c r="AD57" i="18"/>
  <c r="AL58" i="18"/>
  <c r="J40" i="18"/>
  <c r="R40" i="18"/>
  <c r="AH49" i="18"/>
  <c r="AM46" i="17"/>
  <c r="BI54" i="17"/>
  <c r="N48" i="17"/>
  <c r="AA46" i="17"/>
  <c r="F58" i="17"/>
  <c r="AL48" i="17"/>
  <c r="F49" i="17"/>
  <c r="BI45" i="17"/>
  <c r="BI47" i="17" s="1"/>
  <c r="O58" i="17"/>
  <c r="R40" i="17"/>
  <c r="O48" i="17"/>
  <c r="Q40" i="17"/>
  <c r="P40" i="17"/>
  <c r="O57" i="17"/>
  <c r="S40" i="17"/>
  <c r="AE58" i="17"/>
  <c r="AE48" i="17"/>
  <c r="AE57" i="17"/>
  <c r="AE49" i="17"/>
  <c r="AI58" i="17"/>
  <c r="AI49" i="17"/>
  <c r="AI48" i="17"/>
  <c r="BG40" i="17"/>
  <c r="AJ40" i="17"/>
  <c r="AI57" i="17"/>
  <c r="R55" i="17"/>
  <c r="Q55" i="17"/>
  <c r="P55" i="17"/>
  <c r="S55" i="17"/>
  <c r="T55" i="17"/>
  <c r="J46" i="17"/>
  <c r="R46" i="17"/>
  <c r="I46" i="17"/>
  <c r="H46" i="17"/>
  <c r="K46" i="17"/>
  <c r="BL55" i="17"/>
  <c r="BL54" i="17" s="1"/>
  <c r="AJ55" i="17"/>
  <c r="N49" i="17"/>
  <c r="AJ46" i="17"/>
  <c r="BB54" i="17"/>
  <c r="C48" i="17"/>
  <c r="C57" i="17"/>
  <c r="G58" i="17"/>
  <c r="J40" i="17"/>
  <c r="G48" i="17"/>
  <c r="I40" i="17"/>
  <c r="X48" i="17"/>
  <c r="X57" i="17"/>
  <c r="X49" i="17"/>
  <c r="AV58" i="17"/>
  <c r="AV48" i="17"/>
  <c r="BE40" i="17"/>
  <c r="BE46" i="17"/>
  <c r="BJ46" i="17" s="1"/>
  <c r="AW46" i="17"/>
  <c r="J55" i="17"/>
  <c r="I55" i="17"/>
  <c r="F48" i="17"/>
  <c r="G49" i="17"/>
  <c r="W58" i="17"/>
  <c r="Z40" i="17"/>
  <c r="W48" i="17"/>
  <c r="Q46" i="17"/>
  <c r="T46" i="17"/>
  <c r="P46" i="17"/>
  <c r="BM40" i="17"/>
  <c r="AV57" i="17"/>
  <c r="AC40" i="17"/>
  <c r="BI40" i="17"/>
  <c r="AK48" i="17"/>
  <c r="AG49" i="17"/>
  <c r="AL49" i="17"/>
  <c r="BI55" i="17"/>
  <c r="AG57" i="17"/>
  <c r="AL57" i="17"/>
  <c r="AD58" i="17"/>
  <c r="E49" i="17"/>
  <c r="M49" i="17"/>
  <c r="Y49" i="17"/>
  <c r="AH49" i="17"/>
  <c r="AN54" i="19"/>
  <c r="C22" i="18" l="1"/>
  <c r="C29" i="18"/>
  <c r="C7" i="17"/>
  <c r="B37" i="18"/>
  <c r="C30" i="18"/>
  <c r="B30" i="18"/>
  <c r="BM30" i="18" s="1"/>
  <c r="C7" i="18"/>
  <c r="C34" i="18"/>
  <c r="C22" i="17"/>
  <c r="B22" i="17"/>
  <c r="B19" i="17"/>
  <c r="BM19" i="17" s="1"/>
  <c r="B35" i="17"/>
  <c r="O35" i="17" s="1"/>
  <c r="B17" i="18"/>
  <c r="G17" i="18" s="1"/>
  <c r="J17" i="18" s="1"/>
  <c r="B33" i="18"/>
  <c r="B11" i="17"/>
  <c r="BM11" i="17" s="1"/>
  <c r="B10" i="17"/>
  <c r="BM10" i="17" s="1"/>
  <c r="C10" i="18"/>
  <c r="C18" i="17"/>
  <c r="AM18" i="17" s="1"/>
  <c r="B26" i="17"/>
  <c r="W26" i="17" s="1"/>
  <c r="Z26" i="17" s="1"/>
  <c r="B34" i="17"/>
  <c r="BH34" i="17" s="1"/>
  <c r="B7" i="17"/>
  <c r="N7" i="17" s="1"/>
  <c r="C35" i="17"/>
  <c r="B14" i="17"/>
  <c r="BH14" i="17" s="1"/>
  <c r="C37" i="18"/>
  <c r="R37" i="18" s="1"/>
  <c r="B29" i="18"/>
  <c r="AI29" i="18" s="1"/>
  <c r="AJ29" i="18" s="1"/>
  <c r="B9" i="18"/>
  <c r="G9" i="18" s="1"/>
  <c r="J9" i="18" s="1"/>
  <c r="C18" i="18"/>
  <c r="C26" i="18"/>
  <c r="C14" i="18"/>
  <c r="B33" i="17"/>
  <c r="AQ33" i="17" s="1"/>
  <c r="B25" i="17"/>
  <c r="AG25" i="17" s="1"/>
  <c r="C15" i="18"/>
  <c r="B31" i="18"/>
  <c r="BL31" i="18" s="1"/>
  <c r="C36" i="17"/>
  <c r="B24" i="17"/>
  <c r="AE24" i="17" s="1"/>
  <c r="C15" i="17"/>
  <c r="C30" i="17"/>
  <c r="B20" i="18"/>
  <c r="AG20" i="18" s="1"/>
  <c r="B25" i="18"/>
  <c r="G25" i="18" s="1"/>
  <c r="C21" i="18"/>
  <c r="B13" i="18"/>
  <c r="O13" i="18" s="1"/>
  <c r="B23" i="17"/>
  <c r="AS23" i="17" s="1"/>
  <c r="C23" i="17"/>
  <c r="C12" i="17"/>
  <c r="B31" i="17"/>
  <c r="X31" i="17" s="1"/>
  <c r="AA31" i="17" s="1"/>
  <c r="AZ37" i="17"/>
  <c r="C27" i="17"/>
  <c r="C14" i="17"/>
  <c r="B32" i="18"/>
  <c r="AE32" i="18" s="1"/>
  <c r="B21" i="18"/>
  <c r="O21" i="18" s="1"/>
  <c r="C13" i="18"/>
  <c r="B30" i="17"/>
  <c r="BM30" i="17" s="1"/>
  <c r="B14" i="18"/>
  <c r="BM14" i="18" s="1"/>
  <c r="AN9" i="18"/>
  <c r="BC15" i="18"/>
  <c r="AQ15" i="18"/>
  <c r="AS15" i="18"/>
  <c r="AT15" i="18"/>
  <c r="AR15" i="18"/>
  <c r="BC19" i="18"/>
  <c r="AN21" i="18"/>
  <c r="AN25" i="18"/>
  <c r="BC31" i="18"/>
  <c r="BC35" i="18"/>
  <c r="AQ35" i="18"/>
  <c r="AS35" i="18"/>
  <c r="AT35" i="18"/>
  <c r="AR35" i="18"/>
  <c r="AN37" i="18"/>
  <c r="AP37" i="18" s="1"/>
  <c r="AQ37" i="18"/>
  <c r="AS37" i="18"/>
  <c r="AT37" i="18"/>
  <c r="AR37" i="18"/>
  <c r="AN10" i="17"/>
  <c r="AS10" i="17"/>
  <c r="BC16" i="17"/>
  <c r="AQ16" i="17"/>
  <c r="AS16" i="17"/>
  <c r="AT16" i="17"/>
  <c r="AR16" i="17"/>
  <c r="AN18" i="17"/>
  <c r="AQ18" i="17"/>
  <c r="AS18" i="17"/>
  <c r="AT18" i="17"/>
  <c r="AR18" i="17"/>
  <c r="AQ22" i="17"/>
  <c r="AS22" i="17"/>
  <c r="AT22" i="17"/>
  <c r="AR22" i="17"/>
  <c r="AN26" i="17"/>
  <c r="AQ32" i="17"/>
  <c r="AS32" i="17"/>
  <c r="AT32" i="17"/>
  <c r="AR32" i="17"/>
  <c r="AN34" i="17"/>
  <c r="AT34" i="17"/>
  <c r="AR34" i="17"/>
  <c r="AN10" i="18"/>
  <c r="AQ10" i="18"/>
  <c r="AS10" i="18"/>
  <c r="AT10" i="18"/>
  <c r="AR10" i="18"/>
  <c r="BC16" i="18"/>
  <c r="BC20" i="18"/>
  <c r="AN22" i="18"/>
  <c r="AQ22" i="18"/>
  <c r="AS22" i="18"/>
  <c r="AT22" i="18"/>
  <c r="AR22" i="18"/>
  <c r="AN26" i="18"/>
  <c r="AQ26" i="18"/>
  <c r="AS26" i="18"/>
  <c r="AT26" i="18"/>
  <c r="AR26" i="18"/>
  <c r="BC32" i="18"/>
  <c r="BC36" i="18"/>
  <c r="AN7" i="18"/>
  <c r="AT7" i="18"/>
  <c r="AR7" i="18"/>
  <c r="AU7" i="18"/>
  <c r="AQ7" i="18"/>
  <c r="AS7" i="18"/>
  <c r="AO7" i="18"/>
  <c r="AQ9" i="17"/>
  <c r="AS9" i="17"/>
  <c r="AT9" i="17"/>
  <c r="AR9" i="17"/>
  <c r="AN11" i="17"/>
  <c r="AN15" i="17"/>
  <c r="AQ15" i="17"/>
  <c r="AS15" i="17"/>
  <c r="AT15" i="17"/>
  <c r="AR15" i="17"/>
  <c r="AN19" i="17"/>
  <c r="BC25" i="17"/>
  <c r="BC29" i="17"/>
  <c r="AN31" i="17"/>
  <c r="AS31" i="17"/>
  <c r="BC37" i="17"/>
  <c r="AQ37" i="17"/>
  <c r="AS37" i="17"/>
  <c r="AT37" i="17"/>
  <c r="AR37" i="17"/>
  <c r="BC11" i="18"/>
  <c r="AN13" i="18"/>
  <c r="BD13" i="18" s="1"/>
  <c r="AN17" i="18"/>
  <c r="BC23" i="18"/>
  <c r="AQ23" i="18"/>
  <c r="AS23" i="18"/>
  <c r="AT23" i="18"/>
  <c r="AR23" i="18"/>
  <c r="BC27" i="18"/>
  <c r="AN29" i="18"/>
  <c r="BD29" i="18" s="1"/>
  <c r="AN33" i="18"/>
  <c r="AQ33" i="18"/>
  <c r="AS33" i="18"/>
  <c r="AT33" i="18"/>
  <c r="AR33" i="18"/>
  <c r="BC8" i="17"/>
  <c r="AQ8" i="17"/>
  <c r="AS8" i="17"/>
  <c r="AT8" i="17"/>
  <c r="AR8" i="17"/>
  <c r="BC12" i="17"/>
  <c r="AQ12" i="17"/>
  <c r="AS12" i="17"/>
  <c r="AT12" i="17"/>
  <c r="AR12" i="17"/>
  <c r="AN14" i="17"/>
  <c r="BD14" i="17" s="1"/>
  <c r="BC20" i="17"/>
  <c r="BC28" i="17"/>
  <c r="AQ28" i="17"/>
  <c r="AS28" i="17"/>
  <c r="AT28" i="17"/>
  <c r="AR28" i="17"/>
  <c r="BC36" i="17"/>
  <c r="AQ36" i="17"/>
  <c r="AS36" i="17"/>
  <c r="AT36" i="17"/>
  <c r="AR36" i="17"/>
  <c r="BC8" i="18"/>
  <c r="AQ8" i="18"/>
  <c r="AS8" i="18"/>
  <c r="AT8" i="18"/>
  <c r="AR8" i="18"/>
  <c r="BC12" i="18"/>
  <c r="AQ12" i="18"/>
  <c r="AS12" i="18"/>
  <c r="AT12" i="18"/>
  <c r="AR12" i="18"/>
  <c r="AN14" i="18"/>
  <c r="BD14" i="18" s="1"/>
  <c r="AN18" i="18"/>
  <c r="AQ18" i="18"/>
  <c r="AS18" i="18"/>
  <c r="AT18" i="18"/>
  <c r="AR18" i="18"/>
  <c r="BC24" i="18"/>
  <c r="BC28" i="18"/>
  <c r="AQ28" i="18"/>
  <c r="AS28" i="18"/>
  <c r="AT28" i="18"/>
  <c r="AR28" i="18"/>
  <c r="AN30" i="18"/>
  <c r="BD30" i="18" s="1"/>
  <c r="AQ30" i="18"/>
  <c r="AS30" i="18"/>
  <c r="AT30" i="18"/>
  <c r="AR30" i="18"/>
  <c r="AN34" i="18"/>
  <c r="AQ34" i="18"/>
  <c r="AS34" i="18"/>
  <c r="AT34" i="18"/>
  <c r="AR34" i="18"/>
  <c r="BC13" i="17"/>
  <c r="AQ13" i="17"/>
  <c r="AS13" i="17"/>
  <c r="AT13" i="17"/>
  <c r="AR13" i="17"/>
  <c r="BC17" i="17"/>
  <c r="BC21" i="17"/>
  <c r="AN23" i="17"/>
  <c r="BD23" i="17" s="1"/>
  <c r="AN27" i="17"/>
  <c r="AQ27" i="17"/>
  <c r="AS27" i="17"/>
  <c r="AT27" i="17"/>
  <c r="AR27" i="17"/>
  <c r="BC33" i="17"/>
  <c r="AN35" i="17"/>
  <c r="AQ35" i="17"/>
  <c r="AS35" i="17"/>
  <c r="BC21" i="18"/>
  <c r="BC37" i="18"/>
  <c r="BD37" i="18" s="1"/>
  <c r="BC18" i="17"/>
  <c r="AN22" i="17"/>
  <c r="BD22" i="17" s="1"/>
  <c r="BC24" i="17"/>
  <c r="BC26" i="17"/>
  <c r="AN30" i="17"/>
  <c r="BD30" i="17" s="1"/>
  <c r="BC32" i="17"/>
  <c r="BC34" i="17"/>
  <c r="BD34" i="17" s="1"/>
  <c r="AN7" i="17"/>
  <c r="BD7" i="17" s="1"/>
  <c r="BC22" i="18"/>
  <c r="BC7" i="18"/>
  <c r="BC9" i="17"/>
  <c r="BC11" i="17"/>
  <c r="BC31" i="17"/>
  <c r="BC9" i="18"/>
  <c r="BC17" i="18"/>
  <c r="BC25" i="18"/>
  <c r="BC33" i="18"/>
  <c r="BD33" i="18" s="1"/>
  <c r="BC10" i="18"/>
  <c r="BC18" i="18"/>
  <c r="BC26" i="18"/>
  <c r="BC34" i="18"/>
  <c r="BC15" i="17"/>
  <c r="BC19" i="17"/>
  <c r="BC27" i="17"/>
  <c r="BC10" i="17"/>
  <c r="AY11" i="18"/>
  <c r="AZ11" i="18" s="1"/>
  <c r="BF15" i="18"/>
  <c r="BJ15" i="18"/>
  <c r="BG15" i="18"/>
  <c r="BE15" i="18"/>
  <c r="BK15" i="18"/>
  <c r="BA15" i="18"/>
  <c r="AY15" i="18"/>
  <c r="AZ15" i="18" s="1"/>
  <c r="AY19" i="18"/>
  <c r="AZ19" i="18" s="1"/>
  <c r="BF23" i="18"/>
  <c r="BJ23" i="18"/>
  <c r="BG23" i="18"/>
  <c r="BE23" i="18"/>
  <c r="BK23" i="18"/>
  <c r="BA23" i="18"/>
  <c r="AY23" i="18"/>
  <c r="AZ23" i="18" s="1"/>
  <c r="AY27" i="18"/>
  <c r="AZ27" i="18" s="1"/>
  <c r="BF31" i="18"/>
  <c r="AY31" i="18"/>
  <c r="AZ31" i="18" s="1"/>
  <c r="BF35" i="18"/>
  <c r="BJ35" i="18"/>
  <c r="BG35" i="18"/>
  <c r="BE35" i="18"/>
  <c r="BK35" i="18"/>
  <c r="BA35" i="18"/>
  <c r="AY35" i="18"/>
  <c r="AZ35" i="18" s="1"/>
  <c r="BF8" i="17"/>
  <c r="BE8" i="17"/>
  <c r="BK8" i="17"/>
  <c r="BG8" i="17"/>
  <c r="BJ8" i="17"/>
  <c r="BA8" i="17"/>
  <c r="BB8" i="17" s="1"/>
  <c r="AY8" i="17"/>
  <c r="AZ8" i="17" s="1"/>
  <c r="BF12" i="17"/>
  <c r="BE12" i="17"/>
  <c r="BK12" i="17"/>
  <c r="BG12" i="17"/>
  <c r="BJ12" i="17"/>
  <c r="BA12" i="17"/>
  <c r="BB12" i="17" s="1"/>
  <c r="AY12" i="17"/>
  <c r="AZ12" i="17" s="1"/>
  <c r="BF16" i="17"/>
  <c r="BJ16" i="17"/>
  <c r="BE16" i="17"/>
  <c r="BG16" i="17"/>
  <c r="BK16" i="17"/>
  <c r="BA16" i="17"/>
  <c r="BB16" i="17" s="1"/>
  <c r="AY16" i="17"/>
  <c r="AZ16" i="17" s="1"/>
  <c r="AY20" i="17"/>
  <c r="AZ20" i="17" s="1"/>
  <c r="AY24" i="17"/>
  <c r="AZ24" i="17" s="1"/>
  <c r="BF28" i="17"/>
  <c r="BJ28" i="17"/>
  <c r="BE28" i="17"/>
  <c r="BG28" i="17"/>
  <c r="BK28" i="17"/>
  <c r="BA28" i="17"/>
  <c r="BB28" i="17" s="1"/>
  <c r="AY28" i="17"/>
  <c r="AZ28" i="17" s="1"/>
  <c r="BF32" i="17"/>
  <c r="BJ32" i="17"/>
  <c r="BE32" i="17"/>
  <c r="BG32" i="17"/>
  <c r="BK32" i="17"/>
  <c r="BA32" i="17"/>
  <c r="BB32" i="17" s="1"/>
  <c r="AY32" i="17"/>
  <c r="AZ32" i="17" s="1"/>
  <c r="BF36" i="17"/>
  <c r="BJ36" i="17"/>
  <c r="BE36" i="17"/>
  <c r="BG36" i="17"/>
  <c r="BK36" i="17"/>
  <c r="BA36" i="17"/>
  <c r="AY36" i="17"/>
  <c r="AZ36" i="17" s="1"/>
  <c r="BG8" i="18"/>
  <c r="BE8" i="18"/>
  <c r="BJ8" i="18"/>
  <c r="BK8" i="18"/>
  <c r="BF8" i="18"/>
  <c r="BA8" i="18"/>
  <c r="AY8" i="18"/>
  <c r="AZ8" i="18" s="1"/>
  <c r="BG12" i="18"/>
  <c r="BE12" i="18"/>
  <c r="BJ12" i="18"/>
  <c r="BK12" i="18"/>
  <c r="BF12" i="18"/>
  <c r="BA12" i="18"/>
  <c r="AY12" i="18"/>
  <c r="AZ12" i="18" s="1"/>
  <c r="AY16" i="18"/>
  <c r="AZ16" i="18" s="1"/>
  <c r="AY20" i="18"/>
  <c r="AZ20" i="18" s="1"/>
  <c r="AY24" i="18"/>
  <c r="AZ24" i="18" s="1"/>
  <c r="BG28" i="18"/>
  <c r="BE28" i="18"/>
  <c r="BJ28" i="18"/>
  <c r="BK28" i="18"/>
  <c r="BF28" i="18"/>
  <c r="BA28" i="18"/>
  <c r="AY28" i="18"/>
  <c r="AZ28" i="18" s="1"/>
  <c r="BA32" i="18"/>
  <c r="AY32" i="18"/>
  <c r="AY36" i="18"/>
  <c r="AZ36" i="18" s="1"/>
  <c r="BG9" i="17"/>
  <c r="BE9" i="17"/>
  <c r="BF9" i="17"/>
  <c r="BK9" i="17"/>
  <c r="BJ9" i="17"/>
  <c r="BA9" i="17"/>
  <c r="BB9" i="17" s="1"/>
  <c r="AY9" i="17"/>
  <c r="AZ9" i="17" s="1"/>
  <c r="BG13" i="17"/>
  <c r="BE13" i="17"/>
  <c r="BF13" i="17"/>
  <c r="BK13" i="17"/>
  <c r="BJ13" i="17"/>
  <c r="BA13" i="17"/>
  <c r="BB13" i="17" s="1"/>
  <c r="AY13" i="17"/>
  <c r="AZ13" i="17" s="1"/>
  <c r="AY17" i="17"/>
  <c r="AZ17" i="17" s="1"/>
  <c r="AY21" i="17"/>
  <c r="AZ21" i="17" s="1"/>
  <c r="AY25" i="17"/>
  <c r="AZ25" i="17" s="1"/>
  <c r="AY29" i="17"/>
  <c r="AZ29" i="17" s="1"/>
  <c r="AY33" i="17"/>
  <c r="AZ33" i="17" s="1"/>
  <c r="BG37" i="17"/>
  <c r="BE37" i="17"/>
  <c r="BJ37" i="17"/>
  <c r="BF37" i="17"/>
  <c r="BK37" i="17"/>
  <c r="BA37" i="17"/>
  <c r="AY37" i="17"/>
  <c r="AY9" i="18"/>
  <c r="AZ9" i="18" s="1"/>
  <c r="AY13" i="18"/>
  <c r="AZ13" i="18" s="1"/>
  <c r="AY17" i="18"/>
  <c r="AZ17" i="18" s="1"/>
  <c r="AY21" i="18"/>
  <c r="AZ21" i="18" s="1"/>
  <c r="AY25" i="18"/>
  <c r="AZ25" i="18" s="1"/>
  <c r="AY29" i="18"/>
  <c r="AZ29" i="18" s="1"/>
  <c r="BF33" i="18"/>
  <c r="BJ33" i="18"/>
  <c r="BE33" i="18"/>
  <c r="BG33" i="18"/>
  <c r="BK33" i="18"/>
  <c r="BA33" i="18"/>
  <c r="AY33" i="18"/>
  <c r="AZ33" i="18" s="1"/>
  <c r="BF37" i="18"/>
  <c r="BJ37" i="18"/>
  <c r="BE37" i="18"/>
  <c r="BG37" i="18"/>
  <c r="BK37" i="18"/>
  <c r="BA37" i="18"/>
  <c r="AY37" i="18"/>
  <c r="AY10" i="17"/>
  <c r="AZ10" i="17" s="1"/>
  <c r="AY14" i="17"/>
  <c r="AZ14" i="17" s="1"/>
  <c r="BF18" i="17"/>
  <c r="BJ18" i="17"/>
  <c r="BG18" i="17"/>
  <c r="BE18" i="17"/>
  <c r="BK18" i="17"/>
  <c r="BA18" i="17"/>
  <c r="BB18" i="17" s="1"/>
  <c r="AY18" i="17"/>
  <c r="AZ18" i="17" s="1"/>
  <c r="BF22" i="17"/>
  <c r="BJ22" i="17"/>
  <c r="BG22" i="17"/>
  <c r="BE22" i="17"/>
  <c r="BK22" i="17"/>
  <c r="BA22" i="17"/>
  <c r="BB22" i="17" s="1"/>
  <c r="AY22" i="17"/>
  <c r="AZ22" i="17" s="1"/>
  <c r="AY26" i="17"/>
  <c r="AZ26" i="17" s="1"/>
  <c r="AY30" i="17"/>
  <c r="AZ30" i="17" s="1"/>
  <c r="BG34" i="17"/>
  <c r="BE34" i="17"/>
  <c r="AY34" i="17"/>
  <c r="AZ34" i="17" s="1"/>
  <c r="AY7" i="17"/>
  <c r="AZ7" i="17" s="1"/>
  <c r="BG10" i="18"/>
  <c r="BE10" i="18"/>
  <c r="BJ10" i="18"/>
  <c r="BF10" i="18"/>
  <c r="BK10" i="18"/>
  <c r="BA10" i="18"/>
  <c r="AY10" i="18"/>
  <c r="AZ10" i="18" s="1"/>
  <c r="AY14" i="18"/>
  <c r="AZ14" i="18" s="1"/>
  <c r="BG18" i="18"/>
  <c r="BE18" i="18"/>
  <c r="BJ18" i="18"/>
  <c r="BF18" i="18"/>
  <c r="BK18" i="18"/>
  <c r="BA18" i="18"/>
  <c r="AY18" i="18"/>
  <c r="AZ18" i="18" s="1"/>
  <c r="BG22" i="18"/>
  <c r="BE22" i="18"/>
  <c r="BJ22" i="18"/>
  <c r="BF22" i="18"/>
  <c r="BK22" i="18"/>
  <c r="BA22" i="18"/>
  <c r="AY22" i="18"/>
  <c r="AZ22" i="18" s="1"/>
  <c r="BG26" i="18"/>
  <c r="BE26" i="18"/>
  <c r="BJ26" i="18"/>
  <c r="BF26" i="18"/>
  <c r="BK26" i="18"/>
  <c r="BA26" i="18"/>
  <c r="AY26" i="18"/>
  <c r="AZ26" i="18" s="1"/>
  <c r="BG30" i="18"/>
  <c r="BE30" i="18"/>
  <c r="BJ30" i="18"/>
  <c r="BF30" i="18"/>
  <c r="BK30" i="18"/>
  <c r="BA30" i="18"/>
  <c r="AY30" i="18"/>
  <c r="AZ30" i="18" s="1"/>
  <c r="BG34" i="18"/>
  <c r="BE34" i="18"/>
  <c r="BJ34" i="18"/>
  <c r="BF34" i="18"/>
  <c r="BK34" i="18"/>
  <c r="BA34" i="18"/>
  <c r="AY34" i="18"/>
  <c r="AZ34" i="18" s="1"/>
  <c r="BE7" i="18"/>
  <c r="BJ7" i="18"/>
  <c r="BG7" i="18"/>
  <c r="BF7" i="18"/>
  <c r="BK7" i="18"/>
  <c r="BA7" i="18"/>
  <c r="AY7" i="18"/>
  <c r="AZ7" i="18" s="1"/>
  <c r="AY11" i="17"/>
  <c r="AZ11" i="17" s="1"/>
  <c r="BG15" i="17"/>
  <c r="BE15" i="17"/>
  <c r="BK15" i="17"/>
  <c r="BF15" i="17"/>
  <c r="BJ15" i="17"/>
  <c r="BA15" i="17"/>
  <c r="BB15" i="17" s="1"/>
  <c r="AY15" i="17"/>
  <c r="AZ15" i="17" s="1"/>
  <c r="AY19" i="17"/>
  <c r="AZ19" i="17" s="1"/>
  <c r="AY23" i="17"/>
  <c r="AZ23" i="17" s="1"/>
  <c r="BG27" i="17"/>
  <c r="BE27" i="17"/>
  <c r="BJ27" i="17"/>
  <c r="BK27" i="17"/>
  <c r="BF27" i="17"/>
  <c r="BA27" i="17"/>
  <c r="BB27" i="17" s="1"/>
  <c r="AY27" i="17"/>
  <c r="AZ27" i="17" s="1"/>
  <c r="BF31" i="17"/>
  <c r="AY31" i="17"/>
  <c r="AZ31" i="17" s="1"/>
  <c r="BE35" i="17"/>
  <c r="BJ35" i="17"/>
  <c r="BA35" i="17"/>
  <c r="BB35" i="17" s="1"/>
  <c r="AY35" i="17"/>
  <c r="AZ35" i="17" s="1"/>
  <c r="C37" i="17"/>
  <c r="S37" i="17" s="1"/>
  <c r="C33" i="17"/>
  <c r="B17" i="17"/>
  <c r="BL17" i="17" s="1"/>
  <c r="B21" i="17"/>
  <c r="AQ21" i="17" s="1"/>
  <c r="C25" i="17"/>
  <c r="B29" i="17"/>
  <c r="AE29" i="17" s="1"/>
  <c r="B36" i="18"/>
  <c r="B24" i="18"/>
  <c r="M24" i="18" s="1"/>
  <c r="B16" i="18"/>
  <c r="M16" i="18" s="1"/>
  <c r="C8" i="18"/>
  <c r="C32" i="18"/>
  <c r="B11" i="18"/>
  <c r="BM11" i="18" s="1"/>
  <c r="C11" i="18"/>
  <c r="C32" i="17"/>
  <c r="C8" i="17"/>
  <c r="C35" i="18"/>
  <c r="AZ32" i="18"/>
  <c r="B27" i="18"/>
  <c r="O27" i="18" s="1"/>
  <c r="C19" i="18"/>
  <c r="C28" i="17"/>
  <c r="C20" i="17"/>
  <c r="C16" i="17"/>
  <c r="R16" i="17" s="1"/>
  <c r="C12" i="18"/>
  <c r="C31" i="18"/>
  <c r="B19" i="18"/>
  <c r="BM19" i="18" s="1"/>
  <c r="B20" i="17"/>
  <c r="BM20" i="17" s="1"/>
  <c r="C9" i="17"/>
  <c r="C13" i="17"/>
  <c r="C24" i="17"/>
  <c r="C20" i="18"/>
  <c r="C28" i="18"/>
  <c r="C23" i="18"/>
  <c r="R23" i="18" s="1"/>
  <c r="AN11" i="18"/>
  <c r="AN15" i="18"/>
  <c r="AN19" i="18"/>
  <c r="AN23" i="18"/>
  <c r="AN27" i="18"/>
  <c r="AN31" i="18"/>
  <c r="AN35" i="18"/>
  <c r="AN8" i="17"/>
  <c r="AN12" i="17"/>
  <c r="AN16" i="17"/>
  <c r="AN20" i="17"/>
  <c r="AN24" i="17"/>
  <c r="AN28" i="17"/>
  <c r="AN32" i="17"/>
  <c r="AN36" i="17"/>
  <c r="AN8" i="18"/>
  <c r="AN12" i="18"/>
  <c r="AN16" i="18"/>
  <c r="AN20" i="18"/>
  <c r="AN24" i="18"/>
  <c r="AN28" i="18"/>
  <c r="AN32" i="18"/>
  <c r="AN36" i="18"/>
  <c r="AN9" i="17"/>
  <c r="AN13" i="17"/>
  <c r="AN17" i="17"/>
  <c r="AN21" i="17"/>
  <c r="AN25" i="17"/>
  <c r="AN29" i="17"/>
  <c r="AN33" i="17"/>
  <c r="AN37" i="17"/>
  <c r="AP37" i="17" s="1"/>
  <c r="AI36" i="17"/>
  <c r="F37" i="18"/>
  <c r="I37" i="18" s="1"/>
  <c r="R37" i="17"/>
  <c r="BN37" i="18"/>
  <c r="AE37" i="18"/>
  <c r="D37" i="18"/>
  <c r="U37" i="18" s="1"/>
  <c r="AG37" i="18"/>
  <c r="AO37" i="18"/>
  <c r="AI37" i="18"/>
  <c r="AJ37" i="18" s="1"/>
  <c r="AL37" i="18"/>
  <c r="AM37" i="18" s="1"/>
  <c r="BH37" i="18"/>
  <c r="N37" i="18"/>
  <c r="Q37" i="18" s="1"/>
  <c r="G37" i="18"/>
  <c r="K37" i="18" s="1"/>
  <c r="V37" i="18"/>
  <c r="E37" i="18"/>
  <c r="H37" i="18" s="1"/>
  <c r="BM37" i="17"/>
  <c r="Y37" i="17"/>
  <c r="BD37" i="17"/>
  <c r="M37" i="17"/>
  <c r="P37" i="17" s="1"/>
  <c r="X37" i="17"/>
  <c r="AA37" i="17" s="1"/>
  <c r="O37" i="17"/>
  <c r="AH37" i="18"/>
  <c r="BM37" i="18"/>
  <c r="Y37" i="18"/>
  <c r="W37" i="18"/>
  <c r="Z37" i="18" s="1"/>
  <c r="L37" i="17"/>
  <c r="W37" i="17"/>
  <c r="Z37" i="17" s="1"/>
  <c r="E37" i="17"/>
  <c r="H37" i="17" s="1"/>
  <c r="AL37" i="17"/>
  <c r="AM37" i="17" s="1"/>
  <c r="D37" i="17"/>
  <c r="U37" i="17" s="1"/>
  <c r="S37" i="18"/>
  <c r="AE37" i="17"/>
  <c r="BL37" i="17"/>
  <c r="AH37" i="17"/>
  <c r="BI37" i="17"/>
  <c r="AG37" i="17"/>
  <c r="N37" i="17"/>
  <c r="Q37" i="17" s="1"/>
  <c r="G37" i="17"/>
  <c r="F37" i="17"/>
  <c r="I37" i="17" s="1"/>
  <c r="AO37" i="17"/>
  <c r="AI37" i="17"/>
  <c r="AJ37" i="17" s="1"/>
  <c r="BN37" i="17"/>
  <c r="M37" i="18"/>
  <c r="P37" i="18" s="1"/>
  <c r="X37" i="18"/>
  <c r="AA37" i="18" s="1"/>
  <c r="BI37" i="18"/>
  <c r="O37" i="18"/>
  <c r="V37" i="17"/>
  <c r="BB37" i="17"/>
  <c r="BH37" i="17"/>
  <c r="T37" i="18"/>
  <c r="D35" i="17"/>
  <c r="F35" i="17"/>
  <c r="AE36" i="17"/>
  <c r="AL36" i="17"/>
  <c r="AH36" i="17"/>
  <c r="AL35" i="17"/>
  <c r="AM35" i="17" s="1"/>
  <c r="E36" i="17"/>
  <c r="N36" i="17"/>
  <c r="M35" i="17"/>
  <c r="BH36" i="17"/>
  <c r="W36" i="17"/>
  <c r="Z36" i="17" s="1"/>
  <c r="F36" i="17"/>
  <c r="L36" i="17"/>
  <c r="AO36" i="17"/>
  <c r="BI36" i="17" s="1"/>
  <c r="E35" i="17"/>
  <c r="M36" i="17"/>
  <c r="BB36" i="17"/>
  <c r="BH35" i="17"/>
  <c r="W35" i="17"/>
  <c r="Z35" i="17" s="1"/>
  <c r="BL36" i="17"/>
  <c r="AG36" i="17"/>
  <c r="AE35" i="17"/>
  <c r="O36" i="17"/>
  <c r="X36" i="17"/>
  <c r="AA36" i="17" s="1"/>
  <c r="G36" i="17"/>
  <c r="AG36" i="18"/>
  <c r="N35" i="18"/>
  <c r="V36" i="17"/>
  <c r="AL36" i="18"/>
  <c r="AM36" i="18" s="1"/>
  <c r="E35" i="18"/>
  <c r="V36" i="18"/>
  <c r="D36" i="18"/>
  <c r="Y36" i="17"/>
  <c r="BL35" i="17"/>
  <c r="AH35" i="17"/>
  <c r="D36" i="17"/>
  <c r="BD35" i="17"/>
  <c r="M32" i="17"/>
  <c r="G34" i="18"/>
  <c r="J34" i="18" s="1"/>
  <c r="AH34" i="18"/>
  <c r="L34" i="18"/>
  <c r="BD33" i="17"/>
  <c r="M34" i="18"/>
  <c r="N35" i="17"/>
  <c r="Q35" i="17" s="1"/>
  <c r="O35" i="18"/>
  <c r="X35" i="18"/>
  <c r="AA35" i="18" s="1"/>
  <c r="AH35" i="18"/>
  <c r="Y34" i="18"/>
  <c r="AB34" i="18" s="1"/>
  <c r="AE34" i="18"/>
  <c r="F34" i="18"/>
  <c r="AG34" i="18"/>
  <c r="AI34" i="18"/>
  <c r="AJ34" i="18" s="1"/>
  <c r="D34" i="18"/>
  <c r="AL34" i="18"/>
  <c r="AM34" i="18" s="1"/>
  <c r="BM34" i="18"/>
  <c r="BL34" i="18"/>
  <c r="O34" i="18"/>
  <c r="V34" i="18"/>
  <c r="N34" i="18"/>
  <c r="E34" i="18"/>
  <c r="W34" i="18"/>
  <c r="Z34" i="18" s="1"/>
  <c r="AO34" i="18"/>
  <c r="BN34" i="18" s="1"/>
  <c r="M33" i="18"/>
  <c r="N10" i="18"/>
  <c r="BH34" i="18"/>
  <c r="Y18" i="18"/>
  <c r="AC18" i="18" s="1"/>
  <c r="AL26" i="18"/>
  <c r="BH26" i="18"/>
  <c r="AG26" i="18"/>
  <c r="F26" i="18"/>
  <c r="AI26" i="18"/>
  <c r="AE26" i="18"/>
  <c r="BL30" i="18"/>
  <c r="E26" i="18"/>
  <c r="Y26" i="18"/>
  <c r="AB26" i="18" s="1"/>
  <c r="D26" i="18"/>
  <c r="BL26" i="18"/>
  <c r="X30" i="18"/>
  <c r="AA30" i="18" s="1"/>
  <c r="Y10" i="18"/>
  <c r="AC10" i="18" s="1"/>
  <c r="AH28" i="17"/>
  <c r="X10" i="18"/>
  <c r="AA10" i="18" s="1"/>
  <c r="V10" i="18"/>
  <c r="BL10" i="18"/>
  <c r="F10" i="18"/>
  <c r="AE10" i="18"/>
  <c r="AE18" i="18"/>
  <c r="BH10" i="18"/>
  <c r="AH18" i="18"/>
  <c r="AG22" i="18"/>
  <c r="AI22" i="18"/>
  <c r="AJ22" i="18" s="1"/>
  <c r="M22" i="18"/>
  <c r="AL22" i="18"/>
  <c r="AM22" i="18" s="1"/>
  <c r="D22" i="18"/>
  <c r="BH22" i="18"/>
  <c r="O10" i="18"/>
  <c r="W10" i="18"/>
  <c r="Z10" i="18" s="1"/>
  <c r="AI10" i="18"/>
  <c r="D10" i="18"/>
  <c r="AL10" i="18"/>
  <c r="E10" i="18"/>
  <c r="AG10" i="18"/>
  <c r="BM10" i="18"/>
  <c r="AO10" i="18"/>
  <c r="BN10" i="18" s="1"/>
  <c r="G10" i="18"/>
  <c r="L10" i="18"/>
  <c r="M18" i="18"/>
  <c r="M10" i="18"/>
  <c r="BL28" i="17"/>
  <c r="G10" i="17"/>
  <c r="BH10" i="17"/>
  <c r="O28" i="17"/>
  <c r="E28" i="17"/>
  <c r="AL10" i="17"/>
  <c r="AM10" i="17" s="1"/>
  <c r="AG10" i="17"/>
  <c r="F22" i="18"/>
  <c r="N22" i="18"/>
  <c r="O18" i="18"/>
  <c r="V18" i="18"/>
  <c r="AE22" i="18"/>
  <c r="AO26" i="18"/>
  <c r="BN26" i="18" s="1"/>
  <c r="AO22" i="18"/>
  <c r="BN22" i="18" s="1"/>
  <c r="AO18" i="18"/>
  <c r="BI18" i="18" s="1"/>
  <c r="M26" i="18"/>
  <c r="AH26" i="18"/>
  <c r="N18" i="18"/>
  <c r="AI18" i="18"/>
  <c r="D18" i="18"/>
  <c r="AL18" i="18"/>
  <c r="W18" i="18"/>
  <c r="Z18" i="18" s="1"/>
  <c r="BL18" i="18"/>
  <c r="N26" i="18"/>
  <c r="G26" i="18"/>
  <c r="L26" i="18"/>
  <c r="G22" i="18"/>
  <c r="J22" i="18" s="1"/>
  <c r="L22" i="18"/>
  <c r="F18" i="18"/>
  <c r="E22" i="18"/>
  <c r="AG18" i="18"/>
  <c r="Y22" i="18"/>
  <c r="AC22" i="18" s="1"/>
  <c r="X26" i="18"/>
  <c r="AA26" i="18" s="1"/>
  <c r="X22" i="18"/>
  <c r="AA22" i="18" s="1"/>
  <c r="X18" i="18"/>
  <c r="AA18" i="18" s="1"/>
  <c r="BL22" i="18"/>
  <c r="G18" i="18"/>
  <c r="L18" i="18"/>
  <c r="W26" i="18"/>
  <c r="Z26" i="18" s="1"/>
  <c r="W22" i="18"/>
  <c r="Z22" i="18" s="1"/>
  <c r="E18" i="18"/>
  <c r="BM18" i="18"/>
  <c r="O26" i="18"/>
  <c r="V26" i="18"/>
  <c r="O22" i="18"/>
  <c r="V22" i="18"/>
  <c r="AH22" i="18"/>
  <c r="BH18" i="18"/>
  <c r="M28" i="17"/>
  <c r="G28" i="17"/>
  <c r="N28" i="17"/>
  <c r="BH28" i="17"/>
  <c r="W28" i="17"/>
  <c r="Z28" i="17" s="1"/>
  <c r="X28" i="17"/>
  <c r="AA28" i="17" s="1"/>
  <c r="AG28" i="17"/>
  <c r="V28" i="17"/>
  <c r="AO28" i="17"/>
  <c r="BN28" i="17" s="1"/>
  <c r="F28" i="17"/>
  <c r="L28" i="17"/>
  <c r="AI28" i="17"/>
  <c r="Y28" i="17"/>
  <c r="AC28" i="17" s="1"/>
  <c r="AE28" i="17"/>
  <c r="AL28" i="17"/>
  <c r="D28" i="17"/>
  <c r="BL34" i="17"/>
  <c r="V34" i="17"/>
  <c r="M35" i="18"/>
  <c r="W30" i="18"/>
  <c r="Z30" i="18" s="1"/>
  <c r="AI35" i="18"/>
  <c r="AL35" i="18"/>
  <c r="BH35" i="18"/>
  <c r="W35" i="18"/>
  <c r="Z35" i="18" s="1"/>
  <c r="AH30" i="18"/>
  <c r="O30" i="18"/>
  <c r="AO35" i="18"/>
  <c r="BN35" i="18" s="1"/>
  <c r="G35" i="17"/>
  <c r="Y35" i="18"/>
  <c r="AB35" i="18" s="1"/>
  <c r="M34" i="17"/>
  <c r="AE35" i="18"/>
  <c r="AG35" i="18"/>
  <c r="V30" i="18"/>
  <c r="F35" i="18"/>
  <c r="BM35" i="18"/>
  <c r="L35" i="18"/>
  <c r="P35" i="17"/>
  <c r="G35" i="18"/>
  <c r="V35" i="18"/>
  <c r="BL35" i="18"/>
  <c r="D35" i="18"/>
  <c r="R35" i="17"/>
  <c r="G34" i="17"/>
  <c r="D34" i="17"/>
  <c r="E34" i="17"/>
  <c r="H34" i="17" s="1"/>
  <c r="W34" i="17"/>
  <c r="Z34" i="17" s="1"/>
  <c r="AG34" i="17"/>
  <c r="AI34" i="17"/>
  <c r="AJ34" i="17" s="1"/>
  <c r="AG33" i="17"/>
  <c r="AO32" i="18"/>
  <c r="BN32" i="18" s="1"/>
  <c r="AH33" i="18"/>
  <c r="BH33" i="18"/>
  <c r="X33" i="18"/>
  <c r="AA33" i="18" s="1"/>
  <c r="O33" i="18"/>
  <c r="V33" i="18"/>
  <c r="N33" i="18"/>
  <c r="G33" i="18"/>
  <c r="AE33" i="18"/>
  <c r="BM33" i="18"/>
  <c r="Y33" i="18"/>
  <c r="E33" i="18"/>
  <c r="H33" i="18" s="1"/>
  <c r="D33" i="18"/>
  <c r="AG33" i="18"/>
  <c r="L33" i="18"/>
  <c r="AL31" i="18"/>
  <c r="AL33" i="18"/>
  <c r="BL33" i="18"/>
  <c r="F33" i="18"/>
  <c r="AO33" i="18"/>
  <c r="BI33" i="18" s="1"/>
  <c r="AI33" i="18"/>
  <c r="AJ33" i="18" s="1"/>
  <c r="W33" i="18"/>
  <c r="Z33" i="18" s="1"/>
  <c r="AL27" i="17"/>
  <c r="E27" i="17"/>
  <c r="X32" i="17"/>
  <c r="AA32" i="17" s="1"/>
  <c r="M27" i="17"/>
  <c r="D27" i="17"/>
  <c r="AI27" i="17"/>
  <c r="O32" i="17"/>
  <c r="AI31" i="18"/>
  <c r="N22" i="17"/>
  <c r="E32" i="17"/>
  <c r="AE27" i="17"/>
  <c r="AO27" i="17"/>
  <c r="BN27" i="17" s="1"/>
  <c r="BM27" i="17"/>
  <c r="AH32" i="17"/>
  <c r="N32" i="17"/>
  <c r="AL32" i="18"/>
  <c r="X32" i="18"/>
  <c r="AA32" i="18" s="1"/>
  <c r="F31" i="17"/>
  <c r="F32" i="17"/>
  <c r="BL32" i="17"/>
  <c r="BH27" i="17"/>
  <c r="W27" i="17"/>
  <c r="Z27" i="17" s="1"/>
  <c r="BH32" i="17"/>
  <c r="W32" i="17"/>
  <c r="Z32" i="17" s="1"/>
  <c r="L27" i="17"/>
  <c r="F27" i="17"/>
  <c r="G27" i="17"/>
  <c r="N27" i="17"/>
  <c r="BL27" i="17"/>
  <c r="G32" i="17"/>
  <c r="Y31" i="17"/>
  <c r="AE32" i="17"/>
  <c r="AL32" i="17"/>
  <c r="BL31" i="17"/>
  <c r="AI32" i="17"/>
  <c r="AO32" i="17"/>
  <c r="BN32" i="17" s="1"/>
  <c r="Y32" i="17"/>
  <c r="W31" i="17"/>
  <c r="Z31" i="17" s="1"/>
  <c r="AG27" i="17"/>
  <c r="AG32" i="17"/>
  <c r="V27" i="17"/>
  <c r="X27" i="17"/>
  <c r="AA27" i="17" s="1"/>
  <c r="AH27" i="17"/>
  <c r="Y27" i="17"/>
  <c r="BM32" i="17"/>
  <c r="V32" i="17"/>
  <c r="L32" i="17"/>
  <c r="U32" i="17" s="1"/>
  <c r="O31" i="17"/>
  <c r="R31" i="17" s="1"/>
  <c r="BL22" i="17"/>
  <c r="O22" i="17"/>
  <c r="AI23" i="18"/>
  <c r="BH22" i="17"/>
  <c r="AH22" i="17"/>
  <c r="L23" i="18"/>
  <c r="N23" i="18"/>
  <c r="Q23" i="18" s="1"/>
  <c r="M23" i="18"/>
  <c r="P23" i="18" s="1"/>
  <c r="AO22" i="17"/>
  <c r="BN22" i="17" s="1"/>
  <c r="AE22" i="17"/>
  <c r="E22" i="17"/>
  <c r="Y22" i="17"/>
  <c r="AC22" i="17" s="1"/>
  <c r="V22" i="17"/>
  <c r="W22" i="17"/>
  <c r="Z22" i="17" s="1"/>
  <c r="F22" i="17"/>
  <c r="M22" i="17"/>
  <c r="G22" i="17"/>
  <c r="J22" i="17" s="1"/>
  <c r="L22" i="17"/>
  <c r="BM22" i="17"/>
  <c r="X22" i="17"/>
  <c r="AA22" i="17" s="1"/>
  <c r="AG22" i="17"/>
  <c r="AI22" i="17"/>
  <c r="AJ22" i="17" s="1"/>
  <c r="D22" i="17"/>
  <c r="AL22" i="17"/>
  <c r="AM22" i="17" s="1"/>
  <c r="AI16" i="17"/>
  <c r="AJ16" i="17" s="1"/>
  <c r="N16" i="17"/>
  <c r="Q16" i="17" s="1"/>
  <c r="AL16" i="17"/>
  <c r="AG16" i="17"/>
  <c r="M12" i="17"/>
  <c r="AI15" i="17"/>
  <c r="D18" i="17"/>
  <c r="X16" i="17"/>
  <c r="AA16" i="17" s="1"/>
  <c r="BM16" i="17"/>
  <c r="E16" i="17"/>
  <c r="AO15" i="17"/>
  <c r="BI15" i="17" s="1"/>
  <c r="M16" i="17"/>
  <c r="P16" i="17" s="1"/>
  <c r="D16" i="17"/>
  <c r="BL16" i="17"/>
  <c r="L16" i="17"/>
  <c r="G16" i="17"/>
  <c r="F16" i="17"/>
  <c r="AO16" i="17"/>
  <c r="BN16" i="17" s="1"/>
  <c r="Y15" i="17"/>
  <c r="AB15" i="17" s="1"/>
  <c r="BH16" i="17"/>
  <c r="W16" i="17"/>
  <c r="Z16" i="17" s="1"/>
  <c r="V16" i="17"/>
  <c r="AE16" i="17"/>
  <c r="Y16" i="17"/>
  <c r="AB16" i="17" s="1"/>
  <c r="AH16" i="17"/>
  <c r="AL15" i="17"/>
  <c r="W15" i="18"/>
  <c r="Z15" i="18" s="1"/>
  <c r="N15" i="17"/>
  <c r="V8" i="17"/>
  <c r="BL8" i="17"/>
  <c r="D15" i="17"/>
  <c r="F15" i="17"/>
  <c r="W15" i="17"/>
  <c r="Z15" i="17" s="1"/>
  <c r="M15" i="17"/>
  <c r="BL15" i="17"/>
  <c r="O15" i="17"/>
  <c r="V15" i="17"/>
  <c r="BM15" i="17"/>
  <c r="AE15" i="17"/>
  <c r="X15" i="17"/>
  <c r="AA15" i="17" s="1"/>
  <c r="E15" i="17"/>
  <c r="E13" i="17"/>
  <c r="AG15" i="17"/>
  <c r="L15" i="17"/>
  <c r="AH12" i="17"/>
  <c r="O13" i="17"/>
  <c r="G13" i="17"/>
  <c r="I13" i="17" s="1"/>
  <c r="AL13" i="17"/>
  <c r="N13" i="17"/>
  <c r="V12" i="17"/>
  <c r="AE8" i="17"/>
  <c r="AG12" i="17"/>
  <c r="Y13" i="17"/>
  <c r="AC13" i="17" s="1"/>
  <c r="G12" i="17"/>
  <c r="V13" i="17"/>
  <c r="BH12" i="17"/>
  <c r="W12" i="17"/>
  <c r="Z12" i="17" s="1"/>
  <c r="D13" i="17"/>
  <c r="BL13" i="17"/>
  <c r="M8" i="17"/>
  <c r="W8" i="17"/>
  <c r="E12" i="17"/>
  <c r="AH8" i="17"/>
  <c r="F12" i="17"/>
  <c r="Y12" i="17"/>
  <c r="L8" i="17"/>
  <c r="AO8" i="17"/>
  <c r="BI8" i="17" s="1"/>
  <c r="E8" i="17"/>
  <c r="X8" i="17"/>
  <c r="AA8" i="17" s="1"/>
  <c r="AL8" i="17"/>
  <c r="D8" i="17"/>
  <c r="BH8" i="17"/>
  <c r="AG8" i="17"/>
  <c r="BM8" i="17"/>
  <c r="F8" i="17"/>
  <c r="Y8" i="18"/>
  <c r="AB8" i="18" s="1"/>
  <c r="K49" i="17"/>
  <c r="K58" i="17"/>
  <c r="AB40" i="17"/>
  <c r="K57" i="17"/>
  <c r="AI12" i="17"/>
  <c r="X12" i="17"/>
  <c r="AA12" i="17" s="1"/>
  <c r="AO12" i="17"/>
  <c r="AL12" i="17"/>
  <c r="N12" i="17"/>
  <c r="BL12" i="17"/>
  <c r="L12" i="17"/>
  <c r="BM12" i="17"/>
  <c r="O12" i="17"/>
  <c r="BL9" i="17"/>
  <c r="AO9" i="17"/>
  <c r="BN9" i="17" s="1"/>
  <c r="G18" i="17"/>
  <c r="AG23" i="18"/>
  <c r="AE23" i="18"/>
  <c r="AI30" i="18"/>
  <c r="AJ30" i="18" s="1"/>
  <c r="D30" i="18"/>
  <c r="AL30" i="18"/>
  <c r="M30" i="18"/>
  <c r="N30" i="18"/>
  <c r="F23" i="18"/>
  <c r="Y8" i="17"/>
  <c r="AC8" i="17" s="1"/>
  <c r="BL23" i="18"/>
  <c r="AO23" i="18"/>
  <c r="BI23" i="18" s="1"/>
  <c r="D12" i="17"/>
  <c r="F18" i="17"/>
  <c r="G9" i="17"/>
  <c r="M13" i="17"/>
  <c r="V9" i="17"/>
  <c r="AE13" i="17"/>
  <c r="F9" i="17"/>
  <c r="E23" i="18"/>
  <c r="BH15" i="18"/>
  <c r="AL23" i="18"/>
  <c r="D23" i="18"/>
  <c r="F30" i="18"/>
  <c r="AG30" i="18"/>
  <c r="Y30" i="18"/>
  <c r="AB30" i="18" s="1"/>
  <c r="AE30" i="18"/>
  <c r="E30" i="18"/>
  <c r="Y23" i="18"/>
  <c r="AB23" i="18" s="1"/>
  <c r="O8" i="17"/>
  <c r="Q8" i="17" s="1"/>
  <c r="G23" i="18"/>
  <c r="O27" i="17"/>
  <c r="BH23" i="18"/>
  <c r="W23" i="18"/>
  <c r="Z23" i="18" s="1"/>
  <c r="V23" i="18"/>
  <c r="L15" i="18"/>
  <c r="AO30" i="18"/>
  <c r="BN30" i="18" s="1"/>
  <c r="AH23" i="18"/>
  <c r="G30" i="18"/>
  <c r="L30" i="18"/>
  <c r="BM18" i="17"/>
  <c r="E18" i="17"/>
  <c r="X18" i="17"/>
  <c r="AA18" i="17" s="1"/>
  <c r="M18" i="17"/>
  <c r="AI18" i="17"/>
  <c r="AJ18" i="17" s="1"/>
  <c r="AE18" i="17"/>
  <c r="AG15" i="18"/>
  <c r="V15" i="18"/>
  <c r="O15" i="18"/>
  <c r="BH30" i="18"/>
  <c r="BL15" i="18"/>
  <c r="BH18" i="17"/>
  <c r="BI56" i="17"/>
  <c r="AO18" i="17"/>
  <c r="BN18" i="17" s="1"/>
  <c r="AG18" i="17"/>
  <c r="N18" i="17"/>
  <c r="Y18" i="17"/>
  <c r="V18" i="17"/>
  <c r="AO13" i="17"/>
  <c r="BI13" i="17" s="1"/>
  <c r="E15" i="18"/>
  <c r="AE15" i="18"/>
  <c r="N15" i="18"/>
  <c r="AO15" i="18"/>
  <c r="BN15" i="18" s="1"/>
  <c r="W18" i="17"/>
  <c r="Z18" i="17" s="1"/>
  <c r="BH15" i="17"/>
  <c r="X15" i="18"/>
  <c r="AA15" i="18" s="1"/>
  <c r="G15" i="17"/>
  <c r="G15" i="18"/>
  <c r="F15" i="18"/>
  <c r="AI8" i="17"/>
  <c r="BM23" i="18"/>
  <c r="X23" i="18"/>
  <c r="AA23" i="18" s="1"/>
  <c r="BL18" i="17"/>
  <c r="AH18" i="17"/>
  <c r="O18" i="17"/>
  <c r="L18" i="17"/>
  <c r="M15" i="18"/>
  <c r="AL15" i="18"/>
  <c r="D15" i="18"/>
  <c r="AH15" i="18"/>
  <c r="AI15" i="18"/>
  <c r="Y15" i="18"/>
  <c r="AB15" i="18" s="1"/>
  <c r="G8" i="17"/>
  <c r="AL12" i="18"/>
  <c r="V12" i="18"/>
  <c r="D12" i="18"/>
  <c r="Y12" i="18"/>
  <c r="AB12" i="18" s="1"/>
  <c r="AE12" i="18"/>
  <c r="AI12" i="18"/>
  <c r="O12" i="18"/>
  <c r="G12" i="18"/>
  <c r="L12" i="18"/>
  <c r="Y7" i="18"/>
  <c r="AB7" i="18" s="1"/>
  <c r="G7" i="18"/>
  <c r="AL7" i="18"/>
  <c r="AE7" i="18"/>
  <c r="L7" i="18"/>
  <c r="AI7" i="18"/>
  <c r="AJ7" i="18" s="1"/>
  <c r="O7" i="18"/>
  <c r="R7" i="18" s="1"/>
  <c r="V7" i="18"/>
  <c r="D7" i="18"/>
  <c r="AH28" i="18"/>
  <c r="AG12" i="18"/>
  <c r="E7" i="18"/>
  <c r="N8" i="18"/>
  <c r="F28" i="18"/>
  <c r="F12" i="18"/>
  <c r="M28" i="18"/>
  <c r="E12" i="18"/>
  <c r="F8" i="18"/>
  <c r="M7" i="18"/>
  <c r="W8" i="18"/>
  <c r="Z8" i="18" s="1"/>
  <c r="BH8" i="18"/>
  <c r="N28" i="18"/>
  <c r="N12" i="18"/>
  <c r="BH28" i="18"/>
  <c r="W28" i="18"/>
  <c r="Z28" i="18" s="1"/>
  <c r="M12" i="18"/>
  <c r="V8" i="18"/>
  <c r="N7" i="18"/>
  <c r="E8" i="18"/>
  <c r="O8" i="18"/>
  <c r="BH7" i="18"/>
  <c r="W7" i="18"/>
  <c r="Z7" i="18" s="1"/>
  <c r="M8" i="18"/>
  <c r="AH8" i="18"/>
  <c r="BM8" i="18"/>
  <c r="AL28" i="18"/>
  <c r="V28" i="18"/>
  <c r="D28" i="18"/>
  <c r="G28" i="18"/>
  <c r="L28" i="18"/>
  <c r="AI28" i="18"/>
  <c r="O28" i="18"/>
  <c r="Y28" i="18"/>
  <c r="AB28" i="18" s="1"/>
  <c r="AE28" i="18"/>
  <c r="AL17" i="18"/>
  <c r="AM17" i="18" s="1"/>
  <c r="E28" i="18"/>
  <c r="BL12" i="18"/>
  <c r="AH7" i="18"/>
  <c r="AG8" i="18"/>
  <c r="BL8" i="18"/>
  <c r="BM7" i="18"/>
  <c r="AO28" i="18"/>
  <c r="BI28" i="18" s="1"/>
  <c r="AO12" i="18"/>
  <c r="BN12" i="18" s="1"/>
  <c r="G8" i="18"/>
  <c r="F7" i="18"/>
  <c r="AE8" i="18"/>
  <c r="AO8" i="18"/>
  <c r="BI8" i="18" s="1"/>
  <c r="X28" i="18"/>
  <c r="AA28" i="18" s="1"/>
  <c r="X12" i="18"/>
  <c r="AA12" i="18" s="1"/>
  <c r="BL28" i="18"/>
  <c r="AG28" i="18"/>
  <c r="BH12" i="18"/>
  <c r="W12" i="18"/>
  <c r="Z12" i="18" s="1"/>
  <c r="AL8" i="18"/>
  <c r="X7" i="18"/>
  <c r="AA7" i="18" s="1"/>
  <c r="D8" i="18"/>
  <c r="BM12" i="18"/>
  <c r="AI8" i="18"/>
  <c r="BL7" i="18"/>
  <c r="AG7" i="18"/>
  <c r="L8" i="18"/>
  <c r="X8" i="18"/>
  <c r="AA8" i="18" s="1"/>
  <c r="K48" i="18"/>
  <c r="K58" i="18"/>
  <c r="K49" i="18"/>
  <c r="AB40" i="18"/>
  <c r="K57" i="18"/>
  <c r="S48" i="18"/>
  <c r="S58" i="18"/>
  <c r="S57" i="18"/>
  <c r="S49" i="18"/>
  <c r="BH9" i="17"/>
  <c r="AI9" i="17"/>
  <c r="AJ9" i="17" s="1"/>
  <c r="L9" i="17"/>
  <c r="Y9" i="17"/>
  <c r="AC9" i="17" s="1"/>
  <c r="D9" i="17"/>
  <c r="W9" i="17"/>
  <c r="Z9" i="17" s="1"/>
  <c r="AL9" i="17"/>
  <c r="M9" i="17"/>
  <c r="AE9" i="17"/>
  <c r="O9" i="17"/>
  <c r="E9" i="17"/>
  <c r="N9" i="17"/>
  <c r="AG13" i="17"/>
  <c r="X13" i="17"/>
  <c r="AA13" i="17" s="1"/>
  <c r="W13" i="17"/>
  <c r="Z13" i="17" s="1"/>
  <c r="AI13" i="17"/>
  <c r="BH13" i="17"/>
  <c r="L13" i="17"/>
  <c r="AH9" i="17"/>
  <c r="BM9" i="17"/>
  <c r="K48" i="17"/>
  <c r="AG9" i="17"/>
  <c r="X9" i="17"/>
  <c r="AA9" i="17" s="1"/>
  <c r="AH13" i="17"/>
  <c r="BM13" i="17"/>
  <c r="BN56" i="17"/>
  <c r="S48" i="17"/>
  <c r="S57" i="17"/>
  <c r="S49" i="17"/>
  <c r="S58" i="17"/>
  <c r="BC54" i="19"/>
  <c r="BD54" i="19" s="1"/>
  <c r="BC45" i="19"/>
  <c r="C46" i="1"/>
  <c r="AQ36" i="18" l="1"/>
  <c r="BL36" i="18"/>
  <c r="N36" i="18"/>
  <c r="Q36" i="18" s="1"/>
  <c r="L37" i="18"/>
  <c r="BL37" i="18"/>
  <c r="BD36" i="17"/>
  <c r="AH33" i="17"/>
  <c r="G33" i="17"/>
  <c r="AE34" i="17"/>
  <c r="AI35" i="17"/>
  <c r="AJ35" i="17" s="1"/>
  <c r="AL34" i="17"/>
  <c r="N34" i="17"/>
  <c r="O34" i="17"/>
  <c r="BM35" i="17"/>
  <c r="Y34" i="17"/>
  <c r="M10" i="17"/>
  <c r="X34" i="17"/>
  <c r="AA34" i="17" s="1"/>
  <c r="X35" i="17"/>
  <c r="AA35" i="17" s="1"/>
  <c r="L35" i="17"/>
  <c r="S35" i="17" s="1"/>
  <c r="AG35" i="17"/>
  <c r="AJ36" i="17"/>
  <c r="BK35" i="17"/>
  <c r="BK34" i="17"/>
  <c r="BF34" i="17"/>
  <c r="BF10" i="17"/>
  <c r="AT35" i="17"/>
  <c r="AQ34" i="17"/>
  <c r="R36" i="17"/>
  <c r="BM34" i="17"/>
  <c r="F34" i="17"/>
  <c r="AH34" i="17"/>
  <c r="L34" i="17"/>
  <c r="AO34" i="17"/>
  <c r="BN34" i="17" s="1"/>
  <c r="E10" i="17"/>
  <c r="Y35" i="17"/>
  <c r="AO35" i="17"/>
  <c r="BI35" i="17" s="1"/>
  <c r="V35" i="17"/>
  <c r="AM36" i="17"/>
  <c r="BF35" i="17"/>
  <c r="BG35" i="17"/>
  <c r="BA34" i="17"/>
  <c r="BB34" i="17" s="1"/>
  <c r="BJ34" i="17"/>
  <c r="BE10" i="17"/>
  <c r="AR35" i="17"/>
  <c r="AS34" i="17"/>
  <c r="E36" i="18"/>
  <c r="V25" i="18"/>
  <c r="AJ28" i="18"/>
  <c r="AJ35" i="18"/>
  <c r="O36" i="18"/>
  <c r="R36" i="18" s="1"/>
  <c r="AI36" i="18"/>
  <c r="AJ36" i="18" s="1"/>
  <c r="F36" i="18"/>
  <c r="Y25" i="18"/>
  <c r="AB25" i="18" s="1"/>
  <c r="AM35" i="18"/>
  <c r="R35" i="18"/>
  <c r="M36" i="18"/>
  <c r="P36" i="18" s="1"/>
  <c r="BH36" i="18"/>
  <c r="AE26" i="17"/>
  <c r="Y26" i="17"/>
  <c r="M26" i="17"/>
  <c r="L33" i="17"/>
  <c r="AJ28" i="17"/>
  <c r="BD32" i="17"/>
  <c r="AE33" i="17"/>
  <c r="BJ33" i="17"/>
  <c r="AS33" i="17"/>
  <c r="BM33" i="17"/>
  <c r="W33" i="17"/>
  <c r="Z33" i="17" s="1"/>
  <c r="BH33" i="17"/>
  <c r="BF33" i="17"/>
  <c r="AT33" i="17"/>
  <c r="Y33" i="17"/>
  <c r="AC33" i="17" s="1"/>
  <c r="AL33" i="17"/>
  <c r="AM33" i="17" s="1"/>
  <c r="E33" i="17"/>
  <c r="H33" i="17" s="1"/>
  <c r="D33" i="17"/>
  <c r="O33" i="17"/>
  <c r="R33" i="17" s="1"/>
  <c r="AI33" i="17"/>
  <c r="BL33" i="17"/>
  <c r="AI10" i="17"/>
  <c r="AJ10" i="17" s="1"/>
  <c r="L10" i="17"/>
  <c r="AH10" i="17"/>
  <c r="BJ10" i="17"/>
  <c r="BK33" i="17"/>
  <c r="BG33" i="17"/>
  <c r="AR33" i="17"/>
  <c r="AO19" i="17"/>
  <c r="AP19" i="17" s="1"/>
  <c r="F33" i="17"/>
  <c r="I33" i="17" s="1"/>
  <c r="N33" i="17"/>
  <c r="Q33" i="17" s="1"/>
  <c r="X33" i="17"/>
  <c r="AA33" i="17" s="1"/>
  <c r="AO33" i="17"/>
  <c r="BN33" i="17" s="1"/>
  <c r="V33" i="17"/>
  <c r="M33" i="17"/>
  <c r="W10" i="17"/>
  <c r="Z10" i="17" s="1"/>
  <c r="X10" i="17"/>
  <c r="AA10" i="17" s="1"/>
  <c r="BA33" i="17"/>
  <c r="BB33" i="17" s="1"/>
  <c r="BE33" i="17"/>
  <c r="O14" i="17"/>
  <c r="BD29" i="17"/>
  <c r="AE24" i="18"/>
  <c r="AL11" i="17"/>
  <c r="AL24" i="18"/>
  <c r="AM24" i="18" s="1"/>
  <c r="L24" i="18"/>
  <c r="AI30" i="17"/>
  <c r="AJ30" i="17" s="1"/>
  <c r="AG30" i="17"/>
  <c r="E14" i="17"/>
  <c r="Q28" i="17"/>
  <c r="BE26" i="17"/>
  <c r="BJ14" i="17"/>
  <c r="AR30" i="17"/>
  <c r="N19" i="17"/>
  <c r="F11" i="17"/>
  <c r="BD28" i="17"/>
  <c r="BJ19" i="17"/>
  <c r="BA30" i="17"/>
  <c r="BB30" i="17" s="1"/>
  <c r="BD31" i="17"/>
  <c r="G26" i="17"/>
  <c r="M9" i="18"/>
  <c r="AI14" i="17"/>
  <c r="AJ14" i="17" s="1"/>
  <c r="BE21" i="18"/>
  <c r="BK9" i="18"/>
  <c r="AT26" i="17"/>
  <c r="O19" i="17"/>
  <c r="R19" i="17" s="1"/>
  <c r="AG19" i="17"/>
  <c r="O11" i="17"/>
  <c r="R11" i="17" s="1"/>
  <c r="I28" i="17"/>
  <c r="V14" i="17"/>
  <c r="AG14" i="17"/>
  <c r="BG11" i="17"/>
  <c r="AQ14" i="17"/>
  <c r="AR19" i="17"/>
  <c r="L26" i="17"/>
  <c r="L9" i="18"/>
  <c r="Y11" i="17"/>
  <c r="AB11" i="17" s="1"/>
  <c r="N11" i="17"/>
  <c r="F21" i="18"/>
  <c r="M11" i="17"/>
  <c r="P11" i="17" s="1"/>
  <c r="X14" i="17"/>
  <c r="AA14" i="17" s="1"/>
  <c r="AO14" i="17"/>
  <c r="BI14" i="17" s="1"/>
  <c r="BJ11" i="17"/>
  <c r="BF14" i="17"/>
  <c r="AS11" i="17"/>
  <c r="W9" i="18"/>
  <c r="Z9" i="18" s="1"/>
  <c r="AH9" i="18"/>
  <c r="M25" i="18"/>
  <c r="AE25" i="18"/>
  <c r="L21" i="18"/>
  <c r="S21" i="18" s="1"/>
  <c r="AO21" i="18"/>
  <c r="BI21" i="18" s="1"/>
  <c r="BJ25" i="18"/>
  <c r="AQ25" i="18"/>
  <c r="BM21" i="18"/>
  <c r="BH21" i="18"/>
  <c r="N21" i="18"/>
  <c r="Q21" i="18" s="1"/>
  <c r="AS9" i="18"/>
  <c r="N27" i="18"/>
  <c r="Q27" i="18" s="1"/>
  <c r="BA25" i="18"/>
  <c r="BF9" i="18"/>
  <c r="D26" i="17"/>
  <c r="BH26" i="17"/>
  <c r="Y19" i="17"/>
  <c r="AB19" i="17" s="1"/>
  <c r="AI19" i="17"/>
  <c r="AJ19" i="17" s="1"/>
  <c r="D19" i="17"/>
  <c r="X11" i="17"/>
  <c r="AA11" i="17" s="1"/>
  <c r="AI11" i="17"/>
  <c r="AJ11" i="17" s="1"/>
  <c r="W11" i="17"/>
  <c r="Z11" i="17" s="1"/>
  <c r="BH11" i="17"/>
  <c r="BJ23" i="17"/>
  <c r="BK19" i="17"/>
  <c r="BE11" i="17"/>
  <c r="AQ19" i="17"/>
  <c r="AR26" i="17"/>
  <c r="AT10" i="17"/>
  <c r="AL26" i="17"/>
  <c r="AM26" i="17" s="1"/>
  <c r="BM26" i="17"/>
  <c r="N26" i="17"/>
  <c r="BL19" i="17"/>
  <c r="F19" i="17"/>
  <c r="X19" i="17"/>
  <c r="AA19" i="17" s="1"/>
  <c r="M19" i="17"/>
  <c r="E19" i="17"/>
  <c r="AG11" i="17"/>
  <c r="L11" i="17"/>
  <c r="W19" i="17"/>
  <c r="Z19" i="17" s="1"/>
  <c r="BH19" i="17"/>
  <c r="AO11" i="17"/>
  <c r="BN11" i="17" s="1"/>
  <c r="M14" i="17"/>
  <c r="P14" i="17" s="1"/>
  <c r="D14" i="17"/>
  <c r="K14" i="17" s="1"/>
  <c r="F14" i="17"/>
  <c r="G14" i="17"/>
  <c r="AL14" i="17"/>
  <c r="AM14" i="17" s="1"/>
  <c r="Y14" i="17"/>
  <c r="AB14" i="17" s="1"/>
  <c r="N10" i="17"/>
  <c r="AE10" i="17"/>
  <c r="BL10" i="17"/>
  <c r="AO10" i="17"/>
  <c r="BI10" i="17" s="1"/>
  <c r="Y10" i="17"/>
  <c r="AC10" i="17" s="1"/>
  <c r="BF19" i="17"/>
  <c r="BG19" i="17"/>
  <c r="BK11" i="17"/>
  <c r="BA26" i="17"/>
  <c r="BB26" i="17" s="1"/>
  <c r="BJ26" i="17"/>
  <c r="BK14" i="17"/>
  <c r="BA10" i="17"/>
  <c r="BB10" i="17" s="1"/>
  <c r="BG10" i="17"/>
  <c r="BE24" i="17"/>
  <c r="AT14" i="17"/>
  <c r="AS19" i="17"/>
  <c r="AR11" i="17"/>
  <c r="AQ26" i="17"/>
  <c r="AR10" i="17"/>
  <c r="E26" i="17"/>
  <c r="F26" i="17"/>
  <c r="I26" i="17" s="1"/>
  <c r="X26" i="17"/>
  <c r="AA26" i="17" s="1"/>
  <c r="V26" i="17"/>
  <c r="G19" i="17"/>
  <c r="J19" i="17" s="1"/>
  <c r="AE11" i="17"/>
  <c r="AH11" i="17"/>
  <c r="N14" i="17"/>
  <c r="Q14" i="17" s="1"/>
  <c r="AE14" i="17"/>
  <c r="AH14" i="17"/>
  <c r="BA11" i="17"/>
  <c r="BB11" i="17" s="1"/>
  <c r="BK26" i="17"/>
  <c r="BF26" i="17"/>
  <c r="BA14" i="17"/>
  <c r="BB14" i="17" s="1"/>
  <c r="BG14" i="17"/>
  <c r="AS14" i="17"/>
  <c r="AT11" i="17"/>
  <c r="AO26" i="17"/>
  <c r="BI26" i="17" s="1"/>
  <c r="N25" i="17"/>
  <c r="BL26" i="17"/>
  <c r="AH26" i="17"/>
  <c r="D29" i="17"/>
  <c r="O26" i="17"/>
  <c r="P26" i="17" s="1"/>
  <c r="AI26" i="17"/>
  <c r="AJ26" i="17" s="1"/>
  <c r="AG26" i="17"/>
  <c r="AL19" i="17"/>
  <c r="AM19" i="17" s="1"/>
  <c r="V19" i="17"/>
  <c r="L19" i="17"/>
  <c r="D11" i="17"/>
  <c r="G11" i="17"/>
  <c r="J11" i="17" s="1"/>
  <c r="BL11" i="17"/>
  <c r="AE19" i="17"/>
  <c r="AH19" i="17"/>
  <c r="V11" i="17"/>
  <c r="E11" i="17"/>
  <c r="AH23" i="17"/>
  <c r="L14" i="17"/>
  <c r="BM14" i="17"/>
  <c r="W14" i="17"/>
  <c r="Z14" i="17" s="1"/>
  <c r="BL14" i="17"/>
  <c r="V10" i="17"/>
  <c r="F10" i="17"/>
  <c r="I10" i="17" s="1"/>
  <c r="O10" i="17"/>
  <c r="R10" i="17" s="1"/>
  <c r="D10" i="17"/>
  <c r="K10" i="17" s="1"/>
  <c r="BA19" i="17"/>
  <c r="BB19" i="17" s="1"/>
  <c r="BE19" i="17"/>
  <c r="BF11" i="17"/>
  <c r="BG26" i="17"/>
  <c r="BE14" i="17"/>
  <c r="BK10" i="17"/>
  <c r="AT23" i="17"/>
  <c r="AR14" i="17"/>
  <c r="AT19" i="17"/>
  <c r="AQ11" i="17"/>
  <c r="AS26" i="17"/>
  <c r="AQ10" i="17"/>
  <c r="BM29" i="17"/>
  <c r="M7" i="17"/>
  <c r="M29" i="17"/>
  <c r="O17" i="18"/>
  <c r="R17" i="18" s="1"/>
  <c r="L27" i="18"/>
  <c r="S27" i="18" s="1"/>
  <c r="AL7" i="17"/>
  <c r="AM7" i="17" s="1"/>
  <c r="E27" i="18"/>
  <c r="G29" i="17"/>
  <c r="J29" i="17" s="1"/>
  <c r="AI17" i="18"/>
  <c r="AJ17" i="18" s="1"/>
  <c r="W17" i="18"/>
  <c r="Z17" i="18" s="1"/>
  <c r="AH27" i="18"/>
  <c r="AG27" i="18"/>
  <c r="AJ26" i="18"/>
  <c r="BE17" i="18"/>
  <c r="AS17" i="18"/>
  <c r="BM17" i="18"/>
  <c r="V17" i="18"/>
  <c r="AJ10" i="18"/>
  <c r="F17" i="18"/>
  <c r="I17" i="18" s="1"/>
  <c r="Y17" i="18"/>
  <c r="AB17" i="18" s="1"/>
  <c r="D17" i="18"/>
  <c r="AE17" i="18"/>
  <c r="N17" i="18"/>
  <c r="D29" i="18"/>
  <c r="AI27" i="18"/>
  <c r="AJ27" i="18" s="1"/>
  <c r="G27" i="18"/>
  <c r="J27" i="18" s="1"/>
  <c r="AG17" i="18"/>
  <c r="V27" i="18"/>
  <c r="BJ29" i="18"/>
  <c r="BK17" i="18"/>
  <c r="BF17" i="18"/>
  <c r="AR17" i="18"/>
  <c r="M17" i="18"/>
  <c r="E17" i="18"/>
  <c r="H17" i="18" s="1"/>
  <c r="BL17" i="18"/>
  <c r="BG17" i="18"/>
  <c r="AT17" i="18"/>
  <c r="AO17" i="18"/>
  <c r="BI17" i="18" s="1"/>
  <c r="X17" i="18"/>
  <c r="AA17" i="18" s="1"/>
  <c r="BH17" i="18"/>
  <c r="L17" i="18"/>
  <c r="AH17" i="18"/>
  <c r="X27" i="18"/>
  <c r="AA27" i="18" s="1"/>
  <c r="AL27" i="18"/>
  <c r="AM27" i="18" s="1"/>
  <c r="AM10" i="18"/>
  <c r="BA17" i="18"/>
  <c r="BJ17" i="18"/>
  <c r="AQ17" i="18"/>
  <c r="X30" i="17"/>
  <c r="AA30" i="17" s="1"/>
  <c r="F7" i="17"/>
  <c r="BH7" i="17"/>
  <c r="X7" i="17"/>
  <c r="AA7" i="17" s="1"/>
  <c r="BK7" i="17"/>
  <c r="AR7" i="17"/>
  <c r="AE20" i="17"/>
  <c r="AH7" i="17"/>
  <c r="AG7" i="17"/>
  <c r="V7" i="17"/>
  <c r="AJ15" i="17"/>
  <c r="BJ7" i="17"/>
  <c r="BJ30" i="17"/>
  <c r="AS7" i="17"/>
  <c r="BD27" i="17"/>
  <c r="AI7" i="17"/>
  <c r="AJ7" i="17" s="1"/>
  <c r="G7" i="17"/>
  <c r="J7" i="17" s="1"/>
  <c r="BG7" i="17"/>
  <c r="BM29" i="18"/>
  <c r="AQ29" i="18"/>
  <c r="AI20" i="17"/>
  <c r="AJ20" i="17" s="1"/>
  <c r="X17" i="17"/>
  <c r="AA17" i="17" s="1"/>
  <c r="AJ8" i="17"/>
  <c r="BH24" i="17"/>
  <c r="AQ21" i="18"/>
  <c r="BM7" i="17"/>
  <c r="E7" i="17"/>
  <c r="L7" i="17"/>
  <c r="D7" i="17"/>
  <c r="K7" i="17" s="1"/>
  <c r="Y7" i="17"/>
  <c r="AB7" i="17" s="1"/>
  <c r="O7" i="17"/>
  <c r="R7" i="17" s="1"/>
  <c r="AE7" i="17"/>
  <c r="BL7" i="17"/>
  <c r="W7" i="17"/>
  <c r="Z7" i="17" s="1"/>
  <c r="BA7" i="17"/>
  <c r="BB7" i="17" s="1"/>
  <c r="BF7" i="17"/>
  <c r="BE7" i="17"/>
  <c r="AO7" i="17"/>
  <c r="AQ7" i="17"/>
  <c r="AT7" i="17"/>
  <c r="BD8" i="18"/>
  <c r="AO25" i="18"/>
  <c r="BN25" i="18" s="1"/>
  <c r="BH24" i="18"/>
  <c r="N24" i="18"/>
  <c r="O25" i="18"/>
  <c r="O24" i="18"/>
  <c r="P24" i="18" s="1"/>
  <c r="D24" i="18"/>
  <c r="BH25" i="18"/>
  <c r="W25" i="18"/>
  <c r="Z25" i="18" s="1"/>
  <c r="AM28" i="18"/>
  <c r="AO24" i="18"/>
  <c r="BI24" i="18" s="1"/>
  <c r="E24" i="18"/>
  <c r="AH25" i="18"/>
  <c r="AE29" i="18"/>
  <c r="AI24" i="17"/>
  <c r="AJ24" i="17" s="1"/>
  <c r="BM24" i="18"/>
  <c r="M29" i="18"/>
  <c r="AL19" i="18"/>
  <c r="AM19" i="18" s="1"/>
  <c r="D24" i="17"/>
  <c r="O32" i="18"/>
  <c r="R32" i="18" s="1"/>
  <c r="AO31" i="18"/>
  <c r="BI31" i="18" s="1"/>
  <c r="AG31" i="18"/>
  <c r="V31" i="18"/>
  <c r="N32" i="18"/>
  <c r="Q32" i="18" s="1"/>
  <c r="E32" i="18"/>
  <c r="R18" i="18"/>
  <c r="R28" i="17"/>
  <c r="L14" i="18"/>
  <c r="N14" i="18"/>
  <c r="D14" i="18"/>
  <c r="AI14" i="18"/>
  <c r="AJ14" i="18" s="1"/>
  <c r="BG31" i="17"/>
  <c r="BA29" i="18"/>
  <c r="BG25" i="18"/>
  <c r="BF13" i="18"/>
  <c r="BF25" i="17"/>
  <c r="BE32" i="18"/>
  <c r="BK31" i="18"/>
  <c r="AS32" i="18"/>
  <c r="AT31" i="18"/>
  <c r="AT25" i="18"/>
  <c r="BD36" i="18"/>
  <c r="BD28" i="18"/>
  <c r="BD26" i="17"/>
  <c r="BF36" i="18"/>
  <c r="BJ36" i="18"/>
  <c r="BG36" i="18"/>
  <c r="AR36" i="18"/>
  <c r="AS36" i="18"/>
  <c r="AO9" i="18"/>
  <c r="BI9" i="18" s="1"/>
  <c r="X9" i="18"/>
  <c r="AA9" i="18" s="1"/>
  <c r="V9" i="18"/>
  <c r="E9" i="18"/>
  <c r="H9" i="18" s="1"/>
  <c r="AE20" i="18"/>
  <c r="J15" i="18"/>
  <c r="N20" i="18"/>
  <c r="F20" i="18"/>
  <c r="BH32" i="18"/>
  <c r="AG32" i="18"/>
  <c r="AJ31" i="18"/>
  <c r="Y32" i="18"/>
  <c r="AC32" i="18" s="1"/>
  <c r="L32" i="18"/>
  <c r="M32" i="18"/>
  <c r="AH32" i="18"/>
  <c r="G36" i="18"/>
  <c r="AE36" i="18"/>
  <c r="BM36" i="18"/>
  <c r="L36" i="18"/>
  <c r="S36" i="18" s="1"/>
  <c r="X36" i="18"/>
  <c r="AA36" i="18" s="1"/>
  <c r="Y36" i="18"/>
  <c r="AC36" i="18" s="1"/>
  <c r="W36" i="18"/>
  <c r="Z36" i="18" s="1"/>
  <c r="AO36" i="18"/>
  <c r="AH36" i="18"/>
  <c r="AP35" i="18"/>
  <c r="BE9" i="18"/>
  <c r="BA36" i="18"/>
  <c r="BB36" i="18" s="1"/>
  <c r="BK36" i="18"/>
  <c r="BE36" i="18"/>
  <c r="BK32" i="18"/>
  <c r="BD34" i="18"/>
  <c r="AT14" i="18"/>
  <c r="AT36" i="18"/>
  <c r="AR32" i="18"/>
  <c r="AR9" i="18"/>
  <c r="O29" i="17"/>
  <c r="AH29" i="17"/>
  <c r="D25" i="17"/>
  <c r="AO25" i="17"/>
  <c r="BI25" i="17" s="1"/>
  <c r="L25" i="17"/>
  <c r="AH25" i="17"/>
  <c r="BH17" i="17"/>
  <c r="AO21" i="17"/>
  <c r="BN21" i="17" s="1"/>
  <c r="AO30" i="17"/>
  <c r="AP30" i="17" s="1"/>
  <c r="L24" i="17"/>
  <c r="F21" i="17"/>
  <c r="M21" i="17"/>
  <c r="F30" i="17"/>
  <c r="O21" i="17"/>
  <c r="R21" i="17" s="1"/>
  <c r="AH24" i="17"/>
  <c r="Y30" i="17"/>
  <c r="AB30" i="17" s="1"/>
  <c r="N30" i="17"/>
  <c r="BM31" i="17"/>
  <c r="M30" i="17"/>
  <c r="AL30" i="17"/>
  <c r="AM30" i="17" s="1"/>
  <c r="M31" i="17"/>
  <c r="P31" i="17" s="1"/>
  <c r="AO31" i="17"/>
  <c r="BI31" i="17" s="1"/>
  <c r="L30" i="17"/>
  <c r="AL31" i="17"/>
  <c r="AM31" i="17" s="1"/>
  <c r="D31" i="17"/>
  <c r="BJ31" i="17"/>
  <c r="BE30" i="17"/>
  <c r="AR31" i="17"/>
  <c r="AR25" i="17"/>
  <c r="AS30" i="17"/>
  <c r="AS24" i="17"/>
  <c r="AL25" i="17"/>
  <c r="AM25" i="17" s="1"/>
  <c r="Y25" i="17"/>
  <c r="AC25" i="17" s="1"/>
  <c r="AI25" i="18"/>
  <c r="AJ25" i="18" s="1"/>
  <c r="F25" i="18"/>
  <c r="I25" i="18" s="1"/>
  <c r="X25" i="18"/>
  <c r="AA25" i="18" s="1"/>
  <c r="BM25" i="18"/>
  <c r="L25" i="18"/>
  <c r="E25" i="18"/>
  <c r="H25" i="18" s="1"/>
  <c r="D25" i="18"/>
  <c r="AL25" i="18"/>
  <c r="AM25" i="18" s="1"/>
  <c r="N25" i="18"/>
  <c r="AG25" i="18"/>
  <c r="W13" i="18"/>
  <c r="Z13" i="18" s="1"/>
  <c r="E21" i="18"/>
  <c r="V21" i="18"/>
  <c r="AL29" i="18"/>
  <c r="AM29" i="18" s="1"/>
  <c r="W29" i="18"/>
  <c r="Z29" i="18" s="1"/>
  <c r="BH30" i="17"/>
  <c r="O29" i="18"/>
  <c r="BM24" i="17"/>
  <c r="E30" i="17"/>
  <c r="BL25" i="17"/>
  <c r="W30" i="17"/>
  <c r="Z30" i="17" s="1"/>
  <c r="G29" i="18"/>
  <c r="J29" i="18" s="1"/>
  <c r="BH19" i="18"/>
  <c r="AG21" i="18"/>
  <c r="F24" i="17"/>
  <c r="V24" i="17"/>
  <c r="X24" i="17"/>
  <c r="AA24" i="17" s="1"/>
  <c r="BL25" i="18"/>
  <c r="BL24" i="17"/>
  <c r="AE30" i="17"/>
  <c r="AE31" i="17"/>
  <c r="BH31" i="17"/>
  <c r="N31" i="17"/>
  <c r="Q31" i="17" s="1"/>
  <c r="G31" i="17"/>
  <c r="I31" i="17" s="1"/>
  <c r="L31" i="17"/>
  <c r="S31" i="17" s="1"/>
  <c r="E31" i="17"/>
  <c r="AH30" i="17"/>
  <c r="D30" i="17"/>
  <c r="U30" i="17" s="1"/>
  <c r="V31" i="17"/>
  <c r="G30" i="17"/>
  <c r="J30" i="17" s="1"/>
  <c r="L31" i="18"/>
  <c r="O31" i="18"/>
  <c r="R31" i="18" s="1"/>
  <c r="E31" i="18"/>
  <c r="AI31" i="17"/>
  <c r="AJ31" i="17" s="1"/>
  <c r="BM31" i="18"/>
  <c r="AG31" i="17"/>
  <c r="W31" i="18"/>
  <c r="Z31" i="18" s="1"/>
  <c r="AH31" i="17"/>
  <c r="V30" i="17"/>
  <c r="BL30" i="17"/>
  <c r="AJ33" i="17"/>
  <c r="O30" i="17"/>
  <c r="R30" i="17" s="1"/>
  <c r="AM28" i="17"/>
  <c r="J28" i="17"/>
  <c r="BD25" i="17"/>
  <c r="BD31" i="18"/>
  <c r="BA31" i="17"/>
  <c r="BB31" i="17" s="1"/>
  <c r="BK31" i="17"/>
  <c r="BE31" i="17"/>
  <c r="BK30" i="17"/>
  <c r="BG30" i="17"/>
  <c r="BF30" i="17"/>
  <c r="BG29" i="18"/>
  <c r="BK25" i="18"/>
  <c r="BE25" i="18"/>
  <c r="BF25" i="18"/>
  <c r="BK21" i="18"/>
  <c r="BF21" i="18"/>
  <c r="BA25" i="17"/>
  <c r="BB25" i="17" s="1"/>
  <c r="BE25" i="17"/>
  <c r="BK24" i="17"/>
  <c r="BF24" i="17"/>
  <c r="BG31" i="18"/>
  <c r="AT29" i="18"/>
  <c r="AT31" i="17"/>
  <c r="AQ31" i="17"/>
  <c r="AS25" i="17"/>
  <c r="AT30" i="17"/>
  <c r="AQ30" i="17"/>
  <c r="AR24" i="17"/>
  <c r="BD35" i="18"/>
  <c r="AQ31" i="18"/>
  <c r="AR25" i="18"/>
  <c r="AS25" i="18"/>
  <c r="BD21" i="17"/>
  <c r="G25" i="17"/>
  <c r="K25" i="17" s="1"/>
  <c r="M25" i="17"/>
  <c r="BH25" i="17"/>
  <c r="W29" i="17"/>
  <c r="Z29" i="17" s="1"/>
  <c r="O25" i="17"/>
  <c r="R25" i="17" s="1"/>
  <c r="AH17" i="17"/>
  <c r="V25" i="17"/>
  <c r="BH29" i="17"/>
  <c r="AI25" i="17"/>
  <c r="AJ25" i="17" s="1"/>
  <c r="F25" i="17"/>
  <c r="AG29" i="17"/>
  <c r="E25" i="17"/>
  <c r="X25" i="17"/>
  <c r="AA25" i="17" s="1"/>
  <c r="AE25" i="17"/>
  <c r="BM25" i="17"/>
  <c r="V21" i="17"/>
  <c r="E17" i="17"/>
  <c r="Y29" i="18"/>
  <c r="AB29" i="18" s="1"/>
  <c r="AH29" i="18"/>
  <c r="BH29" i="18"/>
  <c r="V29" i="18"/>
  <c r="L29" i="18"/>
  <c r="E29" i="18"/>
  <c r="G20" i="18"/>
  <c r="J20" i="18" s="1"/>
  <c r="AL20" i="18"/>
  <c r="AM20" i="18" s="1"/>
  <c r="F11" i="18"/>
  <c r="AI11" i="18"/>
  <c r="AJ11" i="18" s="1"/>
  <c r="AI23" i="17"/>
  <c r="AJ23" i="17" s="1"/>
  <c r="F29" i="18"/>
  <c r="I29" i="18" s="1"/>
  <c r="AO29" i="18"/>
  <c r="BI29" i="18" s="1"/>
  <c r="O24" i="17"/>
  <c r="R24" i="17" s="1"/>
  <c r="N29" i="18"/>
  <c r="Q29" i="18" s="1"/>
  <c r="AG29" i="18"/>
  <c r="W25" i="17"/>
  <c r="Z25" i="17" s="1"/>
  <c r="AO27" i="18"/>
  <c r="AP27" i="18" s="1"/>
  <c r="X29" i="18"/>
  <c r="AA29" i="18" s="1"/>
  <c r="AI29" i="17"/>
  <c r="AJ29" i="17" s="1"/>
  <c r="D27" i="18"/>
  <c r="K27" i="18" s="1"/>
  <c r="J23" i="18"/>
  <c r="W27" i="18"/>
  <c r="Z27" i="18" s="1"/>
  <c r="AM12" i="17"/>
  <c r="BL29" i="18"/>
  <c r="M27" i="18"/>
  <c r="P27" i="18" s="1"/>
  <c r="BL27" i="18"/>
  <c r="Y27" i="18"/>
  <c r="AB27" i="18" s="1"/>
  <c r="AE27" i="18"/>
  <c r="AJ12" i="17"/>
  <c r="D11" i="18"/>
  <c r="L20" i="17"/>
  <c r="E23" i="17"/>
  <c r="AL24" i="17"/>
  <c r="AM24" i="17" s="1"/>
  <c r="M24" i="17"/>
  <c r="AO24" i="17"/>
  <c r="BN24" i="17" s="1"/>
  <c r="G24" i="17"/>
  <c r="Y24" i="17"/>
  <c r="AB24" i="17" s="1"/>
  <c r="E24" i="17"/>
  <c r="AG24" i="17"/>
  <c r="W24" i="17"/>
  <c r="Z24" i="17" s="1"/>
  <c r="N24" i="17"/>
  <c r="BM27" i="18"/>
  <c r="F27" i="18"/>
  <c r="AO29" i="17"/>
  <c r="BN29" i="17" s="1"/>
  <c r="BL29" i="17"/>
  <c r="AJ32" i="17"/>
  <c r="V32" i="18"/>
  <c r="W32" i="18"/>
  <c r="Z32" i="18" s="1"/>
  <c r="BH27" i="18"/>
  <c r="X31" i="18"/>
  <c r="AA31" i="18" s="1"/>
  <c r="G31" i="18"/>
  <c r="AI32" i="18"/>
  <c r="AJ32" i="18" s="1"/>
  <c r="BL32" i="18"/>
  <c r="D32" i="18"/>
  <c r="U32" i="18" s="1"/>
  <c r="AE31" i="18"/>
  <c r="F32" i="18"/>
  <c r="R32" i="17"/>
  <c r="F31" i="18"/>
  <c r="Y31" i="18"/>
  <c r="AC31" i="18" s="1"/>
  <c r="N31" i="18"/>
  <c r="BH31" i="18"/>
  <c r="D31" i="18"/>
  <c r="U31" i="18" s="1"/>
  <c r="M31" i="18"/>
  <c r="P31" i="18" s="1"/>
  <c r="BM32" i="18"/>
  <c r="AH31" i="18"/>
  <c r="G32" i="18"/>
  <c r="J32" i="18" s="1"/>
  <c r="X14" i="18"/>
  <c r="AA14" i="18" s="1"/>
  <c r="M14" i="18"/>
  <c r="BD27" i="18"/>
  <c r="BJ14" i="18"/>
  <c r="BK29" i="18"/>
  <c r="BE29" i="18"/>
  <c r="BF29" i="18"/>
  <c r="BK25" i="17"/>
  <c r="BJ25" i="17"/>
  <c r="BG25" i="17"/>
  <c r="BF32" i="18"/>
  <c r="BJ32" i="18"/>
  <c r="BG32" i="18"/>
  <c r="BJ20" i="18"/>
  <c r="BA24" i="17"/>
  <c r="BB24" i="17" s="1"/>
  <c r="BG24" i="17"/>
  <c r="BJ24" i="17"/>
  <c r="BA31" i="18"/>
  <c r="BE31" i="18"/>
  <c r="BJ31" i="18"/>
  <c r="AR29" i="18"/>
  <c r="AS29" i="18"/>
  <c r="AT25" i="17"/>
  <c r="AQ25" i="17"/>
  <c r="AT32" i="18"/>
  <c r="AQ32" i="18"/>
  <c r="AR20" i="18"/>
  <c r="AT24" i="17"/>
  <c r="AQ24" i="17"/>
  <c r="AR31" i="18"/>
  <c r="AS31" i="18"/>
  <c r="BD32" i="18"/>
  <c r="AP34" i="18"/>
  <c r="BD15" i="17"/>
  <c r="BK29" i="17"/>
  <c r="BJ29" i="17"/>
  <c r="BG29" i="17"/>
  <c r="AT29" i="17"/>
  <c r="AQ29" i="17"/>
  <c r="X29" i="17"/>
  <c r="AA29" i="17" s="1"/>
  <c r="G17" i="17"/>
  <c r="J17" i="17" s="1"/>
  <c r="L29" i="17"/>
  <c r="S29" i="17" s="1"/>
  <c r="Y29" i="17"/>
  <c r="Y17" i="17"/>
  <c r="AC17" i="17" s="1"/>
  <c r="N29" i="17"/>
  <c r="BM21" i="17"/>
  <c r="AO17" i="17"/>
  <c r="BI17" i="17" s="1"/>
  <c r="V29" i="17"/>
  <c r="W21" i="17"/>
  <c r="Z21" i="17" s="1"/>
  <c r="D21" i="17"/>
  <c r="AE17" i="17"/>
  <c r="AL17" i="17"/>
  <c r="AM17" i="17" s="1"/>
  <c r="E29" i="17"/>
  <c r="X21" i="17"/>
  <c r="AA21" i="17" s="1"/>
  <c r="AM13" i="17"/>
  <c r="R13" i="17"/>
  <c r="BH20" i="17"/>
  <c r="O20" i="17"/>
  <c r="R20" i="17" s="1"/>
  <c r="AO20" i="17"/>
  <c r="BN20" i="17" s="1"/>
  <c r="AL29" i="17"/>
  <c r="AM29" i="17" s="1"/>
  <c r="F29" i="17"/>
  <c r="S28" i="17"/>
  <c r="BA29" i="17"/>
  <c r="BB29" i="17" s="1"/>
  <c r="BF29" i="17"/>
  <c r="BE29" i="17"/>
  <c r="AR29" i="17"/>
  <c r="AS29" i="17"/>
  <c r="AT21" i="18"/>
  <c r="BD26" i="18"/>
  <c r="BD21" i="18"/>
  <c r="R21" i="18"/>
  <c r="BD24" i="17"/>
  <c r="N17" i="17"/>
  <c r="AG17" i="17"/>
  <c r="O17" i="17"/>
  <c r="M17" i="17"/>
  <c r="BM17" i="17"/>
  <c r="Y21" i="17"/>
  <c r="AC21" i="17" s="1"/>
  <c r="AH21" i="17"/>
  <c r="AI17" i="17"/>
  <c r="AJ17" i="17" s="1"/>
  <c r="F17" i="17"/>
  <c r="I17" i="17" s="1"/>
  <c r="BH21" i="17"/>
  <c r="E21" i="17"/>
  <c r="AL21" i="17"/>
  <c r="AM21" i="17" s="1"/>
  <c r="L17" i="17"/>
  <c r="V17" i="17"/>
  <c r="W17" i="17"/>
  <c r="Z17" i="17" s="1"/>
  <c r="D17" i="17"/>
  <c r="W24" i="18"/>
  <c r="Z24" i="18" s="1"/>
  <c r="Y24" i="18"/>
  <c r="AB24" i="18" s="1"/>
  <c r="AI24" i="18"/>
  <c r="AJ24" i="18" s="1"/>
  <c r="G24" i="18"/>
  <c r="J24" i="18" s="1"/>
  <c r="V24" i="18"/>
  <c r="F24" i="18"/>
  <c r="AH24" i="18"/>
  <c r="AM15" i="18"/>
  <c r="BL24" i="18"/>
  <c r="G21" i="17"/>
  <c r="J21" i="17" s="1"/>
  <c r="AI21" i="17"/>
  <c r="AJ21" i="17" s="1"/>
  <c r="BL21" i="17"/>
  <c r="AG24" i="18"/>
  <c r="X24" i="18"/>
  <c r="AA24" i="18" s="1"/>
  <c r="AG21" i="17"/>
  <c r="AE21" i="17"/>
  <c r="L21" i="17"/>
  <c r="N21" i="17"/>
  <c r="O19" i="18"/>
  <c r="R19" i="18" s="1"/>
  <c r="AM16" i="17"/>
  <c r="Y19" i="18"/>
  <c r="AB19" i="18" s="1"/>
  <c r="J27" i="17"/>
  <c r="AJ27" i="17"/>
  <c r="J18" i="18"/>
  <c r="AM18" i="18"/>
  <c r="AJ18" i="18"/>
  <c r="BL14" i="18"/>
  <c r="AE14" i="18"/>
  <c r="O14" i="18"/>
  <c r="R14" i="18" s="1"/>
  <c r="AL14" i="18"/>
  <c r="AM14" i="18" s="1"/>
  <c r="BD23" i="18"/>
  <c r="BK14" i="18"/>
  <c r="BG14" i="18"/>
  <c r="AQ14" i="18"/>
  <c r="BK27" i="18"/>
  <c r="BG27" i="18"/>
  <c r="BF27" i="18"/>
  <c r="AR27" i="18"/>
  <c r="AS27" i="18"/>
  <c r="BA27" i="18"/>
  <c r="BE27" i="18"/>
  <c r="BJ27" i="18"/>
  <c r="AT27" i="18"/>
  <c r="AQ27" i="18"/>
  <c r="BD18" i="18"/>
  <c r="BD22" i="18"/>
  <c r="BD25" i="18"/>
  <c r="AI9" i="18"/>
  <c r="AJ9" i="18" s="1"/>
  <c r="F9" i="18"/>
  <c r="I9" i="18" s="1"/>
  <c r="BM9" i="18"/>
  <c r="D9" i="18"/>
  <c r="AL9" i="18"/>
  <c r="AM9" i="18" s="1"/>
  <c r="AE9" i="18"/>
  <c r="BH9" i="18"/>
  <c r="N9" i="18"/>
  <c r="Y21" i="18"/>
  <c r="AB21" i="18" s="1"/>
  <c r="AH21" i="18"/>
  <c r="AG9" i="18"/>
  <c r="O9" i="18"/>
  <c r="R9" i="18" s="1"/>
  <c r="Y9" i="18"/>
  <c r="AB9" i="18" s="1"/>
  <c r="AE21" i="18"/>
  <c r="W21" i="18"/>
  <c r="Z21" i="18" s="1"/>
  <c r="D21" i="18"/>
  <c r="AL21" i="18"/>
  <c r="AM21" i="18" s="1"/>
  <c r="G21" i="18"/>
  <c r="I21" i="18" s="1"/>
  <c r="AI21" i="18"/>
  <c r="AJ21" i="18" s="1"/>
  <c r="BL9" i="18"/>
  <c r="X21" i="18"/>
  <c r="AA21" i="18" s="1"/>
  <c r="BL21" i="18"/>
  <c r="S23" i="18"/>
  <c r="M21" i="18"/>
  <c r="P21" i="18" s="1"/>
  <c r="BD11" i="18"/>
  <c r="BA21" i="18"/>
  <c r="BG21" i="18"/>
  <c r="BJ21" i="18"/>
  <c r="BA9" i="18"/>
  <c r="BG9" i="18"/>
  <c r="BJ9" i="18"/>
  <c r="AR21" i="18"/>
  <c r="AS21" i="18"/>
  <c r="AT9" i="18"/>
  <c r="AQ9" i="18"/>
  <c r="G19" i="18"/>
  <c r="J19" i="18" s="1"/>
  <c r="AE19" i="18"/>
  <c r="M19" i="18"/>
  <c r="N19" i="18"/>
  <c r="BD17" i="18"/>
  <c r="BD9" i="18"/>
  <c r="BD18" i="17"/>
  <c r="D1" i="17"/>
  <c r="AJ13" i="17"/>
  <c r="BH13" i="18"/>
  <c r="AI20" i="18"/>
  <c r="AJ20" i="18" s="1"/>
  <c r="D20" i="18"/>
  <c r="BL20" i="18"/>
  <c r="F23" i="17"/>
  <c r="BH20" i="18"/>
  <c r="X20" i="18"/>
  <c r="AA20" i="18" s="1"/>
  <c r="BM20" i="18"/>
  <c r="AM23" i="18"/>
  <c r="AO19" i="18"/>
  <c r="BN19" i="18" s="1"/>
  <c r="X19" i="18"/>
  <c r="AA19" i="18" s="1"/>
  <c r="BL19" i="18"/>
  <c r="AM8" i="17"/>
  <c r="S16" i="17"/>
  <c r="AI19" i="18"/>
  <c r="AJ19" i="18" s="1"/>
  <c r="W19" i="18"/>
  <c r="Z19" i="18" s="1"/>
  <c r="V19" i="18"/>
  <c r="F19" i="18"/>
  <c r="D19" i="18"/>
  <c r="AG19" i="18"/>
  <c r="AH19" i="18"/>
  <c r="E19" i="18"/>
  <c r="L19" i="18"/>
  <c r="AE23" i="17"/>
  <c r="D23" i="17"/>
  <c r="AJ23" i="18"/>
  <c r="L23" i="17"/>
  <c r="M23" i="17"/>
  <c r="BL23" i="17"/>
  <c r="BD20" i="18"/>
  <c r="BD12" i="18"/>
  <c r="BD20" i="17"/>
  <c r="BD12" i="17"/>
  <c r="BD19" i="18"/>
  <c r="BF23" i="17"/>
  <c r="BG23" i="17"/>
  <c r="BK13" i="18"/>
  <c r="BF20" i="18"/>
  <c r="BG20" i="18"/>
  <c r="AQ23" i="17"/>
  <c r="BD24" i="18"/>
  <c r="AR13" i="18"/>
  <c r="AS20" i="18"/>
  <c r="AE16" i="18"/>
  <c r="BM13" i="18"/>
  <c r="M20" i="18"/>
  <c r="AE13" i="18"/>
  <c r="V13" i="18"/>
  <c r="O20" i="18"/>
  <c r="L20" i="18"/>
  <c r="Y20" i="18"/>
  <c r="AB20" i="18" s="1"/>
  <c r="V20" i="18"/>
  <c r="AJ15" i="18"/>
  <c r="AO23" i="17"/>
  <c r="AP23" i="17" s="1"/>
  <c r="O23" i="17"/>
  <c r="R23" i="17" s="1"/>
  <c r="AO13" i="18"/>
  <c r="BI13" i="18" s="1"/>
  <c r="R15" i="18"/>
  <c r="AI13" i="18"/>
  <c r="AJ13" i="18" s="1"/>
  <c r="W20" i="18"/>
  <c r="Z20" i="18" s="1"/>
  <c r="AO11" i="18"/>
  <c r="AP11" i="18" s="1"/>
  <c r="N13" i="18"/>
  <c r="Q13" i="18" s="1"/>
  <c r="BL16" i="18"/>
  <c r="X13" i="18"/>
  <c r="AA13" i="18" s="1"/>
  <c r="AO20" i="18"/>
  <c r="BI20" i="18" s="1"/>
  <c r="BL13" i="18"/>
  <c r="AH20" i="18"/>
  <c r="V20" i="17"/>
  <c r="E20" i="18"/>
  <c r="X20" i="17"/>
  <c r="AA20" i="17" s="1"/>
  <c r="E20" i="17"/>
  <c r="Y23" i="17"/>
  <c r="AB23" i="17" s="1"/>
  <c r="AG23" i="17"/>
  <c r="N23" i="17"/>
  <c r="AL23" i="17"/>
  <c r="AM23" i="17" s="1"/>
  <c r="X23" i="17"/>
  <c r="AA23" i="17" s="1"/>
  <c r="V23" i="17"/>
  <c r="W23" i="17"/>
  <c r="Z23" i="17" s="1"/>
  <c r="G23" i="17"/>
  <c r="J23" i="17" s="1"/>
  <c r="BH23" i="17"/>
  <c r="BM23" i="17"/>
  <c r="BA23" i="17"/>
  <c r="BB23" i="17" s="1"/>
  <c r="BK23" i="17"/>
  <c r="BE23" i="17"/>
  <c r="BE13" i="18"/>
  <c r="BA20" i="18"/>
  <c r="BK20" i="18"/>
  <c r="BE20" i="18"/>
  <c r="BD19" i="17"/>
  <c r="AR23" i="17"/>
  <c r="AS13" i="18"/>
  <c r="AT20" i="18"/>
  <c r="AQ20" i="18"/>
  <c r="BF24" i="18"/>
  <c r="BJ24" i="18"/>
  <c r="BG24" i="18"/>
  <c r="AT24" i="18"/>
  <c r="AQ24" i="18"/>
  <c r="BA24" i="18"/>
  <c r="BK24" i="18"/>
  <c r="BE24" i="18"/>
  <c r="AR24" i="18"/>
  <c r="AS24" i="18"/>
  <c r="BD16" i="18"/>
  <c r="R13" i="18"/>
  <c r="R12" i="17"/>
  <c r="Y20" i="17"/>
  <c r="AC20" i="17" s="1"/>
  <c r="AL20" i="17"/>
  <c r="G20" i="17"/>
  <c r="J20" i="17" s="1"/>
  <c r="D20" i="17"/>
  <c r="E11" i="18"/>
  <c r="W20" i="17"/>
  <c r="Z20" i="17" s="1"/>
  <c r="N20" i="17"/>
  <c r="F20" i="17"/>
  <c r="BL20" i="17"/>
  <c r="M20" i="17"/>
  <c r="AG20" i="17"/>
  <c r="AH20" i="17"/>
  <c r="J14" i="17"/>
  <c r="G14" i="18"/>
  <c r="J14" i="18" s="1"/>
  <c r="BH14" i="18"/>
  <c r="AG14" i="18"/>
  <c r="V14" i="18"/>
  <c r="AH14" i="18"/>
  <c r="F14" i="18"/>
  <c r="Y14" i="18"/>
  <c r="AC14" i="18" s="1"/>
  <c r="W14" i="18"/>
  <c r="Z14" i="18" s="1"/>
  <c r="AO14" i="18"/>
  <c r="BN14" i="18" s="1"/>
  <c r="E14" i="18"/>
  <c r="BD17" i="17"/>
  <c r="BD9" i="17"/>
  <c r="BD16" i="17"/>
  <c r="BD15" i="18"/>
  <c r="BA14" i="18"/>
  <c r="BF14" i="18"/>
  <c r="BE14" i="18"/>
  <c r="BD7" i="18"/>
  <c r="AR14" i="18"/>
  <c r="AS14" i="18"/>
  <c r="BK21" i="17"/>
  <c r="BJ21" i="17"/>
  <c r="BG21" i="17"/>
  <c r="AR21" i="17"/>
  <c r="AS21" i="17"/>
  <c r="BA21" i="17"/>
  <c r="BB21" i="17" s="1"/>
  <c r="BF21" i="17"/>
  <c r="BE21" i="17"/>
  <c r="AT21" i="17"/>
  <c r="BA20" i="17"/>
  <c r="BB20" i="17" s="1"/>
  <c r="BG20" i="17"/>
  <c r="BJ20" i="17"/>
  <c r="AR20" i="17"/>
  <c r="AS20" i="17"/>
  <c r="BK20" i="17"/>
  <c r="BE20" i="17"/>
  <c r="BF20" i="17"/>
  <c r="AT20" i="17"/>
  <c r="AQ20" i="17"/>
  <c r="BD10" i="17"/>
  <c r="BA19" i="18"/>
  <c r="BE19" i="18"/>
  <c r="BJ19" i="18"/>
  <c r="AT19" i="18"/>
  <c r="AQ19" i="18"/>
  <c r="BK19" i="18"/>
  <c r="BG19" i="18"/>
  <c r="BF19" i="18"/>
  <c r="AR19" i="18"/>
  <c r="AS19" i="18"/>
  <c r="D1" i="18"/>
  <c r="BC39" i="17"/>
  <c r="BD11" i="17"/>
  <c r="BD10" i="18"/>
  <c r="BD8" i="17"/>
  <c r="BC39" i="18"/>
  <c r="L16" i="18"/>
  <c r="AL16" i="18"/>
  <c r="AM16" i="18" s="1"/>
  <c r="R8" i="18"/>
  <c r="Y13" i="18"/>
  <c r="AB13" i="18" s="1"/>
  <c r="AH13" i="18"/>
  <c r="X16" i="18"/>
  <c r="AA16" i="18" s="1"/>
  <c r="L13" i="18"/>
  <c r="S13" i="18" s="1"/>
  <c r="E13" i="18"/>
  <c r="D13" i="18"/>
  <c r="AL13" i="18"/>
  <c r="AM13" i="18" s="1"/>
  <c r="F13" i="18"/>
  <c r="M13" i="18"/>
  <c r="P13" i="18" s="1"/>
  <c r="G13" i="18"/>
  <c r="J13" i="18" s="1"/>
  <c r="AG13" i="18"/>
  <c r="N16" i="18"/>
  <c r="Y11" i="18"/>
  <c r="AB11" i="18" s="1"/>
  <c r="AP12" i="17"/>
  <c r="AH11" i="18"/>
  <c r="R15" i="17"/>
  <c r="BA13" i="18"/>
  <c r="BG13" i="18"/>
  <c r="BJ13" i="18"/>
  <c r="AT13" i="18"/>
  <c r="AQ13" i="18"/>
  <c r="W16" i="18"/>
  <c r="Z16" i="18" s="1"/>
  <c r="O16" i="18"/>
  <c r="D16" i="18"/>
  <c r="AO16" i="18"/>
  <c r="BI16" i="18" s="1"/>
  <c r="W11" i="18"/>
  <c r="Z11" i="18" s="1"/>
  <c r="V11" i="18"/>
  <c r="AE11" i="18"/>
  <c r="BD13" i="17"/>
  <c r="AT17" i="17"/>
  <c r="AQ17" i="17"/>
  <c r="AT11" i="18"/>
  <c r="AQ11" i="18"/>
  <c r="AT16" i="18"/>
  <c r="AQ16" i="18"/>
  <c r="AR17" i="17"/>
  <c r="AS17" i="17"/>
  <c r="AR11" i="18"/>
  <c r="AS11" i="18"/>
  <c r="AR16" i="18"/>
  <c r="AS16" i="18"/>
  <c r="AN39" i="18"/>
  <c r="BA17" i="17"/>
  <c r="BB17" i="17" s="1"/>
  <c r="BF17" i="17"/>
  <c r="BE17" i="17"/>
  <c r="BK17" i="17"/>
  <c r="BJ17" i="17"/>
  <c r="BG17" i="17"/>
  <c r="C39" i="17"/>
  <c r="C39" i="18"/>
  <c r="AN39" i="17"/>
  <c r="AN45" i="19" s="1"/>
  <c r="AN40" i="18"/>
  <c r="BA16" i="18"/>
  <c r="BK16" i="18"/>
  <c r="BE16" i="18"/>
  <c r="BK11" i="18"/>
  <c r="BG11" i="18"/>
  <c r="BF11" i="18"/>
  <c r="AY39" i="17"/>
  <c r="AZ39" i="17" s="1"/>
  <c r="AJ8" i="18"/>
  <c r="BH16" i="18"/>
  <c r="J8" i="18"/>
  <c r="G16" i="18"/>
  <c r="J16" i="18" s="1"/>
  <c r="AI16" i="18"/>
  <c r="AJ16" i="18" s="1"/>
  <c r="Y16" i="18"/>
  <c r="AB16" i="18" s="1"/>
  <c r="V16" i="18"/>
  <c r="AJ12" i="18"/>
  <c r="G11" i="18"/>
  <c r="X11" i="18"/>
  <c r="AA11" i="18" s="1"/>
  <c r="F16" i="18"/>
  <c r="BL11" i="18"/>
  <c r="BM16" i="18"/>
  <c r="E16" i="18"/>
  <c r="AH16" i="18"/>
  <c r="AG16" i="18"/>
  <c r="O11" i="18"/>
  <c r="R11" i="18" s="1"/>
  <c r="L11" i="18"/>
  <c r="U11" i="18" s="1"/>
  <c r="BH11" i="18"/>
  <c r="M11" i="18"/>
  <c r="AG11" i="18"/>
  <c r="AL11" i="18"/>
  <c r="AM11" i="18" s="1"/>
  <c r="N11" i="18"/>
  <c r="Q13" i="17"/>
  <c r="AY39" i="18"/>
  <c r="AZ39" i="18" s="1"/>
  <c r="BF16" i="18"/>
  <c r="BJ16" i="18"/>
  <c r="BG16" i="18"/>
  <c r="BA11" i="18"/>
  <c r="BE11" i="18"/>
  <c r="BJ11" i="18"/>
  <c r="AP33" i="18"/>
  <c r="AP32" i="18"/>
  <c r="AP15" i="18"/>
  <c r="AP10" i="18"/>
  <c r="Z8" i="17"/>
  <c r="AP8" i="18"/>
  <c r="AP12" i="18"/>
  <c r="AP36" i="17"/>
  <c r="Q34" i="18"/>
  <c r="T36" i="17"/>
  <c r="S36" i="17"/>
  <c r="H36" i="17"/>
  <c r="U36" i="17"/>
  <c r="K36" i="17"/>
  <c r="J36" i="17"/>
  <c r="Q36" i="17"/>
  <c r="P36" i="17"/>
  <c r="I36" i="17"/>
  <c r="I35" i="17"/>
  <c r="BI32" i="18"/>
  <c r="AP35" i="17"/>
  <c r="AD35" i="17"/>
  <c r="AV35" i="17" s="1"/>
  <c r="AW35" i="17" s="1"/>
  <c r="U35" i="17"/>
  <c r="AP32" i="17"/>
  <c r="AP30" i="18"/>
  <c r="AP28" i="17"/>
  <c r="U34" i="17"/>
  <c r="P28" i="17"/>
  <c r="AP28" i="18"/>
  <c r="H28" i="17"/>
  <c r="AP26" i="18"/>
  <c r="AP27" i="17"/>
  <c r="AP9" i="17"/>
  <c r="AP16" i="17"/>
  <c r="AP8" i="17"/>
  <c r="AP13" i="17"/>
  <c r="AP22" i="17"/>
  <c r="AP15" i="17"/>
  <c r="AP18" i="17"/>
  <c r="AP22" i="18"/>
  <c r="AP18" i="18"/>
  <c r="AP23" i="18"/>
  <c r="S14" i="17"/>
  <c r="BB37" i="18"/>
  <c r="AK37" i="18"/>
  <c r="AD37" i="18"/>
  <c r="AF37" i="18" s="1"/>
  <c r="J37" i="18"/>
  <c r="AD37" i="17"/>
  <c r="T37" i="17"/>
  <c r="AK37" i="17"/>
  <c r="J37" i="17"/>
  <c r="K37" i="17"/>
  <c r="AC37" i="18"/>
  <c r="AB37" i="18"/>
  <c r="AB37" i="17"/>
  <c r="AC37" i="17"/>
  <c r="BN35" i="17"/>
  <c r="BN36" i="17"/>
  <c r="U36" i="18"/>
  <c r="T35" i="17"/>
  <c r="AD35" i="18"/>
  <c r="AV35" i="18" s="1"/>
  <c r="AW35" i="18" s="1"/>
  <c r="AD34" i="18"/>
  <c r="AF34" i="18" s="1"/>
  <c r="I34" i="18"/>
  <c r="BB35" i="18"/>
  <c r="K34" i="18"/>
  <c r="H34" i="18"/>
  <c r="AB36" i="17"/>
  <c r="AC36" i="17"/>
  <c r="J35" i="17"/>
  <c r="AK36" i="17"/>
  <c r="AD36" i="17"/>
  <c r="T34" i="18"/>
  <c r="Q35" i="18"/>
  <c r="P33" i="18"/>
  <c r="AC35" i="18"/>
  <c r="S35" i="18"/>
  <c r="S34" i="18"/>
  <c r="AB35" i="17"/>
  <c r="AC35" i="17"/>
  <c r="R34" i="18"/>
  <c r="AK35" i="18"/>
  <c r="P35" i="18"/>
  <c r="J35" i="18"/>
  <c r="U34" i="18"/>
  <c r="BI32" i="17"/>
  <c r="AC34" i="18"/>
  <c r="AK34" i="18"/>
  <c r="BI34" i="18"/>
  <c r="Q10" i="18"/>
  <c r="P34" i="18"/>
  <c r="BB31" i="18"/>
  <c r="BB33" i="18"/>
  <c r="BB34" i="18"/>
  <c r="BB32" i="18"/>
  <c r="AB18" i="18"/>
  <c r="AC26" i="18"/>
  <c r="U26" i="18"/>
  <c r="AD28" i="17"/>
  <c r="AV28" i="17" s="1"/>
  <c r="AW28" i="17" s="1"/>
  <c r="H26" i="18"/>
  <c r="P30" i="18"/>
  <c r="T28" i="17"/>
  <c r="K28" i="17"/>
  <c r="AB10" i="18"/>
  <c r="I10" i="18"/>
  <c r="U10" i="18"/>
  <c r="BI22" i="18"/>
  <c r="U22" i="18"/>
  <c r="P10" i="18"/>
  <c r="R10" i="18"/>
  <c r="T10" i="18"/>
  <c r="S10" i="18"/>
  <c r="AK10" i="18"/>
  <c r="BI10" i="18"/>
  <c r="K10" i="18"/>
  <c r="BN18" i="18"/>
  <c r="Q18" i="18"/>
  <c r="P18" i="18"/>
  <c r="H10" i="18"/>
  <c r="AD10" i="18"/>
  <c r="AF10" i="18" s="1"/>
  <c r="I18" i="18"/>
  <c r="T18" i="18"/>
  <c r="AD18" i="18"/>
  <c r="AF18" i="18" s="1"/>
  <c r="J10" i="18"/>
  <c r="S18" i="18"/>
  <c r="AB22" i="18"/>
  <c r="K22" i="18"/>
  <c r="U18" i="18"/>
  <c r="H22" i="18"/>
  <c r="Q22" i="18"/>
  <c r="AD22" i="18"/>
  <c r="AF22" i="18" s="1"/>
  <c r="I22" i="18"/>
  <c r="R22" i="18"/>
  <c r="U28" i="17"/>
  <c r="AK22" i="18"/>
  <c r="T22" i="18"/>
  <c r="P22" i="18"/>
  <c r="BB21" i="18"/>
  <c r="BB19" i="18"/>
  <c r="BB17" i="18"/>
  <c r="BB7" i="18"/>
  <c r="BB26" i="18"/>
  <c r="BB28" i="18"/>
  <c r="BB12" i="18"/>
  <c r="BB14" i="18"/>
  <c r="BB20" i="18"/>
  <c r="BB29" i="18"/>
  <c r="BB23" i="18"/>
  <c r="BB30" i="18"/>
  <c r="BB10" i="18"/>
  <c r="BB16" i="18"/>
  <c r="BB13" i="18"/>
  <c r="BB18" i="18"/>
  <c r="BB15" i="18"/>
  <c r="BB22" i="18"/>
  <c r="BB24" i="18"/>
  <c r="BB9" i="18"/>
  <c r="BB27" i="18"/>
  <c r="BB11" i="18"/>
  <c r="BB25" i="18"/>
  <c r="BB8" i="18"/>
  <c r="BI26" i="18"/>
  <c r="H18" i="18"/>
  <c r="AK18" i="18"/>
  <c r="K18" i="18"/>
  <c r="S22" i="18"/>
  <c r="U30" i="18"/>
  <c r="AK28" i="17"/>
  <c r="BI28" i="17"/>
  <c r="AB28" i="17"/>
  <c r="BI27" i="17"/>
  <c r="K35" i="17"/>
  <c r="H35" i="17"/>
  <c r="K33" i="17"/>
  <c r="AB34" i="17"/>
  <c r="AC34" i="17"/>
  <c r="I35" i="18"/>
  <c r="H35" i="18"/>
  <c r="BI35" i="18"/>
  <c r="T35" i="18"/>
  <c r="K35" i="18"/>
  <c r="U35" i="18"/>
  <c r="AM31" i="18"/>
  <c r="AC30" i="18"/>
  <c r="I33" i="18"/>
  <c r="Q33" i="18"/>
  <c r="K34" i="17"/>
  <c r="AK34" i="17"/>
  <c r="J34" i="17"/>
  <c r="P33" i="17"/>
  <c r="I34" i="17"/>
  <c r="AM34" i="17"/>
  <c r="AK33" i="17"/>
  <c r="Q32" i="17"/>
  <c r="AM27" i="17"/>
  <c r="H32" i="17"/>
  <c r="U27" i="17"/>
  <c r="AD33" i="17"/>
  <c r="BN33" i="18"/>
  <c r="J33" i="17"/>
  <c r="BI33" i="17"/>
  <c r="AB33" i="18"/>
  <c r="AC33" i="18"/>
  <c r="S33" i="18"/>
  <c r="R33" i="18"/>
  <c r="J33" i="18"/>
  <c r="K33" i="18"/>
  <c r="T33" i="18"/>
  <c r="AD33" i="18"/>
  <c r="AK33" i="18"/>
  <c r="AM33" i="18"/>
  <c r="U33" i="18"/>
  <c r="AB33" i="17"/>
  <c r="Q22" i="17"/>
  <c r="H30" i="18"/>
  <c r="P32" i="17"/>
  <c r="S32" i="17"/>
  <c r="I32" i="17"/>
  <c r="K32" i="18"/>
  <c r="AM32" i="18"/>
  <c r="AC32" i="17"/>
  <c r="AB32" i="17"/>
  <c r="J32" i="17"/>
  <c r="AD32" i="17"/>
  <c r="K32" i="17"/>
  <c r="T32" i="17"/>
  <c r="AK32" i="17"/>
  <c r="K27" i="17"/>
  <c r="AM32" i="17"/>
  <c r="AB31" i="17"/>
  <c r="AC31" i="17"/>
  <c r="I27" i="17"/>
  <c r="H27" i="17"/>
  <c r="H28" i="18"/>
  <c r="AC28" i="18"/>
  <c r="P28" i="18"/>
  <c r="S22" i="17"/>
  <c r="R22" i="17"/>
  <c r="P22" i="17"/>
  <c r="BN24" i="18"/>
  <c r="BI16" i="17"/>
  <c r="BI22" i="17"/>
  <c r="AB22" i="17"/>
  <c r="K18" i="17"/>
  <c r="AC23" i="18"/>
  <c r="H12" i="18"/>
  <c r="Q15" i="18"/>
  <c r="U22" i="17"/>
  <c r="AD23" i="18"/>
  <c r="AF23" i="18" s="1"/>
  <c r="AK23" i="18"/>
  <c r="U23" i="18"/>
  <c r="BI11" i="17"/>
  <c r="AD22" i="17"/>
  <c r="AF22" i="17" s="1"/>
  <c r="P15" i="18"/>
  <c r="U15" i="18"/>
  <c r="T22" i="17"/>
  <c r="AC16" i="17"/>
  <c r="J13" i="17"/>
  <c r="H22" i="17"/>
  <c r="I22" i="17"/>
  <c r="AK22" i="17"/>
  <c r="K22" i="17"/>
  <c r="I15" i="17"/>
  <c r="J18" i="17"/>
  <c r="AC15" i="17"/>
  <c r="U18" i="17"/>
  <c r="H18" i="17"/>
  <c r="P13" i="17"/>
  <c r="I16" i="17"/>
  <c r="AD16" i="17"/>
  <c r="AV16" i="17" s="1"/>
  <c r="AW16" i="17" s="1"/>
  <c r="AC12" i="18"/>
  <c r="H16" i="17"/>
  <c r="AC15" i="18"/>
  <c r="P12" i="18"/>
  <c r="Q12" i="18"/>
  <c r="T16" i="17"/>
  <c r="J16" i="17"/>
  <c r="Q15" i="17"/>
  <c r="K16" i="17"/>
  <c r="S18" i="17"/>
  <c r="AK16" i="17"/>
  <c r="BN15" i="17"/>
  <c r="I18" i="17"/>
  <c r="U16" i="17"/>
  <c r="BN13" i="17"/>
  <c r="AD18" i="17"/>
  <c r="AV18" i="17" s="1"/>
  <c r="AW18" i="17" s="1"/>
  <c r="AD13" i="17"/>
  <c r="AF13" i="17" s="1"/>
  <c r="AK18" i="17"/>
  <c r="K13" i="17"/>
  <c r="AB13" i="17"/>
  <c r="AM15" i="17"/>
  <c r="U15" i="17"/>
  <c r="H13" i="17"/>
  <c r="AD15" i="18"/>
  <c r="AV15" i="18" s="1"/>
  <c r="AW15" i="18" s="1"/>
  <c r="AD15" i="17"/>
  <c r="AF15" i="17" s="1"/>
  <c r="P15" i="17"/>
  <c r="S15" i="18"/>
  <c r="K15" i="18"/>
  <c r="AK15" i="17"/>
  <c r="S15" i="17"/>
  <c r="S12" i="17"/>
  <c r="T15" i="17"/>
  <c r="BN8" i="17"/>
  <c r="BI9" i="17"/>
  <c r="U13" i="17"/>
  <c r="AM11" i="17"/>
  <c r="U12" i="17"/>
  <c r="AD12" i="18"/>
  <c r="AF12" i="18" s="1"/>
  <c r="P12" i="17"/>
  <c r="H9" i="17"/>
  <c r="Q12" i="17"/>
  <c r="K12" i="18"/>
  <c r="Q9" i="17"/>
  <c r="AC8" i="18"/>
  <c r="AB8" i="17"/>
  <c r="P7" i="18"/>
  <c r="AC7" i="18"/>
  <c r="I7" i="18"/>
  <c r="Q7" i="18"/>
  <c r="S7" i="18"/>
  <c r="H7" i="18"/>
  <c r="BI12" i="18"/>
  <c r="BN12" i="17"/>
  <c r="BI12" i="17"/>
  <c r="H15" i="18"/>
  <c r="I8" i="18"/>
  <c r="H23" i="18"/>
  <c r="U7" i="18"/>
  <c r="I23" i="18"/>
  <c r="BN23" i="18"/>
  <c r="T23" i="18"/>
  <c r="Q19" i="17"/>
  <c r="R8" i="17"/>
  <c r="T8" i="17"/>
  <c r="J12" i="18"/>
  <c r="P8" i="17"/>
  <c r="S8" i="17"/>
  <c r="AD8" i="18"/>
  <c r="AV8" i="18" s="1"/>
  <c r="AW8" i="18" s="1"/>
  <c r="K23" i="18"/>
  <c r="H15" i="17"/>
  <c r="P19" i="17"/>
  <c r="I12" i="18"/>
  <c r="BI30" i="18"/>
  <c r="I8" i="17"/>
  <c r="AD8" i="17"/>
  <c r="AK8" i="17"/>
  <c r="H8" i="17"/>
  <c r="K8" i="18"/>
  <c r="AM7" i="18"/>
  <c r="BN8" i="18"/>
  <c r="Q8" i="18"/>
  <c r="K7" i="18"/>
  <c r="BI18" i="17"/>
  <c r="R18" i="17"/>
  <c r="J15" i="17"/>
  <c r="K15" i="17"/>
  <c r="AC18" i="17"/>
  <c r="AB18" i="17"/>
  <c r="BN27" i="18"/>
  <c r="BI19" i="17"/>
  <c r="T18" i="17"/>
  <c r="T13" i="17"/>
  <c r="S13" i="17"/>
  <c r="T15" i="18"/>
  <c r="T7" i="18"/>
  <c r="U8" i="18"/>
  <c r="S8" i="18"/>
  <c r="U24" i="18"/>
  <c r="U28" i="18"/>
  <c r="I15" i="18"/>
  <c r="P18" i="17"/>
  <c r="BI15" i="18"/>
  <c r="J8" i="17"/>
  <c r="U9" i="17"/>
  <c r="AK15" i="18"/>
  <c r="Q18" i="17"/>
  <c r="AM8" i="18"/>
  <c r="BN28" i="18"/>
  <c r="AK7" i="18"/>
  <c r="T8" i="18"/>
  <c r="AD7" i="18"/>
  <c r="AF7" i="18" s="1"/>
  <c r="AK8" i="18"/>
  <c r="P8" i="18"/>
  <c r="H8" i="18"/>
  <c r="R12" i="18"/>
  <c r="S12" i="18"/>
  <c r="AM12" i="18"/>
  <c r="J7" i="18"/>
  <c r="T12" i="18"/>
  <c r="AK12" i="18"/>
  <c r="U12" i="18"/>
  <c r="R26" i="18"/>
  <c r="S26" i="18"/>
  <c r="K30" i="18"/>
  <c r="T30" i="18"/>
  <c r="AD30" i="18"/>
  <c r="J30" i="18"/>
  <c r="AK30" i="18"/>
  <c r="K26" i="18"/>
  <c r="T26" i="18"/>
  <c r="J26" i="18"/>
  <c r="AK26" i="18"/>
  <c r="AD26" i="18"/>
  <c r="J25" i="18"/>
  <c r="T28" i="18"/>
  <c r="K28" i="18"/>
  <c r="AD28" i="18"/>
  <c r="J28" i="18"/>
  <c r="AK28" i="18"/>
  <c r="I30" i="18"/>
  <c r="P26" i="18"/>
  <c r="I28" i="18"/>
  <c r="R27" i="18"/>
  <c r="AM26" i="18"/>
  <c r="Q28" i="18"/>
  <c r="R28" i="18"/>
  <c r="S28" i="18"/>
  <c r="R30" i="18"/>
  <c r="S30" i="18"/>
  <c r="AM30" i="18"/>
  <c r="Q26" i="18"/>
  <c r="I26" i="18"/>
  <c r="Q30" i="18"/>
  <c r="AM9" i="17"/>
  <c r="AB9" i="17"/>
  <c r="AK13" i="17"/>
  <c r="R26" i="17"/>
  <c r="S27" i="17"/>
  <c r="R27" i="17"/>
  <c r="P27" i="17"/>
  <c r="T27" i="17"/>
  <c r="J10" i="17"/>
  <c r="AB12" i="17"/>
  <c r="AC12" i="17"/>
  <c r="T12" i="17"/>
  <c r="AK12" i="17"/>
  <c r="AD12" i="17"/>
  <c r="K12" i="17"/>
  <c r="J12" i="17"/>
  <c r="AB26" i="17"/>
  <c r="AC26" i="17"/>
  <c r="Q27" i="17"/>
  <c r="R9" i="17"/>
  <c r="AK27" i="17"/>
  <c r="H10" i="17"/>
  <c r="P9" i="17"/>
  <c r="I12" i="17"/>
  <c r="S9" i="17"/>
  <c r="AB27" i="17"/>
  <c r="AC27" i="17"/>
  <c r="AD9" i="17"/>
  <c r="K9" i="17"/>
  <c r="T9" i="17"/>
  <c r="J9" i="17"/>
  <c r="AK9" i="17"/>
  <c r="J26" i="17"/>
  <c r="U8" i="17"/>
  <c r="K8" i="17"/>
  <c r="AD27" i="17"/>
  <c r="H12" i="17"/>
  <c r="I9" i="17"/>
  <c r="K36" i="18" l="1"/>
  <c r="T36" i="18"/>
  <c r="H36" i="18"/>
  <c r="S33" i="17"/>
  <c r="S34" i="17"/>
  <c r="AV33" i="17"/>
  <c r="AW33" i="17" s="1"/>
  <c r="AD34" i="17"/>
  <c r="T34" i="17"/>
  <c r="R34" i="17"/>
  <c r="BI34" i="17"/>
  <c r="Q34" i="17"/>
  <c r="P34" i="17"/>
  <c r="AP34" i="17"/>
  <c r="AK35" i="17"/>
  <c r="BI25" i="18"/>
  <c r="AC25" i="18"/>
  <c r="AP21" i="18"/>
  <c r="P32" i="18"/>
  <c r="BN19" i="17"/>
  <c r="T19" i="17"/>
  <c r="BN31" i="18"/>
  <c r="AP33" i="17"/>
  <c r="T33" i="17"/>
  <c r="AB32" i="18"/>
  <c r="BN14" i="17"/>
  <c r="AP10" i="17"/>
  <c r="AP14" i="17"/>
  <c r="H7" i="17"/>
  <c r="U14" i="17"/>
  <c r="T14" i="17"/>
  <c r="S19" i="17"/>
  <c r="Q10" i="17"/>
  <c r="H19" i="17"/>
  <c r="I11" i="17"/>
  <c r="U9" i="18"/>
  <c r="AC19" i="17"/>
  <c r="P10" i="17"/>
  <c r="U33" i="17"/>
  <c r="AP11" i="17"/>
  <c r="H14" i="17"/>
  <c r="AK14" i="17"/>
  <c r="AB25" i="17"/>
  <c r="AD11" i="17"/>
  <c r="AF11" i="17" s="1"/>
  <c r="AD31" i="18"/>
  <c r="AV31" i="18" s="1"/>
  <c r="AW31" i="18" s="1"/>
  <c r="AC11" i="17"/>
  <c r="AC17" i="18"/>
  <c r="R14" i="17"/>
  <c r="AD14" i="17"/>
  <c r="AV14" i="17" s="1"/>
  <c r="AW14" i="17" s="1"/>
  <c r="S17" i="18"/>
  <c r="P17" i="18"/>
  <c r="Q17" i="18"/>
  <c r="H27" i="18"/>
  <c r="BN26" i="17"/>
  <c r="K11" i="17"/>
  <c r="AB10" i="17"/>
  <c r="U10" i="17"/>
  <c r="U24" i="17"/>
  <c r="H11" i="17"/>
  <c r="I14" i="17"/>
  <c r="I19" i="17"/>
  <c r="Q11" i="17"/>
  <c r="K26" i="17"/>
  <c r="AP26" i="17"/>
  <c r="S26" i="17"/>
  <c r="BN31" i="17"/>
  <c r="AP24" i="18"/>
  <c r="U11" i="17"/>
  <c r="U19" i="17"/>
  <c r="T26" i="17"/>
  <c r="AD26" i="17"/>
  <c r="AF26" i="17" s="1"/>
  <c r="AK10" i="17"/>
  <c r="AP31" i="17"/>
  <c r="H20" i="18"/>
  <c r="S21" i="17"/>
  <c r="K24" i="17"/>
  <c r="U25" i="18"/>
  <c r="P21" i="17"/>
  <c r="U14" i="18"/>
  <c r="P25" i="18"/>
  <c r="T11" i="17"/>
  <c r="H26" i="17"/>
  <c r="Q26" i="17"/>
  <c r="AD10" i="17"/>
  <c r="AV10" i="17" s="1"/>
  <c r="AW10" i="17" s="1"/>
  <c r="Q7" i="17"/>
  <c r="AK11" i="17"/>
  <c r="S10" i="17"/>
  <c r="K20" i="18"/>
  <c r="Q21" i="17"/>
  <c r="P14" i="18"/>
  <c r="P29" i="17"/>
  <c r="BN21" i="18"/>
  <c r="AP25" i="18"/>
  <c r="BN17" i="18"/>
  <c r="AP17" i="18"/>
  <c r="AP31" i="18"/>
  <c r="U21" i="18"/>
  <c r="T31" i="18"/>
  <c r="I27" i="18"/>
  <c r="U26" i="17"/>
  <c r="S11" i="17"/>
  <c r="I23" i="17"/>
  <c r="H29" i="17"/>
  <c r="P25" i="17"/>
  <c r="T10" i="17"/>
  <c r="K29" i="17"/>
  <c r="AD19" i="17"/>
  <c r="AF19" i="17" s="1"/>
  <c r="K31" i="17"/>
  <c r="AC14" i="17"/>
  <c r="H31" i="17"/>
  <c r="U25" i="17"/>
  <c r="AK26" i="17"/>
  <c r="T29" i="17"/>
  <c r="I29" i="17"/>
  <c r="AK19" i="17"/>
  <c r="K19" i="17"/>
  <c r="BN10" i="17"/>
  <c r="U17" i="18"/>
  <c r="R25" i="18"/>
  <c r="Q30" i="17"/>
  <c r="AK30" i="17"/>
  <c r="AK17" i="18"/>
  <c r="BN25" i="17"/>
  <c r="U16" i="18"/>
  <c r="I24" i="18"/>
  <c r="H29" i="18"/>
  <c r="K29" i="18"/>
  <c r="U29" i="18"/>
  <c r="AD17" i="18"/>
  <c r="AF17" i="18" s="1"/>
  <c r="K17" i="18"/>
  <c r="T17" i="18"/>
  <c r="AD30" i="17"/>
  <c r="AF30" i="17" s="1"/>
  <c r="BI21" i="17"/>
  <c r="AP29" i="17"/>
  <c r="I7" i="17"/>
  <c r="AC30" i="17"/>
  <c r="P30" i="17"/>
  <c r="T25" i="18"/>
  <c r="T27" i="18"/>
  <c r="AD25" i="18"/>
  <c r="AV25" i="18" s="1"/>
  <c r="AW25" i="18" s="1"/>
  <c r="J24" i="17"/>
  <c r="S25" i="18"/>
  <c r="AP25" i="17"/>
  <c r="U13" i="18"/>
  <c r="AP21" i="17"/>
  <c r="Q20" i="18"/>
  <c r="H24" i="17"/>
  <c r="Q25" i="18"/>
  <c r="AP29" i="18"/>
  <c r="H24" i="18"/>
  <c r="AB21" i="17"/>
  <c r="AD24" i="18"/>
  <c r="AF24" i="18" s="1"/>
  <c r="S24" i="18"/>
  <c r="Q24" i="18"/>
  <c r="J21" i="18"/>
  <c r="I21" i="17"/>
  <c r="T13" i="18"/>
  <c r="BI11" i="18"/>
  <c r="AC7" i="17"/>
  <c r="AK7" i="17"/>
  <c r="U7" i="17"/>
  <c r="P7" i="17"/>
  <c r="AD7" i="17"/>
  <c r="AF7" i="17" s="1"/>
  <c r="T7" i="17"/>
  <c r="S7" i="17"/>
  <c r="M39" i="17"/>
  <c r="Y39" i="17"/>
  <c r="BN9" i="18"/>
  <c r="AI39" i="17"/>
  <c r="Q25" i="17"/>
  <c r="R29" i="17"/>
  <c r="AD27" i="18"/>
  <c r="AF27" i="18" s="1"/>
  <c r="AC27" i="18"/>
  <c r="K24" i="18"/>
  <c r="S9" i="18"/>
  <c r="R24" i="18"/>
  <c r="BN30" i="17"/>
  <c r="T24" i="17"/>
  <c r="AC19" i="18"/>
  <c r="AC24" i="18"/>
  <c r="T31" i="17"/>
  <c r="AK31" i="17"/>
  <c r="AB31" i="18"/>
  <c r="H30" i="17"/>
  <c r="AF35" i="17"/>
  <c r="S14" i="18"/>
  <c r="K30" i="17"/>
  <c r="I36" i="18"/>
  <c r="AK36" i="18"/>
  <c r="J36" i="18"/>
  <c r="AP24" i="17"/>
  <c r="H19" i="18"/>
  <c r="Q19" i="18"/>
  <c r="Q31" i="18"/>
  <c r="AD36" i="18"/>
  <c r="S32" i="18"/>
  <c r="I32" i="18"/>
  <c r="H31" i="18"/>
  <c r="S31" i="18"/>
  <c r="P24" i="17"/>
  <c r="K21" i="17"/>
  <c r="U31" i="17"/>
  <c r="I30" i="17"/>
  <c r="BN36" i="18"/>
  <c r="BI36" i="18"/>
  <c r="S29" i="18"/>
  <c r="AP36" i="18"/>
  <c r="U27" i="18"/>
  <c r="K25" i="18"/>
  <c r="T29" i="18"/>
  <c r="R29" i="18"/>
  <c r="AC29" i="18"/>
  <c r="I20" i="18"/>
  <c r="AC20" i="18"/>
  <c r="T32" i="18"/>
  <c r="AB36" i="18"/>
  <c r="AP9" i="18"/>
  <c r="S30" i="17"/>
  <c r="AD25" i="17"/>
  <c r="AV25" i="17" s="1"/>
  <c r="AW25" i="17" s="1"/>
  <c r="AK29" i="17"/>
  <c r="AK25" i="17"/>
  <c r="AB17" i="17"/>
  <c r="BI30" i="17"/>
  <c r="S24" i="17"/>
  <c r="AD24" i="17"/>
  <c r="AF24" i="17" s="1"/>
  <c r="I24" i="17"/>
  <c r="T30" i="17"/>
  <c r="AD31" i="17"/>
  <c r="AV31" i="17" s="1"/>
  <c r="AW31" i="17" s="1"/>
  <c r="J31" i="17"/>
  <c r="BI29" i="17"/>
  <c r="Q20" i="17"/>
  <c r="H20" i="17"/>
  <c r="Q29" i="17"/>
  <c r="AD29" i="17"/>
  <c r="AF29" i="17" s="1"/>
  <c r="T21" i="17"/>
  <c r="AB29" i="17"/>
  <c r="P29" i="18"/>
  <c r="AK27" i="18"/>
  <c r="AK25" i="18"/>
  <c r="AD29" i="18"/>
  <c r="AV29" i="18" s="1"/>
  <c r="AW29" i="18" s="1"/>
  <c r="AK29" i="18"/>
  <c r="AC21" i="18"/>
  <c r="AD20" i="18"/>
  <c r="AV20" i="18" s="1"/>
  <c r="AW20" i="18" s="1"/>
  <c r="R20" i="18"/>
  <c r="BN17" i="17"/>
  <c r="BN29" i="18"/>
  <c r="BI19" i="18"/>
  <c r="T17" i="17"/>
  <c r="K17" i="17"/>
  <c r="AB20" i="17"/>
  <c r="AD21" i="17"/>
  <c r="AV21" i="17" s="1"/>
  <c r="AW21" i="17" s="1"/>
  <c r="AC24" i="17"/>
  <c r="BI24" i="17"/>
  <c r="AK32" i="18"/>
  <c r="AD32" i="18"/>
  <c r="H32" i="18"/>
  <c r="K14" i="18"/>
  <c r="AP19" i="18"/>
  <c r="AP20" i="18"/>
  <c r="AH39" i="17"/>
  <c r="U20" i="17"/>
  <c r="S20" i="17"/>
  <c r="I31" i="18"/>
  <c r="P23" i="17"/>
  <c r="AG39" i="17"/>
  <c r="U21" i="17"/>
  <c r="H23" i="17"/>
  <c r="I25" i="17"/>
  <c r="AK21" i="17"/>
  <c r="S25" i="17"/>
  <c r="H25" i="17"/>
  <c r="J25" i="17"/>
  <c r="T25" i="17"/>
  <c r="T24" i="18"/>
  <c r="BI27" i="18"/>
  <c r="Q24" i="17"/>
  <c r="AK24" i="17"/>
  <c r="U29" i="17"/>
  <c r="BN11" i="18"/>
  <c r="AD9" i="18"/>
  <c r="AF9" i="18" s="1"/>
  <c r="AC9" i="18"/>
  <c r="AD20" i="17"/>
  <c r="AF20" i="17" s="1"/>
  <c r="AK20" i="17"/>
  <c r="BN20" i="18"/>
  <c r="AK31" i="18"/>
  <c r="J31" i="18"/>
  <c r="K31" i="18"/>
  <c r="T14" i="18"/>
  <c r="BI14" i="18"/>
  <c r="AB14" i="18"/>
  <c r="AP14" i="18"/>
  <c r="K11" i="18"/>
  <c r="BF41" i="17"/>
  <c r="BJ41" i="17"/>
  <c r="BE41" i="17"/>
  <c r="Q16" i="18"/>
  <c r="H14" i="18"/>
  <c r="P20" i="17"/>
  <c r="I20" i="17"/>
  <c r="AL39" i="17"/>
  <c r="BG41" i="17"/>
  <c r="T20" i="18"/>
  <c r="S19" i="18"/>
  <c r="P19" i="18"/>
  <c r="U17" i="17"/>
  <c r="AD17" i="17"/>
  <c r="AF17" i="17" s="1"/>
  <c r="P11" i="18"/>
  <c r="BK41" i="17"/>
  <c r="AC29" i="17"/>
  <c r="S17" i="17"/>
  <c r="P17" i="17"/>
  <c r="AK17" i="17"/>
  <c r="G39" i="17"/>
  <c r="R17" i="17"/>
  <c r="H17" i="17"/>
  <c r="BI20" i="17"/>
  <c r="AP17" i="17"/>
  <c r="AP20" i="17"/>
  <c r="K23" i="17"/>
  <c r="AE39" i="17"/>
  <c r="H21" i="17"/>
  <c r="BL41" i="17"/>
  <c r="Q17" i="17"/>
  <c r="O39" i="17"/>
  <c r="K9" i="18"/>
  <c r="K21" i="18"/>
  <c r="AK24" i="18"/>
  <c r="F39" i="18"/>
  <c r="AK20" i="18"/>
  <c r="E39" i="17"/>
  <c r="T23" i="17"/>
  <c r="AK23" i="17"/>
  <c r="AK14" i="18"/>
  <c r="AD14" i="18"/>
  <c r="AV14" i="18" s="1"/>
  <c r="AW14" i="18" s="1"/>
  <c r="Q14" i="18"/>
  <c r="U19" i="18"/>
  <c r="I19" i="18"/>
  <c r="Q9" i="18"/>
  <c r="AD21" i="18"/>
  <c r="AV21" i="18" s="1"/>
  <c r="AW21" i="18" s="1"/>
  <c r="T9" i="18"/>
  <c r="AK21" i="18"/>
  <c r="P9" i="18"/>
  <c r="AK9" i="18"/>
  <c r="T21" i="18"/>
  <c r="H21" i="18"/>
  <c r="T19" i="18"/>
  <c r="K19" i="18"/>
  <c r="AD19" i="18"/>
  <c r="AV19" i="18" s="1"/>
  <c r="AW19" i="18" s="1"/>
  <c r="AK19" i="18"/>
  <c r="I14" i="18"/>
  <c r="P20" i="18"/>
  <c r="N39" i="17"/>
  <c r="S23" i="17"/>
  <c r="U23" i="17"/>
  <c r="R16" i="18"/>
  <c r="S20" i="18"/>
  <c r="BI23" i="17"/>
  <c r="Q23" i="17"/>
  <c r="U20" i="18"/>
  <c r="AP13" i="18"/>
  <c r="W39" i="17"/>
  <c r="X39" i="17"/>
  <c r="F39" i="17"/>
  <c r="AI39" i="18"/>
  <c r="BN23" i="17"/>
  <c r="AD23" i="17"/>
  <c r="AF23" i="17" s="1"/>
  <c r="AM20" i="17"/>
  <c r="AC11" i="18"/>
  <c r="BN13" i="18"/>
  <c r="T20" i="17"/>
  <c r="AC23" i="17"/>
  <c r="N39" i="18"/>
  <c r="BG41" i="18"/>
  <c r="AE39" i="18"/>
  <c r="BI41" i="17"/>
  <c r="P16" i="18"/>
  <c r="Y39" i="18"/>
  <c r="AC13" i="18"/>
  <c r="K20" i="17"/>
  <c r="BA39" i="18"/>
  <c r="E39" i="18"/>
  <c r="BK41" i="18"/>
  <c r="K16" i="18"/>
  <c r="I13" i="18"/>
  <c r="AH39" i="18"/>
  <c r="S16" i="18"/>
  <c r="BA39" i="17"/>
  <c r="W39" i="18"/>
  <c r="M39" i="18"/>
  <c r="K13" i="18"/>
  <c r="BL41" i="18"/>
  <c r="T16" i="18"/>
  <c r="H11" i="18"/>
  <c r="AD13" i="18"/>
  <c r="AV13" i="18" s="1"/>
  <c r="AW13" i="18" s="1"/>
  <c r="AK13" i="18"/>
  <c r="H13" i="18"/>
  <c r="AL39" i="18"/>
  <c r="X39" i="18"/>
  <c r="G39" i="18"/>
  <c r="H16" i="18"/>
  <c r="AK11" i="18"/>
  <c r="I11" i="18"/>
  <c r="BN16" i="18"/>
  <c r="S11" i="18"/>
  <c r="AP16" i="18"/>
  <c r="BJ41" i="18"/>
  <c r="AG39" i="18"/>
  <c r="T11" i="18"/>
  <c r="BF41" i="18"/>
  <c r="BE41" i="18"/>
  <c r="O39" i="18"/>
  <c r="I16" i="18"/>
  <c r="AD16" i="18"/>
  <c r="AV16" i="18" s="1"/>
  <c r="AW16" i="18" s="1"/>
  <c r="BM41" i="18"/>
  <c r="AK16" i="18"/>
  <c r="J11" i="18"/>
  <c r="AD11" i="18"/>
  <c r="AF11" i="18" s="1"/>
  <c r="Q11" i="18"/>
  <c r="AC16" i="18"/>
  <c r="AV37" i="18"/>
  <c r="AW37" i="18" s="1"/>
  <c r="AF37" i="17"/>
  <c r="AV37" i="17"/>
  <c r="AW37" i="17" s="1"/>
  <c r="AV34" i="18"/>
  <c r="AW34" i="18" s="1"/>
  <c r="AF35" i="18"/>
  <c r="AV36" i="17"/>
  <c r="AW36" i="17" s="1"/>
  <c r="AF36" i="17"/>
  <c r="AF33" i="17"/>
  <c r="AF28" i="17"/>
  <c r="AV22" i="18"/>
  <c r="AW22" i="18" s="1"/>
  <c r="AV10" i="18"/>
  <c r="AW10" i="18" s="1"/>
  <c r="AV18" i="18"/>
  <c r="AW18" i="18" s="1"/>
  <c r="AF8" i="18"/>
  <c r="AV22" i="17"/>
  <c r="AW22" i="17" s="1"/>
  <c r="AV34" i="17"/>
  <c r="AW34" i="17" s="1"/>
  <c r="AF34" i="17"/>
  <c r="AV33" i="18"/>
  <c r="AW33" i="18" s="1"/>
  <c r="AF33" i="18"/>
  <c r="AF32" i="17"/>
  <c r="AV32" i="17"/>
  <c r="AW32" i="17" s="1"/>
  <c r="AV23" i="18"/>
  <c r="AW23" i="18" s="1"/>
  <c r="AF15" i="18"/>
  <c r="AF16" i="17"/>
  <c r="AV15" i="17"/>
  <c r="AW15" i="17" s="1"/>
  <c r="AF18" i="17"/>
  <c r="AV13" i="17"/>
  <c r="AW13" i="17" s="1"/>
  <c r="AV12" i="18"/>
  <c r="AW12" i="18" s="1"/>
  <c r="AV8" i="17"/>
  <c r="AW8" i="17" s="1"/>
  <c r="AF8" i="17"/>
  <c r="AF26" i="18"/>
  <c r="AV26" i="18"/>
  <c r="AW26" i="18" s="1"/>
  <c r="AV28" i="18"/>
  <c r="AW28" i="18" s="1"/>
  <c r="AF28" i="18"/>
  <c r="AF30" i="18"/>
  <c r="AV30" i="18"/>
  <c r="AW30" i="18" s="1"/>
  <c r="BI39" i="17"/>
  <c r="AV26" i="17"/>
  <c r="AW26" i="17" s="1"/>
  <c r="AF27" i="17"/>
  <c r="AV27" i="17"/>
  <c r="AW27" i="17" s="1"/>
  <c r="AF12" i="17"/>
  <c r="AV12" i="17"/>
  <c r="AW12" i="17" s="1"/>
  <c r="AF10" i="17"/>
  <c r="AV9" i="17"/>
  <c r="AF9" i="17"/>
  <c r="BD45" i="19"/>
  <c r="BN6" i="19"/>
  <c r="B11" i="12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P21" i="19"/>
  <c r="BP22" i="19"/>
  <c r="BP23" i="19"/>
  <c r="BP24" i="19"/>
  <c r="BP25" i="19"/>
  <c r="BP26" i="19"/>
  <c r="BP27" i="19"/>
  <c r="BP28" i="19"/>
  <c r="BP29" i="19"/>
  <c r="BP30" i="19"/>
  <c r="BP31" i="19"/>
  <c r="BP32" i="19"/>
  <c r="BP33" i="19"/>
  <c r="BP34" i="19"/>
  <c r="BP35" i="19"/>
  <c r="BP36" i="19"/>
  <c r="BP37" i="19"/>
  <c r="BP7" i="19"/>
  <c r="B12" i="12"/>
  <c r="AV36" i="18" l="1"/>
  <c r="AW36" i="18" s="1"/>
  <c r="AF36" i="18"/>
  <c r="AV19" i="17"/>
  <c r="AW19" i="17" s="1"/>
  <c r="AF31" i="17"/>
  <c r="AV11" i="17"/>
  <c r="AW11" i="17" s="1"/>
  <c r="AV17" i="18"/>
  <c r="AW17" i="18" s="1"/>
  <c r="AF31" i="18"/>
  <c r="AF14" i="17"/>
  <c r="AV24" i="18"/>
  <c r="AW24" i="18" s="1"/>
  <c r="AF25" i="17"/>
  <c r="AV29" i="17"/>
  <c r="AW29" i="17" s="1"/>
  <c r="AV30" i="17"/>
  <c r="AW30" i="17" s="1"/>
  <c r="AV27" i="18"/>
  <c r="AW27" i="18" s="1"/>
  <c r="AF25" i="18"/>
  <c r="AF29" i="18"/>
  <c r="AF21" i="18"/>
  <c r="AV24" i="17"/>
  <c r="AW24" i="17" s="1"/>
  <c r="U40" i="17"/>
  <c r="U49" i="17" s="1"/>
  <c r="AV20" i="17"/>
  <c r="AW20" i="17" s="1"/>
  <c r="AV32" i="18"/>
  <c r="AW32" i="18" s="1"/>
  <c r="AF32" i="18"/>
  <c r="AF20" i="18"/>
  <c r="AF21" i="17"/>
  <c r="AF19" i="18"/>
  <c r="AF14" i="18"/>
  <c r="T40" i="18"/>
  <c r="T58" i="18" s="1"/>
  <c r="U40" i="18"/>
  <c r="U48" i="18" s="1"/>
  <c r="AV17" i="17"/>
  <c r="AW17" i="17" s="1"/>
  <c r="AV9" i="18"/>
  <c r="AW9" i="18" s="1"/>
  <c r="AK39" i="17"/>
  <c r="BB39" i="17" s="1"/>
  <c r="AD39" i="17"/>
  <c r="AV23" i="17"/>
  <c r="AW23" i="17" s="1"/>
  <c r="T40" i="17"/>
  <c r="T57" i="17" s="1"/>
  <c r="AF13" i="18"/>
  <c r="AK39" i="18"/>
  <c r="BB39" i="18" s="1"/>
  <c r="AD39" i="18"/>
  <c r="AV11" i="18"/>
  <c r="AW11" i="18" s="1"/>
  <c r="AF16" i="18"/>
  <c r="AW9" i="17"/>
  <c r="AV45" i="19"/>
  <c r="BM56" i="19"/>
  <c r="BL45" i="1"/>
  <c r="BL39" i="1"/>
  <c r="BJ56" i="19"/>
  <c r="BH56" i="19"/>
  <c r="BG56" i="19"/>
  <c r="BE56" i="19"/>
  <c r="BG54" i="1"/>
  <c r="BA54" i="19"/>
  <c r="BG45" i="1"/>
  <c r="BA45" i="19"/>
  <c r="T49" i="18" l="1"/>
  <c r="AF39" i="17"/>
  <c r="T48" i="17"/>
  <c r="U57" i="18"/>
  <c r="U49" i="18"/>
  <c r="AF39" i="18"/>
  <c r="U57" i="17"/>
  <c r="U58" i="17"/>
  <c r="U48" i="17"/>
  <c r="U58" i="18"/>
  <c r="T48" i="18"/>
  <c r="T57" i="18"/>
  <c r="T58" i="17"/>
  <c r="T49" i="17"/>
  <c r="BE55" i="1"/>
  <c r="BJ55" i="1" s="1"/>
  <c r="BJ55" i="19" s="1"/>
  <c r="AV55" i="19"/>
  <c r="BE45" i="19"/>
  <c r="BL56" i="19"/>
  <c r="BF56" i="19"/>
  <c r="BK56" i="19"/>
  <c r="BM6" i="1"/>
  <c r="BM6" i="19" s="1"/>
  <c r="BL6" i="1"/>
  <c r="AZ6" i="1"/>
  <c r="AZ6" i="19" s="1"/>
  <c r="AV54" i="19"/>
  <c r="BE54" i="19" s="1"/>
  <c r="AL55" i="1"/>
  <c r="BH55" i="1" s="1"/>
  <c r="AO54" i="1"/>
  <c r="AO46" i="1"/>
  <c r="AL45" i="1"/>
  <c r="AL45" i="19" s="1"/>
  <c r="AL46" i="1"/>
  <c r="AO57" i="1"/>
  <c r="AL40" i="1"/>
  <c r="AO46" i="19" l="1"/>
  <c r="AO49" i="1"/>
  <c r="AO48" i="1"/>
  <c r="AN7" i="1"/>
  <c r="AY7" i="1"/>
  <c r="AZ7" i="1" s="1"/>
  <c r="BC7" i="1"/>
  <c r="BL6" i="19"/>
  <c r="BJ6" i="1"/>
  <c r="BJ40" i="1" s="1"/>
  <c r="BH40" i="1"/>
  <c r="BH40" i="19" s="1"/>
  <c r="AL57" i="1"/>
  <c r="AO55" i="19"/>
  <c r="BI55" i="1"/>
  <c r="BN55" i="1" s="1"/>
  <c r="BN54" i="1" s="1"/>
  <c r="AO45" i="19"/>
  <c r="AO58" i="1"/>
  <c r="BI40" i="1"/>
  <c r="BI40" i="19" s="1"/>
  <c r="BI54" i="19"/>
  <c r="AO54" i="19"/>
  <c r="C7" i="1"/>
  <c r="BE46" i="1"/>
  <c r="BE46" i="19" s="1"/>
  <c r="AV46" i="19"/>
  <c r="BE47" i="19"/>
  <c r="BM55" i="1"/>
  <c r="BH55" i="19"/>
  <c r="BE55" i="19"/>
  <c r="A8" i="19"/>
  <c r="BI46" i="1"/>
  <c r="BK40" i="1"/>
  <c r="BK40" i="19" s="1"/>
  <c r="BE40" i="19"/>
  <c r="AL49" i="1"/>
  <c r="AL48" i="1"/>
  <c r="C45" i="1"/>
  <c r="E46" i="1"/>
  <c r="AC55" i="1"/>
  <c r="Y55" i="1"/>
  <c r="AC46" i="1"/>
  <c r="AJ54" i="19"/>
  <c r="AM54" i="19"/>
  <c r="P54" i="19"/>
  <c r="H54" i="19"/>
  <c r="I54" i="19"/>
  <c r="J54" i="19"/>
  <c r="L54" i="19"/>
  <c r="AM45" i="19"/>
  <c r="AJ45" i="19"/>
  <c r="Z45" i="19"/>
  <c r="AA45" i="19"/>
  <c r="AB45" i="19"/>
  <c r="AC45" i="19"/>
  <c r="V45" i="19"/>
  <c r="U45" i="19"/>
  <c r="T45" i="19"/>
  <c r="S45" i="19"/>
  <c r="R45" i="19"/>
  <c r="Q45" i="19"/>
  <c r="P45" i="19"/>
  <c r="H45" i="19"/>
  <c r="I45" i="19"/>
  <c r="J45" i="19"/>
  <c r="L45" i="19"/>
  <c r="D45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7" i="19"/>
  <c r="A53" i="19"/>
  <c r="A44" i="19"/>
  <c r="A3" i="19"/>
  <c r="Y55" i="19"/>
  <c r="X55" i="19"/>
  <c r="W55" i="19"/>
  <c r="V55" i="19"/>
  <c r="Y54" i="19"/>
  <c r="X54" i="19"/>
  <c r="W54" i="19"/>
  <c r="AK55" i="1"/>
  <c r="AI55" i="1"/>
  <c r="BG55" i="1" s="1"/>
  <c r="AH55" i="1"/>
  <c r="AG55" i="1"/>
  <c r="AF55" i="1"/>
  <c r="AE55" i="1"/>
  <c r="AD55" i="1"/>
  <c r="BF55" i="1" s="1"/>
  <c r="X55" i="1"/>
  <c r="W55" i="1"/>
  <c r="V55" i="1"/>
  <c r="O55" i="1"/>
  <c r="N55" i="1"/>
  <c r="M55" i="1"/>
  <c r="L55" i="1"/>
  <c r="G55" i="1"/>
  <c r="F55" i="1"/>
  <c r="E55" i="1"/>
  <c r="D55" i="1"/>
  <c r="C55" i="1"/>
  <c r="AW55" i="1" s="1"/>
  <c r="C54" i="1"/>
  <c r="AK54" i="1"/>
  <c r="AI54" i="1"/>
  <c r="AH54" i="1"/>
  <c r="AG54" i="1"/>
  <c r="AF54" i="1"/>
  <c r="AE54" i="1"/>
  <c r="AD54" i="1"/>
  <c r="Y54" i="1"/>
  <c r="X54" i="1"/>
  <c r="W54" i="1"/>
  <c r="O54" i="1"/>
  <c r="N54" i="1"/>
  <c r="M54" i="1"/>
  <c r="G54" i="1"/>
  <c r="F54" i="1"/>
  <c r="E54" i="1"/>
  <c r="AK46" i="1"/>
  <c r="AI46" i="1"/>
  <c r="BG46" i="1" s="1"/>
  <c r="BL46" i="1" s="1"/>
  <c r="AH46" i="1"/>
  <c r="AG46" i="1"/>
  <c r="AF46" i="1"/>
  <c r="AE46" i="1"/>
  <c r="AD46" i="1"/>
  <c r="Y46" i="1"/>
  <c r="X46" i="1"/>
  <c r="W46" i="1"/>
  <c r="V46" i="1"/>
  <c r="O46" i="1"/>
  <c r="N46" i="1"/>
  <c r="M46" i="1"/>
  <c r="L46" i="1"/>
  <c r="G46" i="1"/>
  <c r="F46" i="1"/>
  <c r="D46" i="1"/>
  <c r="AM46" i="1"/>
  <c r="AK45" i="1"/>
  <c r="AI45" i="1"/>
  <c r="AH45" i="1"/>
  <c r="AG45" i="1"/>
  <c r="AF45" i="1"/>
  <c r="AE45" i="1"/>
  <c r="AD45" i="1"/>
  <c r="Y45" i="1"/>
  <c r="X45" i="1"/>
  <c r="W45" i="1"/>
  <c r="O45" i="1"/>
  <c r="N45" i="1"/>
  <c r="M45" i="1"/>
  <c r="G45" i="1"/>
  <c r="F45" i="1"/>
  <c r="E45" i="1"/>
  <c r="E40" i="1"/>
  <c r="AK40" i="1"/>
  <c r="AI40" i="1"/>
  <c r="BG40" i="1" s="1"/>
  <c r="BG40" i="19" s="1"/>
  <c r="AH40" i="1"/>
  <c r="AG40" i="1"/>
  <c r="AF40" i="1"/>
  <c r="AE40" i="1"/>
  <c r="Y40" i="1"/>
  <c r="X40" i="1"/>
  <c r="W40" i="1"/>
  <c r="V40" i="1"/>
  <c r="O40" i="1"/>
  <c r="N40" i="1"/>
  <c r="M40" i="1"/>
  <c r="L40" i="1"/>
  <c r="G40" i="1"/>
  <c r="F40" i="1"/>
  <c r="D40" i="1"/>
  <c r="C40" i="1"/>
  <c r="C48" i="1" s="1"/>
  <c r="B10" i="12"/>
  <c r="AU7" i="1" l="1"/>
  <c r="AU7" i="19" s="1"/>
  <c r="BF40" i="1"/>
  <c r="BF40" i="19" s="1"/>
  <c r="BG37" i="19"/>
  <c r="BE37" i="19"/>
  <c r="AZ32" i="19"/>
  <c r="AZ36" i="19"/>
  <c r="AZ31" i="19"/>
  <c r="AZ35" i="19"/>
  <c r="AZ33" i="19"/>
  <c r="AZ37" i="19"/>
  <c r="AZ34" i="19"/>
  <c r="AF57" i="1"/>
  <c r="AF58" i="1"/>
  <c r="AF48" i="1"/>
  <c r="AF49" i="1"/>
  <c r="BB45" i="1"/>
  <c r="BD7" i="1"/>
  <c r="BI47" i="19"/>
  <c r="BI45" i="19"/>
  <c r="BN45" i="19"/>
  <c r="BB54" i="1"/>
  <c r="AW40" i="1"/>
  <c r="AN7" i="19"/>
  <c r="BC7" i="19"/>
  <c r="U55" i="1"/>
  <c r="U55" i="19" s="1"/>
  <c r="BJ40" i="19"/>
  <c r="BJ6" i="19"/>
  <c r="S55" i="1"/>
  <c r="T55" i="1"/>
  <c r="BK55" i="1"/>
  <c r="BF55" i="19"/>
  <c r="BM54" i="1"/>
  <c r="BM55" i="19"/>
  <c r="R40" i="1"/>
  <c r="S40" i="1"/>
  <c r="S46" i="1"/>
  <c r="T46" i="1"/>
  <c r="BI55" i="19"/>
  <c r="BI56" i="19"/>
  <c r="BI46" i="19"/>
  <c r="BN46" i="1"/>
  <c r="BL55" i="1"/>
  <c r="BL55" i="19" s="1"/>
  <c r="BL54" i="19" s="1"/>
  <c r="BG55" i="19"/>
  <c r="AY7" i="19"/>
  <c r="AZ7" i="19" s="1"/>
  <c r="U46" i="1"/>
  <c r="U46" i="19" s="1"/>
  <c r="AE46" i="19"/>
  <c r="AW46" i="1"/>
  <c r="AM40" i="1"/>
  <c r="E45" i="19"/>
  <c r="D46" i="19"/>
  <c r="AG45" i="19"/>
  <c r="BH45" i="19"/>
  <c r="G54" i="19"/>
  <c r="AE54" i="19"/>
  <c r="AI54" i="19"/>
  <c r="BG54" i="19" s="1"/>
  <c r="W45" i="19"/>
  <c r="AE45" i="19"/>
  <c r="AI45" i="19"/>
  <c r="BG45" i="19" s="1"/>
  <c r="AK46" i="19"/>
  <c r="G45" i="19"/>
  <c r="M46" i="19"/>
  <c r="X46" i="19"/>
  <c r="AG46" i="19"/>
  <c r="E54" i="19"/>
  <c r="N54" i="19"/>
  <c r="AG54" i="19"/>
  <c r="AL54" i="19"/>
  <c r="BH54" i="19" s="1"/>
  <c r="N45" i="19"/>
  <c r="Y45" i="19"/>
  <c r="G46" i="19"/>
  <c r="O46" i="19"/>
  <c r="V46" i="19"/>
  <c r="AH46" i="19"/>
  <c r="C54" i="19"/>
  <c r="C45" i="19"/>
  <c r="C40" i="19"/>
  <c r="F45" i="19"/>
  <c r="M45" i="19"/>
  <c r="O45" i="19"/>
  <c r="X45" i="19"/>
  <c r="AD45" i="19"/>
  <c r="BF45" i="19" s="1"/>
  <c r="AF45" i="19"/>
  <c r="AH45" i="19"/>
  <c r="AK45" i="19"/>
  <c r="F46" i="19"/>
  <c r="L46" i="19"/>
  <c r="N46" i="19"/>
  <c r="W46" i="19"/>
  <c r="Y46" i="19"/>
  <c r="F54" i="19"/>
  <c r="M54" i="19"/>
  <c r="O54" i="19"/>
  <c r="AD54" i="19"/>
  <c r="BF54" i="19" s="1"/>
  <c r="AF54" i="19"/>
  <c r="AH54" i="19"/>
  <c r="AK54" i="19"/>
  <c r="D55" i="19"/>
  <c r="L55" i="19"/>
  <c r="AI46" i="19"/>
  <c r="AL46" i="19"/>
  <c r="BH46" i="1"/>
  <c r="BH46" i="19" s="1"/>
  <c r="E46" i="19"/>
  <c r="AD46" i="19"/>
  <c r="BF46" i="1"/>
  <c r="BF46" i="19" s="1"/>
  <c r="B9" i="19"/>
  <c r="B13" i="19"/>
  <c r="B17" i="19"/>
  <c r="B21" i="19"/>
  <c r="BF21" i="19" s="1"/>
  <c r="B7" i="19"/>
  <c r="B26" i="19"/>
  <c r="BE26" i="19" s="1"/>
  <c r="B30" i="19"/>
  <c r="BE30" i="19" s="1"/>
  <c r="B34" i="19"/>
  <c r="BG34" i="19" s="1"/>
  <c r="BJ54" i="1"/>
  <c r="AA55" i="19"/>
  <c r="AC55" i="19"/>
  <c r="B11" i="19"/>
  <c r="B15" i="19"/>
  <c r="B19" i="19"/>
  <c r="B23" i="19"/>
  <c r="BE23" i="19" s="1"/>
  <c r="B24" i="19"/>
  <c r="BE24" i="19" s="1"/>
  <c r="B28" i="19"/>
  <c r="BE28" i="19" s="1"/>
  <c r="B32" i="19"/>
  <c r="BE32" i="19" s="1"/>
  <c r="B36" i="19"/>
  <c r="BE36" i="19" s="1"/>
  <c r="B25" i="19"/>
  <c r="BF25" i="19" s="1"/>
  <c r="B8" i="19"/>
  <c r="B10" i="19"/>
  <c r="B12" i="19"/>
  <c r="B14" i="19"/>
  <c r="B16" i="19"/>
  <c r="B18" i="19"/>
  <c r="B20" i="19"/>
  <c r="B22" i="19"/>
  <c r="BE22" i="19" s="1"/>
  <c r="B27" i="19"/>
  <c r="BE27" i="19" s="1"/>
  <c r="B29" i="19"/>
  <c r="BF29" i="19" s="1"/>
  <c r="B31" i="19"/>
  <c r="BE31" i="19" s="1"/>
  <c r="B33" i="19"/>
  <c r="BG33" i="19" s="1"/>
  <c r="Z55" i="19"/>
  <c r="B35" i="19"/>
  <c r="BE35" i="19" s="1"/>
  <c r="B37" i="19"/>
  <c r="BF37" i="19" s="1"/>
  <c r="D12" i="12"/>
  <c r="C12" i="12"/>
  <c r="AB46" i="1"/>
  <c r="Z46" i="1"/>
  <c r="C7" i="19"/>
  <c r="B7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8" i="1"/>
  <c r="A9" i="1"/>
  <c r="A10" i="1"/>
  <c r="A11" i="1"/>
  <c r="B7" i="9"/>
  <c r="B8" i="9"/>
  <c r="B9" i="9"/>
  <c r="B10" i="9"/>
  <c r="B11" i="9"/>
  <c r="B12" i="9"/>
  <c r="B13" i="9"/>
  <c r="B14" i="9"/>
  <c r="B37" i="9"/>
  <c r="B67" i="9"/>
  <c r="B125" i="9" s="1"/>
  <c r="B182" i="9" s="1"/>
  <c r="B68" i="9"/>
  <c r="B126" i="9" s="1"/>
  <c r="B183" i="9" s="1"/>
  <c r="B69" i="9"/>
  <c r="B127" i="9" s="1"/>
  <c r="B184" i="9" s="1"/>
  <c r="B70" i="9"/>
  <c r="B128" i="9" s="1"/>
  <c r="B185" i="9" s="1"/>
  <c r="B71" i="9"/>
  <c r="B129" i="9" s="1"/>
  <c r="B186" i="9" s="1"/>
  <c r="B72" i="9"/>
  <c r="B130" i="9" s="1"/>
  <c r="B187" i="9" s="1"/>
  <c r="B73" i="9"/>
  <c r="B131" i="9" s="1"/>
  <c r="B188" i="9" s="1"/>
  <c r="B74" i="9"/>
  <c r="B132" i="9" s="1"/>
  <c r="B189" i="9" s="1"/>
  <c r="B97" i="9"/>
  <c r="B155" i="9" s="1"/>
  <c r="B212" i="9" s="1"/>
  <c r="C97" i="9"/>
  <c r="E97" i="9" s="1"/>
  <c r="F97" i="9" s="1"/>
  <c r="I97" i="9" s="1"/>
  <c r="O97" i="9"/>
  <c r="M125" i="9"/>
  <c r="M126" i="9" s="1"/>
  <c r="M127" i="9" s="1"/>
  <c r="O155" i="9"/>
  <c r="M182" i="9"/>
  <c r="M183" i="9" s="1"/>
  <c r="M184" i="9" s="1"/>
  <c r="M185" i="9" s="1"/>
  <c r="M186" i="9" s="1"/>
  <c r="M187" i="9" s="1"/>
  <c r="M188" i="9" s="1"/>
  <c r="M189" i="9" s="1"/>
  <c r="M190" i="9" s="1"/>
  <c r="M191" i="9" s="1"/>
  <c r="M192" i="9" s="1"/>
  <c r="M193" i="9" s="1"/>
  <c r="M194" i="9" s="1"/>
  <c r="M195" i="9" s="1"/>
  <c r="M196" i="9" s="1"/>
  <c r="M197" i="9" s="1"/>
  <c r="M198" i="9" s="1"/>
  <c r="M199" i="9" s="1"/>
  <c r="M200" i="9" s="1"/>
  <c r="M201" i="9" s="1"/>
  <c r="M202" i="9" s="1"/>
  <c r="M203" i="9" s="1"/>
  <c r="M204" i="9" s="1"/>
  <c r="M205" i="9" s="1"/>
  <c r="M206" i="9" s="1"/>
  <c r="M207" i="9" s="1"/>
  <c r="M208" i="9" s="1"/>
  <c r="M209" i="9" s="1"/>
  <c r="M210" i="9" s="1"/>
  <c r="M211" i="9" s="1"/>
  <c r="M212" i="9" s="1"/>
  <c r="O212" i="9"/>
  <c r="O132" i="9"/>
  <c r="O193" i="9"/>
  <c r="O204" i="9"/>
  <c r="O196" i="9"/>
  <c r="O188" i="9"/>
  <c r="O200" i="9"/>
  <c r="O185" i="9"/>
  <c r="O184" i="9"/>
  <c r="O151" i="9"/>
  <c r="O133" i="9"/>
  <c r="O141" i="9"/>
  <c r="O202" i="9"/>
  <c r="O150" i="9"/>
  <c r="O183" i="9"/>
  <c r="O205" i="9"/>
  <c r="O209" i="9"/>
  <c r="O186" i="9"/>
  <c r="O190" i="9"/>
  <c r="O198" i="9"/>
  <c r="O206" i="9"/>
  <c r="O207" i="9"/>
  <c r="O142" i="9"/>
  <c r="O129" i="9"/>
  <c r="O135" i="9"/>
  <c r="O134" i="9"/>
  <c r="O140" i="9"/>
  <c r="O146" i="9"/>
  <c r="O153" i="9"/>
  <c r="O145" i="9"/>
  <c r="O138" i="9"/>
  <c r="O136" i="9"/>
  <c r="O143" i="9"/>
  <c r="O127" i="9"/>
  <c r="O148" i="9"/>
  <c r="Q55" i="1"/>
  <c r="H55" i="1"/>
  <c r="J55" i="1"/>
  <c r="K55" i="1"/>
  <c r="I55" i="1"/>
  <c r="P55" i="1"/>
  <c r="AJ55" i="1"/>
  <c r="AM55" i="1"/>
  <c r="R55" i="1"/>
  <c r="O154" i="9"/>
  <c r="BF36" i="19" l="1"/>
  <c r="BG36" i="19"/>
  <c r="BG35" i="19"/>
  <c r="BF35" i="19"/>
  <c r="BE33" i="19"/>
  <c r="BF33" i="19"/>
  <c r="BE34" i="19"/>
  <c r="BF32" i="19"/>
  <c r="BG32" i="19"/>
  <c r="BF34" i="19"/>
  <c r="BG31" i="19"/>
  <c r="BF31" i="19"/>
  <c r="BF30" i="19"/>
  <c r="BG30" i="19"/>
  <c r="BG29" i="19"/>
  <c r="BE29" i="19"/>
  <c r="BF28" i="19"/>
  <c r="BG28" i="19"/>
  <c r="BG27" i="19"/>
  <c r="BF27" i="19"/>
  <c r="BG25" i="19"/>
  <c r="BF26" i="19"/>
  <c r="BG26" i="19"/>
  <c r="BE25" i="19"/>
  <c r="BF24" i="19"/>
  <c r="BG24" i="19"/>
  <c r="BG23" i="19"/>
  <c r="BF23" i="19"/>
  <c r="BF22" i="19"/>
  <c r="BG22" i="19"/>
  <c r="BG21" i="19"/>
  <c r="BE21" i="19"/>
  <c r="W37" i="19"/>
  <c r="Z37" i="19" s="1"/>
  <c r="W31" i="19"/>
  <c r="V27" i="19"/>
  <c r="V20" i="19"/>
  <c r="V16" i="19"/>
  <c r="V12" i="19"/>
  <c r="V8" i="19"/>
  <c r="Y36" i="19"/>
  <c r="AC36" i="19" s="1"/>
  <c r="W28" i="19"/>
  <c r="V23" i="19"/>
  <c r="V15" i="19"/>
  <c r="X30" i="19"/>
  <c r="AA30" i="19" s="1"/>
  <c r="BE7" i="19"/>
  <c r="X17" i="19"/>
  <c r="AA17" i="19" s="1"/>
  <c r="W9" i="19"/>
  <c r="Z9" i="19" s="1"/>
  <c r="W35" i="19"/>
  <c r="W33" i="19"/>
  <c r="X29" i="19"/>
  <c r="Y22" i="19"/>
  <c r="Y18" i="19"/>
  <c r="Y14" i="19"/>
  <c r="Y10" i="19"/>
  <c r="V25" i="19"/>
  <c r="Y32" i="19"/>
  <c r="V24" i="19"/>
  <c r="V19" i="19"/>
  <c r="V11" i="19"/>
  <c r="V34" i="19"/>
  <c r="Y26" i="19"/>
  <c r="AC26" i="19" s="1"/>
  <c r="W21" i="19"/>
  <c r="Z21" i="19" s="1"/>
  <c r="Y13" i="19"/>
  <c r="AC13" i="19" s="1"/>
  <c r="BE19" i="19"/>
  <c r="BE20" i="19"/>
  <c r="BF18" i="19"/>
  <c r="BG18" i="19"/>
  <c r="BG19" i="19"/>
  <c r="BF19" i="19"/>
  <c r="BF20" i="19"/>
  <c r="BG20" i="19"/>
  <c r="BE18" i="19"/>
  <c r="AS7" i="1"/>
  <c r="AQ7" i="1"/>
  <c r="AT7" i="1"/>
  <c r="AR7" i="1"/>
  <c r="AO7" i="1"/>
  <c r="BG17" i="19"/>
  <c r="BE17" i="19"/>
  <c r="BF17" i="19"/>
  <c r="BG11" i="19"/>
  <c r="BG14" i="19"/>
  <c r="BG10" i="19"/>
  <c r="BG13" i="19"/>
  <c r="BF11" i="19"/>
  <c r="BF14" i="19"/>
  <c r="BF10" i="19"/>
  <c r="AN11" i="1"/>
  <c r="AN11" i="19" s="1"/>
  <c r="AY11" i="1"/>
  <c r="AY11" i="19" s="1"/>
  <c r="AZ11" i="19" s="1"/>
  <c r="BC11" i="1"/>
  <c r="BC11" i="19" s="1"/>
  <c r="AN9" i="1"/>
  <c r="AY9" i="1"/>
  <c r="AY9" i="19" s="1"/>
  <c r="AZ9" i="19" s="1"/>
  <c r="BC9" i="1"/>
  <c r="BC9" i="19" s="1"/>
  <c r="AN37" i="1"/>
  <c r="AN37" i="19" s="1"/>
  <c r="AY37" i="1"/>
  <c r="AY37" i="19" s="1"/>
  <c r="BC37" i="1"/>
  <c r="BC37" i="19" s="1"/>
  <c r="AN35" i="1"/>
  <c r="AN35" i="19" s="1"/>
  <c r="AY35" i="1"/>
  <c r="BC35" i="1"/>
  <c r="BC35" i="19" s="1"/>
  <c r="AN33" i="1"/>
  <c r="AY33" i="1"/>
  <c r="AY33" i="19" s="1"/>
  <c r="BC33" i="1"/>
  <c r="AN31" i="1"/>
  <c r="AN31" i="19" s="1"/>
  <c r="AY31" i="1"/>
  <c r="AY31" i="19" s="1"/>
  <c r="BC31" i="1"/>
  <c r="BC31" i="19" s="1"/>
  <c r="AN29" i="1"/>
  <c r="AY29" i="1"/>
  <c r="AY29" i="19" s="1"/>
  <c r="AZ29" i="19" s="1"/>
  <c r="BC29" i="1"/>
  <c r="BC29" i="19" s="1"/>
  <c r="AN27" i="1"/>
  <c r="AN27" i="19" s="1"/>
  <c r="AY27" i="1"/>
  <c r="BC27" i="1"/>
  <c r="BC27" i="19" s="1"/>
  <c r="AN25" i="1"/>
  <c r="AY25" i="1"/>
  <c r="AY25" i="19" s="1"/>
  <c r="AZ25" i="19" s="1"/>
  <c r="BC25" i="1"/>
  <c r="AN23" i="1"/>
  <c r="AN23" i="19" s="1"/>
  <c r="AY23" i="1"/>
  <c r="AY23" i="19" s="1"/>
  <c r="AZ23" i="19" s="1"/>
  <c r="BC23" i="1"/>
  <c r="BC23" i="19" s="1"/>
  <c r="AN21" i="1"/>
  <c r="AN21" i="19" s="1"/>
  <c r="AY21" i="1"/>
  <c r="AY21" i="19" s="1"/>
  <c r="AZ21" i="19" s="1"/>
  <c r="BC21" i="1"/>
  <c r="BC21" i="19" s="1"/>
  <c r="AN19" i="1"/>
  <c r="AN19" i="19" s="1"/>
  <c r="AY19" i="1"/>
  <c r="AY19" i="19" s="1"/>
  <c r="AZ19" i="19" s="1"/>
  <c r="BC19" i="1"/>
  <c r="BC19" i="19" s="1"/>
  <c r="AN17" i="1"/>
  <c r="AN17" i="19" s="1"/>
  <c r="AY17" i="1"/>
  <c r="AY17" i="19" s="1"/>
  <c r="AZ17" i="19" s="1"/>
  <c r="BC17" i="1"/>
  <c r="AN15" i="1"/>
  <c r="AN15" i="19" s="1"/>
  <c r="AY15" i="1"/>
  <c r="AY15" i="19" s="1"/>
  <c r="AZ15" i="19" s="1"/>
  <c r="BC15" i="1"/>
  <c r="BC15" i="19" s="1"/>
  <c r="AN13" i="1"/>
  <c r="AN13" i="19" s="1"/>
  <c r="AY13" i="1"/>
  <c r="AY13" i="19" s="1"/>
  <c r="AZ13" i="19" s="1"/>
  <c r="BC13" i="1"/>
  <c r="BC13" i="19" s="1"/>
  <c r="BF7" i="1"/>
  <c r="BK7" i="1"/>
  <c r="BA7" i="1"/>
  <c r="BE7" i="1"/>
  <c r="BG7" i="1"/>
  <c r="BJ7" i="1"/>
  <c r="AN10" i="1"/>
  <c r="AN10" i="19" s="1"/>
  <c r="AY10" i="1"/>
  <c r="AY10" i="19" s="1"/>
  <c r="AZ10" i="19" s="1"/>
  <c r="BC10" i="1"/>
  <c r="BC10" i="19" s="1"/>
  <c r="AN8" i="1"/>
  <c r="AY8" i="1"/>
  <c r="AZ8" i="1" s="1"/>
  <c r="BC8" i="1"/>
  <c r="BC8" i="19" s="1"/>
  <c r="AN36" i="1"/>
  <c r="AN36" i="19" s="1"/>
  <c r="AY36" i="1"/>
  <c r="AY36" i="19" s="1"/>
  <c r="BC36" i="1"/>
  <c r="BC36" i="19" s="1"/>
  <c r="AN34" i="1"/>
  <c r="AN34" i="19" s="1"/>
  <c r="AY34" i="1"/>
  <c r="AY34" i="19" s="1"/>
  <c r="BC34" i="1"/>
  <c r="AN32" i="1"/>
  <c r="AN32" i="19" s="1"/>
  <c r="AY32" i="1"/>
  <c r="AY32" i="19" s="1"/>
  <c r="BC32" i="1"/>
  <c r="BC32" i="19" s="1"/>
  <c r="AN30" i="1"/>
  <c r="AY30" i="1"/>
  <c r="AY30" i="19" s="1"/>
  <c r="AZ30" i="19" s="1"/>
  <c r="BC30" i="1"/>
  <c r="BC30" i="19" s="1"/>
  <c r="AN28" i="1"/>
  <c r="AN28" i="19" s="1"/>
  <c r="AY28" i="1"/>
  <c r="BC28" i="1"/>
  <c r="BC28" i="19" s="1"/>
  <c r="AN26" i="1"/>
  <c r="AY26" i="1"/>
  <c r="AY26" i="19" s="1"/>
  <c r="AZ26" i="19" s="1"/>
  <c r="BC26" i="1"/>
  <c r="AN24" i="1"/>
  <c r="AY24" i="1"/>
  <c r="AY24" i="19" s="1"/>
  <c r="AZ24" i="19" s="1"/>
  <c r="BC24" i="1"/>
  <c r="BC24" i="19" s="1"/>
  <c r="AN22" i="1"/>
  <c r="AY22" i="1"/>
  <c r="AY22" i="19" s="1"/>
  <c r="AZ22" i="19" s="1"/>
  <c r="BC22" i="1"/>
  <c r="BC22" i="19" s="1"/>
  <c r="AN20" i="1"/>
  <c r="AN20" i="19" s="1"/>
  <c r="AY20" i="1"/>
  <c r="AY20" i="19" s="1"/>
  <c r="AZ20" i="19" s="1"/>
  <c r="BC20" i="1"/>
  <c r="BC20" i="19" s="1"/>
  <c r="AN18" i="1"/>
  <c r="AN18" i="19" s="1"/>
  <c r="AY18" i="1"/>
  <c r="AY18" i="19" s="1"/>
  <c r="AZ18" i="19" s="1"/>
  <c r="BC18" i="1"/>
  <c r="BC18" i="19" s="1"/>
  <c r="AN16" i="1"/>
  <c r="AN16" i="19" s="1"/>
  <c r="AY16" i="1"/>
  <c r="AY16" i="19" s="1"/>
  <c r="AZ16" i="19" s="1"/>
  <c r="BC16" i="1"/>
  <c r="BC16" i="19" s="1"/>
  <c r="AN14" i="1"/>
  <c r="AN14" i="19" s="1"/>
  <c r="AY14" i="1"/>
  <c r="AY14" i="19" s="1"/>
  <c r="AZ14" i="19" s="1"/>
  <c r="BC14" i="1"/>
  <c r="BC14" i="19" s="1"/>
  <c r="AN12" i="1"/>
  <c r="AN12" i="19" s="1"/>
  <c r="AY12" i="1"/>
  <c r="AY12" i="19" s="1"/>
  <c r="AZ12" i="19" s="1"/>
  <c r="BC12" i="1"/>
  <c r="BC12" i="19" s="1"/>
  <c r="BK55" i="19"/>
  <c r="BK54" i="19" s="1"/>
  <c r="BK54" i="1"/>
  <c r="BG15" i="19"/>
  <c r="BF15" i="19"/>
  <c r="BG9" i="19"/>
  <c r="BF8" i="19"/>
  <c r="BG8" i="19"/>
  <c r="BE16" i="19"/>
  <c r="BE12" i="19"/>
  <c r="BG7" i="19"/>
  <c r="BF7" i="19"/>
  <c r="BE15" i="19"/>
  <c r="BE13" i="19"/>
  <c r="BF13" i="19"/>
  <c r="BE11" i="19"/>
  <c r="BE9" i="19"/>
  <c r="BF9" i="19"/>
  <c r="BE8" i="19"/>
  <c r="BF16" i="19"/>
  <c r="BG16" i="19"/>
  <c r="BE14" i="19"/>
  <c r="BF12" i="19"/>
  <c r="BG12" i="19"/>
  <c r="BE10" i="19"/>
  <c r="BI37" i="19"/>
  <c r="BH37" i="19"/>
  <c r="BI36" i="19"/>
  <c r="BH36" i="19"/>
  <c r="BH35" i="19"/>
  <c r="BI35" i="19"/>
  <c r="BI34" i="19"/>
  <c r="BH34" i="19"/>
  <c r="BI32" i="19"/>
  <c r="BH33" i="19"/>
  <c r="BI33" i="19"/>
  <c r="BH32" i="19"/>
  <c r="BI31" i="19"/>
  <c r="BH31" i="19"/>
  <c r="BH29" i="19"/>
  <c r="BH26" i="19"/>
  <c r="BI20" i="19"/>
  <c r="BI19" i="19"/>
  <c r="BH12" i="19"/>
  <c r="BI10" i="19"/>
  <c r="BH25" i="19"/>
  <c r="BI30" i="19"/>
  <c r="BI21" i="19"/>
  <c r="BI23" i="19"/>
  <c r="BH11" i="19"/>
  <c r="BI12" i="19"/>
  <c r="BH13" i="19"/>
  <c r="BH21" i="19"/>
  <c r="BI14" i="19"/>
  <c r="BH22" i="19"/>
  <c r="BH14" i="19"/>
  <c r="BI17" i="19"/>
  <c r="BH24" i="19"/>
  <c r="AZ37" i="1"/>
  <c r="BH10" i="19"/>
  <c r="BH9" i="19"/>
  <c r="BI27" i="19"/>
  <c r="BH19" i="19"/>
  <c r="BI15" i="19"/>
  <c r="BH28" i="19"/>
  <c r="BH8" i="19"/>
  <c r="BH30" i="19"/>
  <c r="BH18" i="19"/>
  <c r="BH20" i="19"/>
  <c r="BH17" i="19"/>
  <c r="BH23" i="19"/>
  <c r="BI11" i="19"/>
  <c r="BI16" i="19"/>
  <c r="BI13" i="19"/>
  <c r="BH7" i="19"/>
  <c r="BI28" i="19"/>
  <c r="BI18" i="19"/>
  <c r="BI7" i="19"/>
  <c r="BI8" i="19"/>
  <c r="BI26" i="19"/>
  <c r="BI22" i="19"/>
  <c r="BI29" i="19"/>
  <c r="BI9" i="19"/>
  <c r="BH27" i="19"/>
  <c r="BH15" i="19"/>
  <c r="BI24" i="19"/>
  <c r="BH16" i="19"/>
  <c r="BI25" i="19"/>
  <c r="W13" i="19"/>
  <c r="Z13" i="19" s="1"/>
  <c r="BM7" i="1"/>
  <c r="BN7" i="1"/>
  <c r="BH7" i="1"/>
  <c r="BI7" i="1"/>
  <c r="F37" i="9"/>
  <c r="W17" i="19"/>
  <c r="Z17" i="19" s="1"/>
  <c r="V28" i="19"/>
  <c r="V17" i="19"/>
  <c r="X13" i="19"/>
  <c r="AA13" i="19" s="1"/>
  <c r="AN9" i="19"/>
  <c r="AN8" i="19"/>
  <c r="BD7" i="19"/>
  <c r="AN25" i="19"/>
  <c r="V13" i="19"/>
  <c r="BB45" i="19"/>
  <c r="BC34" i="19"/>
  <c r="AN29" i="19"/>
  <c r="AN33" i="19"/>
  <c r="BC33" i="19"/>
  <c r="AN30" i="19"/>
  <c r="BC25" i="19"/>
  <c r="BC17" i="19"/>
  <c r="C8" i="1"/>
  <c r="BC26" i="19"/>
  <c r="Y17" i="19"/>
  <c r="AC17" i="19" s="1"/>
  <c r="X15" i="19"/>
  <c r="AA15" i="19" s="1"/>
  <c r="W15" i="19"/>
  <c r="Z15" i="19" s="1"/>
  <c r="Y15" i="19"/>
  <c r="AC15" i="19" s="1"/>
  <c r="W19" i="19"/>
  <c r="Z19" i="19" s="1"/>
  <c r="Y21" i="19"/>
  <c r="AC21" i="19" s="1"/>
  <c r="X21" i="19"/>
  <c r="AA21" i="19" s="1"/>
  <c r="X19" i="19"/>
  <c r="AA19" i="19" s="1"/>
  <c r="V21" i="19"/>
  <c r="BL54" i="1"/>
  <c r="S48" i="1"/>
  <c r="V9" i="19"/>
  <c r="Y9" i="19"/>
  <c r="AC9" i="19" s="1"/>
  <c r="BG47" i="19"/>
  <c r="BG46" i="19"/>
  <c r="BN47" i="19"/>
  <c r="BN46" i="19"/>
  <c r="BN56" i="19"/>
  <c r="BN55" i="19"/>
  <c r="X32" i="19"/>
  <c r="AA32" i="19" s="1"/>
  <c r="Y34" i="19"/>
  <c r="AC34" i="19" s="1"/>
  <c r="X26" i="19"/>
  <c r="AA26" i="19" s="1"/>
  <c r="W30" i="19"/>
  <c r="Z30" i="19" s="1"/>
  <c r="W26" i="19"/>
  <c r="Z26" i="19" s="1"/>
  <c r="V36" i="19"/>
  <c r="V26" i="19"/>
  <c r="V30" i="19"/>
  <c r="X36" i="19"/>
  <c r="AA36" i="19" s="1"/>
  <c r="Y30" i="19"/>
  <c r="AC30" i="19" s="1"/>
  <c r="W23" i="19"/>
  <c r="Z23" i="19" s="1"/>
  <c r="X23" i="19"/>
  <c r="AA23" i="19" s="1"/>
  <c r="Y23" i="19"/>
  <c r="AC23" i="19" s="1"/>
  <c r="W32" i="19"/>
  <c r="Z32" i="19" s="1"/>
  <c r="W34" i="19"/>
  <c r="Z34" i="19" s="1"/>
  <c r="X24" i="19"/>
  <c r="X34" i="19"/>
  <c r="AA34" i="19" s="1"/>
  <c r="X28" i="19"/>
  <c r="W24" i="19"/>
  <c r="Z24" i="19" s="1"/>
  <c r="BM54" i="19"/>
  <c r="BB54" i="19"/>
  <c r="BH47" i="19"/>
  <c r="BM46" i="1"/>
  <c r="BL7" i="1"/>
  <c r="X11" i="19"/>
  <c r="AA11" i="19" s="1"/>
  <c r="W11" i="19"/>
  <c r="Z11" i="19" s="1"/>
  <c r="AC46" i="19"/>
  <c r="B15" i="9"/>
  <c r="B33" i="9"/>
  <c r="B29" i="9"/>
  <c r="B25" i="9"/>
  <c r="B21" i="9"/>
  <c r="AY35" i="19"/>
  <c r="B34" i="9"/>
  <c r="AY27" i="19"/>
  <c r="AZ27" i="19" s="1"/>
  <c r="B30" i="9"/>
  <c r="B26" i="9"/>
  <c r="B22" i="9"/>
  <c r="B17" i="9"/>
  <c r="B35" i="9"/>
  <c r="AY28" i="19"/>
  <c r="AZ28" i="19" s="1"/>
  <c r="B91" i="9"/>
  <c r="B149" i="9" s="1"/>
  <c r="B206" i="9" s="1"/>
  <c r="B27" i="9"/>
  <c r="B83" i="9"/>
  <c r="B141" i="9" s="1"/>
  <c r="B198" i="9" s="1"/>
  <c r="B19" i="9"/>
  <c r="B18" i="9"/>
  <c r="B36" i="9"/>
  <c r="B32" i="9"/>
  <c r="B28" i="9"/>
  <c r="B24" i="9"/>
  <c r="B20" i="9"/>
  <c r="AL7" i="1"/>
  <c r="AH7" i="1"/>
  <c r="BJ54" i="19"/>
  <c r="X9" i="19"/>
  <c r="AA9" i="19" s="1"/>
  <c r="AA46" i="19"/>
  <c r="Z46" i="19"/>
  <c r="B95" i="9"/>
  <c r="B153" i="9" s="1"/>
  <c r="B210" i="9" s="1"/>
  <c r="B31" i="9"/>
  <c r="B79" i="9"/>
  <c r="B137" i="9" s="1"/>
  <c r="B194" i="9" s="1"/>
  <c r="B87" i="9"/>
  <c r="B145" i="9" s="1"/>
  <c r="B202" i="9" s="1"/>
  <c r="B23" i="9"/>
  <c r="B75" i="9"/>
  <c r="B133" i="9" s="1"/>
  <c r="B190" i="9" s="1"/>
  <c r="BK46" i="1"/>
  <c r="BK46" i="19" s="1"/>
  <c r="BF47" i="19"/>
  <c r="BJ46" i="1"/>
  <c r="BJ46" i="19" s="1"/>
  <c r="BL46" i="19"/>
  <c r="B93" i="9"/>
  <c r="B151" i="9" s="1"/>
  <c r="B208" i="9" s="1"/>
  <c r="B89" i="9"/>
  <c r="B147" i="9" s="1"/>
  <c r="B204" i="9" s="1"/>
  <c r="B85" i="9"/>
  <c r="B143" i="9" s="1"/>
  <c r="B200" i="9" s="1"/>
  <c r="B81" i="9"/>
  <c r="B139" i="9" s="1"/>
  <c r="B196" i="9" s="1"/>
  <c r="B77" i="9"/>
  <c r="B135" i="9" s="1"/>
  <c r="B192" i="9" s="1"/>
  <c r="M67" i="9"/>
  <c r="M68" i="9" s="1"/>
  <c r="M69" i="9" s="1"/>
  <c r="M70" i="9" s="1"/>
  <c r="M71" i="9" s="1"/>
  <c r="M72" i="9" s="1"/>
  <c r="M73" i="9" s="1"/>
  <c r="Y37" i="19"/>
  <c r="W36" i="19"/>
  <c r="Z36" i="19" s="1"/>
  <c r="B96" i="9"/>
  <c r="B154" i="9" s="1"/>
  <c r="B211" i="9" s="1"/>
  <c r="B94" i="9"/>
  <c r="B152" i="9" s="1"/>
  <c r="B209" i="9" s="1"/>
  <c r="B92" i="9"/>
  <c r="B150" i="9" s="1"/>
  <c r="B207" i="9" s="1"/>
  <c r="B90" i="9"/>
  <c r="B148" i="9" s="1"/>
  <c r="B205" i="9" s="1"/>
  <c r="B88" i="9"/>
  <c r="B146" i="9" s="1"/>
  <c r="B203" i="9" s="1"/>
  <c r="B86" i="9"/>
  <c r="B144" i="9" s="1"/>
  <c r="B201" i="9" s="1"/>
  <c r="B84" i="9"/>
  <c r="B142" i="9" s="1"/>
  <c r="B199" i="9" s="1"/>
  <c r="B82" i="9"/>
  <c r="B140" i="9" s="1"/>
  <c r="B197" i="9" s="1"/>
  <c r="B80" i="9"/>
  <c r="B138" i="9" s="1"/>
  <c r="B195" i="9" s="1"/>
  <c r="B78" i="9"/>
  <c r="B136" i="9" s="1"/>
  <c r="B193" i="9" s="1"/>
  <c r="V32" i="19"/>
  <c r="AC32" i="19" s="1"/>
  <c r="Y24" i="19"/>
  <c r="Y19" i="19"/>
  <c r="AC19" i="19" s="1"/>
  <c r="Y11" i="19"/>
  <c r="AC11" i="19" s="1"/>
  <c r="Y28" i="19"/>
  <c r="B16" i="9"/>
  <c r="B76" i="9"/>
  <c r="B134" i="9" s="1"/>
  <c r="B191" i="9" s="1"/>
  <c r="X10" i="19"/>
  <c r="AA10" i="19" s="1"/>
  <c r="X12" i="19"/>
  <c r="X14" i="19"/>
  <c r="AA14" i="19" s="1"/>
  <c r="X16" i="19"/>
  <c r="X18" i="19"/>
  <c r="AA18" i="19" s="1"/>
  <c r="X20" i="19"/>
  <c r="X22" i="19"/>
  <c r="AA22" i="19" s="1"/>
  <c r="V29" i="19"/>
  <c r="V31" i="19"/>
  <c r="V33" i="19"/>
  <c r="V35" i="19"/>
  <c r="V37" i="19"/>
  <c r="Y25" i="19"/>
  <c r="W20" i="19"/>
  <c r="W16" i="19"/>
  <c r="W12" i="19"/>
  <c r="Y27" i="19"/>
  <c r="Y29" i="19"/>
  <c r="Y31" i="19"/>
  <c r="Y33" i="19"/>
  <c r="Y35" i="19"/>
  <c r="W27" i="19"/>
  <c r="W22" i="19"/>
  <c r="Z22" i="19" s="1"/>
  <c r="W18" i="19"/>
  <c r="Z18" i="19" s="1"/>
  <c r="W14" i="19"/>
  <c r="Z14" i="19" s="1"/>
  <c r="W10" i="19"/>
  <c r="Z10" i="19" s="1"/>
  <c r="W29" i="19"/>
  <c r="Z29" i="19" s="1"/>
  <c r="F7" i="1"/>
  <c r="X25" i="19"/>
  <c r="X27" i="19"/>
  <c r="AA27" i="19" s="1"/>
  <c r="X31" i="19"/>
  <c r="X33" i="19"/>
  <c r="AA33" i="19" s="1"/>
  <c r="X35" i="19"/>
  <c r="X37" i="19"/>
  <c r="AA37" i="19" s="1"/>
  <c r="W25" i="19"/>
  <c r="Y20" i="19"/>
  <c r="Y16" i="19"/>
  <c r="Y12" i="19"/>
  <c r="V10" i="19"/>
  <c r="V14" i="19"/>
  <c r="V18" i="19"/>
  <c r="AC18" i="19" s="1"/>
  <c r="V22" i="19"/>
  <c r="X8" i="19"/>
  <c r="Y8" i="19"/>
  <c r="W8" i="19"/>
  <c r="O126" i="9"/>
  <c r="O125" i="9"/>
  <c r="O208" i="9"/>
  <c r="O210" i="9"/>
  <c r="C37" i="9"/>
  <c r="C155" i="9"/>
  <c r="C212" i="9"/>
  <c r="O211" i="9"/>
  <c r="O147" i="9"/>
  <c r="O128" i="9"/>
  <c r="O131" i="9"/>
  <c r="O137" i="9"/>
  <c r="O149" i="9"/>
  <c r="O187" i="9"/>
  <c r="O189" i="9"/>
  <c r="O191" i="9"/>
  <c r="O195" i="9"/>
  <c r="O197" i="9"/>
  <c r="O199" i="9"/>
  <c r="O201" i="9"/>
  <c r="O203" i="9"/>
  <c r="B9" i="1"/>
  <c r="O9" i="1" s="1"/>
  <c r="B36" i="1"/>
  <c r="BN36" i="1" s="1"/>
  <c r="B34" i="1"/>
  <c r="M34" i="1" s="1"/>
  <c r="M34" i="19" s="1"/>
  <c r="B32" i="1"/>
  <c r="AT32" i="1" s="1"/>
  <c r="AT32" i="19" s="1"/>
  <c r="B30" i="1"/>
  <c r="M30" i="1" s="1"/>
  <c r="M30" i="19" s="1"/>
  <c r="B28" i="1"/>
  <c r="BI28" i="1" s="1"/>
  <c r="B26" i="1"/>
  <c r="O26" i="1" s="1"/>
  <c r="B24" i="1"/>
  <c r="BI24" i="1" s="1"/>
  <c r="B22" i="1"/>
  <c r="O22" i="1" s="1"/>
  <c r="O22" i="19" s="1"/>
  <c r="B20" i="1"/>
  <c r="BI20" i="1" s="1"/>
  <c r="B18" i="1"/>
  <c r="M18" i="1" s="1"/>
  <c r="M18" i="19" s="1"/>
  <c r="B15" i="1"/>
  <c r="O15" i="1" s="1"/>
  <c r="O15" i="19" s="1"/>
  <c r="B11" i="1"/>
  <c r="M11" i="1" s="1"/>
  <c r="C37" i="1"/>
  <c r="C35" i="1"/>
  <c r="C35" i="19" s="1"/>
  <c r="C33" i="1"/>
  <c r="C33" i="19" s="1"/>
  <c r="C31" i="1"/>
  <c r="C31" i="19" s="1"/>
  <c r="C29" i="1"/>
  <c r="C29" i="19" s="1"/>
  <c r="C27" i="1"/>
  <c r="C27" i="19" s="1"/>
  <c r="C25" i="1"/>
  <c r="C25" i="19" s="1"/>
  <c r="C23" i="1"/>
  <c r="C23" i="19" s="1"/>
  <c r="C21" i="1"/>
  <c r="C21" i="19" s="1"/>
  <c r="C19" i="1"/>
  <c r="C19" i="19" s="1"/>
  <c r="C17" i="1"/>
  <c r="C17" i="19" s="1"/>
  <c r="C14" i="1"/>
  <c r="C14" i="19" s="1"/>
  <c r="C10" i="1"/>
  <c r="AU10" i="1" s="1"/>
  <c r="AU10" i="19" s="1"/>
  <c r="B10" i="1"/>
  <c r="N10" i="1" s="1"/>
  <c r="B8" i="1"/>
  <c r="BG8" i="1" s="1"/>
  <c r="B37" i="1"/>
  <c r="B35" i="1"/>
  <c r="BI35" i="1" s="1"/>
  <c r="B33" i="1"/>
  <c r="L33" i="1" s="1"/>
  <c r="L33" i="19" s="1"/>
  <c r="B31" i="1"/>
  <c r="AT31" i="1" s="1"/>
  <c r="AT31" i="19" s="1"/>
  <c r="B29" i="1"/>
  <c r="L29" i="1" s="1"/>
  <c r="L29" i="19" s="1"/>
  <c r="B27" i="1"/>
  <c r="BI27" i="1" s="1"/>
  <c r="B25" i="1"/>
  <c r="L25" i="1" s="1"/>
  <c r="L25" i="19" s="1"/>
  <c r="B23" i="1"/>
  <c r="BN23" i="1" s="1"/>
  <c r="B21" i="1"/>
  <c r="L21" i="1" s="1"/>
  <c r="L21" i="19" s="1"/>
  <c r="B19" i="1"/>
  <c r="BN19" i="1" s="1"/>
  <c r="B17" i="1"/>
  <c r="L17" i="1" s="1"/>
  <c r="B14" i="1"/>
  <c r="N14" i="1" s="1"/>
  <c r="N14" i="19" s="1"/>
  <c r="C9" i="1"/>
  <c r="AU9" i="1" s="1"/>
  <c r="AU9" i="19" s="1"/>
  <c r="C36" i="1"/>
  <c r="C36" i="19" s="1"/>
  <c r="C34" i="1"/>
  <c r="C34" i="19" s="1"/>
  <c r="C32" i="1"/>
  <c r="C32" i="19" s="1"/>
  <c r="C30" i="1"/>
  <c r="C30" i="19" s="1"/>
  <c r="C28" i="1"/>
  <c r="C28" i="19" s="1"/>
  <c r="C26" i="1"/>
  <c r="C26" i="19" s="1"/>
  <c r="C24" i="1"/>
  <c r="C24" i="19" s="1"/>
  <c r="C22" i="1"/>
  <c r="C22" i="19" s="1"/>
  <c r="C20" i="1"/>
  <c r="C20" i="19" s="1"/>
  <c r="C18" i="1"/>
  <c r="C18" i="19" s="1"/>
  <c r="C15" i="1"/>
  <c r="C15" i="19" s="1"/>
  <c r="C11" i="1"/>
  <c r="AU11" i="1" s="1"/>
  <c r="AU11" i="19" s="1"/>
  <c r="N19" i="1"/>
  <c r="N19" i="19" s="1"/>
  <c r="L7" i="1"/>
  <c r="O7" i="1"/>
  <c r="R7" i="1" s="1"/>
  <c r="N7" i="1"/>
  <c r="W7" i="1"/>
  <c r="W7" i="19" s="1"/>
  <c r="AE7" i="1"/>
  <c r="AG7" i="1"/>
  <c r="M7" i="1"/>
  <c r="V7" i="1"/>
  <c r="V7" i="19" s="1"/>
  <c r="X7" i="1"/>
  <c r="X7" i="19" s="1"/>
  <c r="Y7" i="1"/>
  <c r="Y7" i="19" s="1"/>
  <c r="AC7" i="19" s="1"/>
  <c r="AI7" i="1"/>
  <c r="B16" i="1"/>
  <c r="F16" i="1" s="1"/>
  <c r="F16" i="19" s="1"/>
  <c r="C16" i="1"/>
  <c r="C16" i="19" s="1"/>
  <c r="AJ46" i="1"/>
  <c r="B13" i="1"/>
  <c r="L13" i="1" s="1"/>
  <c r="L13" i="19" s="1"/>
  <c r="C13" i="1"/>
  <c r="C13" i="19" s="1"/>
  <c r="B12" i="1"/>
  <c r="F12" i="1" s="1"/>
  <c r="F12" i="19" s="1"/>
  <c r="C12" i="1"/>
  <c r="C12" i="19" s="1"/>
  <c r="E7" i="1"/>
  <c r="G7" i="1"/>
  <c r="D7" i="1"/>
  <c r="C67" i="9"/>
  <c r="AA46" i="1"/>
  <c r="P46" i="1"/>
  <c r="Q46" i="1"/>
  <c r="R46" i="1"/>
  <c r="G97" i="9"/>
  <c r="J97" i="9" s="1"/>
  <c r="K97" i="9" s="1"/>
  <c r="Z55" i="1"/>
  <c r="AB55" i="1"/>
  <c r="AA55" i="1"/>
  <c r="M128" i="9"/>
  <c r="M214" i="9"/>
  <c r="N37" i="1" l="1"/>
  <c r="N37" i="19" s="1"/>
  <c r="AT37" i="1"/>
  <c r="AT37" i="19" s="1"/>
  <c r="AS37" i="1"/>
  <c r="AS37" i="19" s="1"/>
  <c r="AR37" i="1"/>
  <c r="AR37" i="19" s="1"/>
  <c r="AQ37" i="1"/>
  <c r="AQ37" i="19" s="1"/>
  <c r="BG37" i="1"/>
  <c r="BE37" i="1"/>
  <c r="BK37" i="1"/>
  <c r="BF37" i="1"/>
  <c r="BJ37" i="1"/>
  <c r="BA37" i="1"/>
  <c r="C37" i="19"/>
  <c r="AU37" i="1"/>
  <c r="AU37" i="19" s="1"/>
  <c r="C8" i="19"/>
  <c r="D1" i="1"/>
  <c r="B5" i="12" s="1"/>
  <c r="AC10" i="19"/>
  <c r="Z33" i="19"/>
  <c r="Z28" i="19"/>
  <c r="BE36" i="1"/>
  <c r="BG36" i="1"/>
  <c r="AQ36" i="1"/>
  <c r="AQ36" i="19" s="1"/>
  <c r="AS36" i="1"/>
  <c r="AS36" i="19" s="1"/>
  <c r="AU36" i="1"/>
  <c r="AU36" i="19" s="1"/>
  <c r="BA36" i="1"/>
  <c r="BB36" i="1" s="1"/>
  <c r="BJ36" i="1"/>
  <c r="BK36" i="1"/>
  <c r="BF36" i="1"/>
  <c r="AR36" i="1"/>
  <c r="AR36" i="19" s="1"/>
  <c r="AT36" i="1"/>
  <c r="AT36" i="19" s="1"/>
  <c r="BA35" i="1"/>
  <c r="BK35" i="1"/>
  <c r="BE35" i="1"/>
  <c r="AQ35" i="1"/>
  <c r="AQ35" i="19" s="1"/>
  <c r="AS35" i="1"/>
  <c r="AS35" i="19" s="1"/>
  <c r="AU35" i="1"/>
  <c r="AU35" i="19" s="1"/>
  <c r="BJ35" i="1"/>
  <c r="BF35" i="1"/>
  <c r="BG35" i="1"/>
  <c r="AR35" i="1"/>
  <c r="AR35" i="19" s="1"/>
  <c r="AT35" i="1"/>
  <c r="AT35" i="19" s="1"/>
  <c r="BE32" i="1"/>
  <c r="BG32" i="1"/>
  <c r="BA34" i="1"/>
  <c r="BB34" i="1" s="1"/>
  <c r="BJ34" i="1"/>
  <c r="BK34" i="1"/>
  <c r="BF34" i="1"/>
  <c r="BJ33" i="1"/>
  <c r="BK33" i="1"/>
  <c r="BG33" i="1"/>
  <c r="AQ33" i="1"/>
  <c r="AQ33" i="19" s="1"/>
  <c r="AS33" i="1"/>
  <c r="AS33" i="19" s="1"/>
  <c r="AQ32" i="1"/>
  <c r="AQ32" i="19" s="1"/>
  <c r="AS32" i="1"/>
  <c r="AS32" i="19" s="1"/>
  <c r="AQ34" i="1"/>
  <c r="AQ34" i="19" s="1"/>
  <c r="AS34" i="1"/>
  <c r="AS34" i="19" s="1"/>
  <c r="AU34" i="1"/>
  <c r="AU34" i="19" s="1"/>
  <c r="BA32" i="1"/>
  <c r="BB32" i="1" s="1"/>
  <c r="BJ32" i="1"/>
  <c r="BK32" i="1"/>
  <c r="BF32" i="1"/>
  <c r="BG34" i="1"/>
  <c r="BE34" i="1"/>
  <c r="BA33" i="1"/>
  <c r="BF33" i="1"/>
  <c r="BE33" i="1"/>
  <c r="AR33" i="1"/>
  <c r="AR33" i="19" s="1"/>
  <c r="AT33" i="1"/>
  <c r="AT33" i="19" s="1"/>
  <c r="AR32" i="1"/>
  <c r="AR32" i="19" s="1"/>
  <c r="AR34" i="1"/>
  <c r="AR34" i="19" s="1"/>
  <c r="AT34" i="1"/>
  <c r="AT34" i="19" s="1"/>
  <c r="AU33" i="1"/>
  <c r="AU33" i="19" s="1"/>
  <c r="AU32" i="1"/>
  <c r="AU32" i="19" s="1"/>
  <c r="BA31" i="1"/>
  <c r="BB31" i="1" s="1"/>
  <c r="BK31" i="1"/>
  <c r="BE31" i="1"/>
  <c r="AQ31" i="1"/>
  <c r="AQ31" i="19" s="1"/>
  <c r="AS31" i="1"/>
  <c r="AS31" i="19" s="1"/>
  <c r="AU31" i="1"/>
  <c r="AU31" i="19" s="1"/>
  <c r="BJ31" i="1"/>
  <c r="BF31" i="1"/>
  <c r="BG31" i="1"/>
  <c r="AR31" i="1"/>
  <c r="AR31" i="19" s="1"/>
  <c r="BA30" i="1"/>
  <c r="BB30" i="1" s="1"/>
  <c r="BJ30" i="1"/>
  <c r="BK30" i="1"/>
  <c r="BF30" i="1"/>
  <c r="AQ30" i="1"/>
  <c r="AQ30" i="19" s="1"/>
  <c r="AS30" i="1"/>
  <c r="AS30" i="19" s="1"/>
  <c r="AU30" i="1"/>
  <c r="AU30" i="19" s="1"/>
  <c r="BG30" i="1"/>
  <c r="BE30" i="1"/>
  <c r="AR30" i="1"/>
  <c r="AR30" i="19" s="1"/>
  <c r="AT30" i="1"/>
  <c r="AT30" i="19" s="1"/>
  <c r="BJ29" i="1"/>
  <c r="BK29" i="1"/>
  <c r="BG29" i="1"/>
  <c r="AQ29" i="1"/>
  <c r="AQ29" i="19" s="1"/>
  <c r="AS29" i="1"/>
  <c r="AS29" i="19" s="1"/>
  <c r="AU29" i="1"/>
  <c r="AU29" i="19" s="1"/>
  <c r="BA29" i="1"/>
  <c r="BF29" i="1"/>
  <c r="BE29" i="1"/>
  <c r="AR29" i="1"/>
  <c r="AR29" i="19" s="1"/>
  <c r="AT29" i="1"/>
  <c r="AT29" i="19" s="1"/>
  <c r="BE28" i="1"/>
  <c r="BG28" i="1"/>
  <c r="AQ28" i="1"/>
  <c r="AQ28" i="19" s="1"/>
  <c r="AS28" i="1"/>
  <c r="AS28" i="19" s="1"/>
  <c r="AU28" i="1"/>
  <c r="AU28" i="19" s="1"/>
  <c r="BA28" i="1"/>
  <c r="BJ28" i="1"/>
  <c r="BK28" i="1"/>
  <c r="BF28" i="1"/>
  <c r="AR28" i="1"/>
  <c r="AR28" i="19" s="1"/>
  <c r="AT28" i="1"/>
  <c r="AT28" i="19" s="1"/>
  <c r="BA27" i="1"/>
  <c r="BK27" i="1"/>
  <c r="BE27" i="1"/>
  <c r="AQ27" i="1"/>
  <c r="AQ27" i="19" s="1"/>
  <c r="AS27" i="1"/>
  <c r="AS27" i="19" s="1"/>
  <c r="AU27" i="1"/>
  <c r="AU27" i="19" s="1"/>
  <c r="BJ27" i="1"/>
  <c r="BF27" i="1"/>
  <c r="BG27" i="1"/>
  <c r="AR27" i="1"/>
  <c r="AR27" i="19" s="1"/>
  <c r="AT27" i="1"/>
  <c r="AT27" i="19" s="1"/>
  <c r="AU14" i="1"/>
  <c r="AU14" i="19" s="1"/>
  <c r="AU18" i="1"/>
  <c r="AU18" i="19" s="1"/>
  <c r="AU22" i="1"/>
  <c r="AU22" i="19" s="1"/>
  <c r="AU26" i="1"/>
  <c r="AU26" i="19" s="1"/>
  <c r="AU13" i="1"/>
  <c r="AU13" i="19" s="1"/>
  <c r="AU17" i="1"/>
  <c r="AU17" i="19" s="1"/>
  <c r="AU21" i="1"/>
  <c r="AU21" i="19" s="1"/>
  <c r="AU25" i="1"/>
  <c r="AU25" i="19" s="1"/>
  <c r="AU12" i="1"/>
  <c r="AU12" i="19" s="1"/>
  <c r="AU16" i="1"/>
  <c r="AU16" i="19" s="1"/>
  <c r="AU20" i="1"/>
  <c r="AU20" i="19" s="1"/>
  <c r="AU24" i="1"/>
  <c r="AU24" i="19" s="1"/>
  <c r="AU8" i="1"/>
  <c r="AU15" i="1"/>
  <c r="AU15" i="19" s="1"/>
  <c r="AU19" i="1"/>
  <c r="AU19" i="19" s="1"/>
  <c r="AU23" i="1"/>
  <c r="AU23" i="19" s="1"/>
  <c r="BA26" i="1"/>
  <c r="BJ26" i="1"/>
  <c r="BK26" i="1"/>
  <c r="BF26" i="1"/>
  <c r="BJ25" i="1"/>
  <c r="BK25" i="1"/>
  <c r="BG25" i="1"/>
  <c r="AQ25" i="1"/>
  <c r="AQ25" i="19" s="1"/>
  <c r="AS25" i="1"/>
  <c r="AS25" i="19" s="1"/>
  <c r="AQ26" i="1"/>
  <c r="AQ26" i="19" s="1"/>
  <c r="AS26" i="1"/>
  <c r="AS26" i="19" s="1"/>
  <c r="BG26" i="1"/>
  <c r="BE26" i="1"/>
  <c r="BA25" i="1"/>
  <c r="BF25" i="1"/>
  <c r="BE25" i="1"/>
  <c r="AR25" i="1"/>
  <c r="AR25" i="19" s="1"/>
  <c r="AT25" i="1"/>
  <c r="AT25" i="19" s="1"/>
  <c r="AR26" i="1"/>
  <c r="AR26" i="19" s="1"/>
  <c r="AT26" i="1"/>
  <c r="AT26" i="19" s="1"/>
  <c r="AC22" i="19"/>
  <c r="BA24" i="1"/>
  <c r="BJ24" i="1"/>
  <c r="BK24" i="1"/>
  <c r="BF24" i="1"/>
  <c r="AR24" i="1"/>
  <c r="AR24" i="19" s="1"/>
  <c r="AT24" i="1"/>
  <c r="AT24" i="19" s="1"/>
  <c r="BE24" i="1"/>
  <c r="BG24" i="1"/>
  <c r="AQ24" i="1"/>
  <c r="AQ24" i="19" s="1"/>
  <c r="AS24" i="1"/>
  <c r="AS24" i="19" s="1"/>
  <c r="BJ23" i="1"/>
  <c r="BF23" i="1"/>
  <c r="BG23" i="1"/>
  <c r="AR23" i="1"/>
  <c r="AR23" i="19" s="1"/>
  <c r="AT23" i="1"/>
  <c r="AT23" i="19" s="1"/>
  <c r="BA23" i="1"/>
  <c r="BK23" i="1"/>
  <c r="BE23" i="1"/>
  <c r="AQ23" i="1"/>
  <c r="AQ23" i="19" s="1"/>
  <c r="AS23" i="1"/>
  <c r="AS23" i="19" s="1"/>
  <c r="BG22" i="1"/>
  <c r="BE22" i="1"/>
  <c r="AR22" i="1"/>
  <c r="AR22" i="19" s="1"/>
  <c r="AT22" i="1"/>
  <c r="AT22" i="19" s="1"/>
  <c r="BA22" i="1"/>
  <c r="BJ22" i="1"/>
  <c r="BK22" i="1"/>
  <c r="BF22" i="1"/>
  <c r="AQ22" i="1"/>
  <c r="AQ22" i="19" s="1"/>
  <c r="AS22" i="1"/>
  <c r="AS22" i="19" s="1"/>
  <c r="AC14" i="19"/>
  <c r="BA21" i="1"/>
  <c r="BF21" i="1"/>
  <c r="BE21" i="1"/>
  <c r="AR21" i="1"/>
  <c r="AR21" i="19" s="1"/>
  <c r="AT21" i="1"/>
  <c r="AT21" i="19" s="1"/>
  <c r="BJ21" i="1"/>
  <c r="BK21" i="1"/>
  <c r="BG21" i="1"/>
  <c r="AQ21" i="1"/>
  <c r="AQ21" i="19" s="1"/>
  <c r="AS21" i="1"/>
  <c r="AS21" i="19" s="1"/>
  <c r="BA18" i="1"/>
  <c r="BJ18" i="1"/>
  <c r="BK18" i="1"/>
  <c r="BF18" i="1"/>
  <c r="BE20" i="1"/>
  <c r="BG20" i="1"/>
  <c r="BA19" i="1"/>
  <c r="BK19" i="1"/>
  <c r="BE19" i="1"/>
  <c r="AQ19" i="1"/>
  <c r="AQ19" i="19" s="1"/>
  <c r="AS19" i="1"/>
  <c r="AS19" i="19" s="1"/>
  <c r="AQ18" i="1"/>
  <c r="AQ18" i="19" s="1"/>
  <c r="AS18" i="1"/>
  <c r="AS18" i="19" s="1"/>
  <c r="AQ20" i="1"/>
  <c r="AQ20" i="19" s="1"/>
  <c r="AS20" i="1"/>
  <c r="AS20" i="19" s="1"/>
  <c r="BG18" i="1"/>
  <c r="BE18" i="1"/>
  <c r="BA20" i="1"/>
  <c r="BJ20" i="1"/>
  <c r="BK20" i="1"/>
  <c r="BF20" i="1"/>
  <c r="BJ19" i="1"/>
  <c r="BF19" i="1"/>
  <c r="BG19" i="1"/>
  <c r="AR19" i="1"/>
  <c r="AR19" i="19" s="1"/>
  <c r="AT19" i="1"/>
  <c r="AT19" i="19" s="1"/>
  <c r="AR18" i="1"/>
  <c r="AR18" i="19" s="1"/>
  <c r="AT18" i="1"/>
  <c r="AT18" i="19" s="1"/>
  <c r="AR20" i="1"/>
  <c r="AR20" i="19" s="1"/>
  <c r="AT20" i="1"/>
  <c r="AT20" i="19" s="1"/>
  <c r="AT7" i="19"/>
  <c r="AS7" i="19"/>
  <c r="AR13" i="1"/>
  <c r="AR13" i="19" s="1"/>
  <c r="AT13" i="1"/>
  <c r="AT13" i="19" s="1"/>
  <c r="AR15" i="1"/>
  <c r="AR15" i="19" s="1"/>
  <c r="AT15" i="1"/>
  <c r="AT15" i="19" s="1"/>
  <c r="AR17" i="1"/>
  <c r="AR17" i="19" s="1"/>
  <c r="AT17" i="1"/>
  <c r="AT17" i="19" s="1"/>
  <c r="AR9" i="1"/>
  <c r="AR9" i="19" s="1"/>
  <c r="AT9" i="1"/>
  <c r="AT9" i="19" s="1"/>
  <c r="AR11" i="1"/>
  <c r="AR11" i="19" s="1"/>
  <c r="AT11" i="1"/>
  <c r="AT11" i="19" s="1"/>
  <c r="AR12" i="1"/>
  <c r="AR12" i="19" s="1"/>
  <c r="AT12" i="1"/>
  <c r="AT12" i="19" s="1"/>
  <c r="AR14" i="1"/>
  <c r="AR14" i="19" s="1"/>
  <c r="AT14" i="1"/>
  <c r="AT14" i="19" s="1"/>
  <c r="AR16" i="1"/>
  <c r="AR16" i="19" s="1"/>
  <c r="AT16" i="1"/>
  <c r="AT16" i="19" s="1"/>
  <c r="AR8" i="1"/>
  <c r="AR8" i="19" s="1"/>
  <c r="AT8" i="1"/>
  <c r="AT8" i="19" s="1"/>
  <c r="AR10" i="1"/>
  <c r="AR10" i="19" s="1"/>
  <c r="AT10" i="1"/>
  <c r="AT10" i="19" s="1"/>
  <c r="AR7" i="19"/>
  <c r="AQ7" i="19"/>
  <c r="AQ13" i="1"/>
  <c r="AQ13" i="19" s="1"/>
  <c r="AS13" i="1"/>
  <c r="AS13" i="19" s="1"/>
  <c r="AQ15" i="1"/>
  <c r="AQ15" i="19" s="1"/>
  <c r="AS15" i="1"/>
  <c r="AS15" i="19" s="1"/>
  <c r="AQ17" i="1"/>
  <c r="AQ17" i="19" s="1"/>
  <c r="AS17" i="1"/>
  <c r="AS17" i="19" s="1"/>
  <c r="AQ9" i="1"/>
  <c r="AQ9" i="19" s="1"/>
  <c r="AS9" i="1"/>
  <c r="AS9" i="19" s="1"/>
  <c r="AQ11" i="1"/>
  <c r="AQ11" i="19" s="1"/>
  <c r="AS11" i="1"/>
  <c r="AS11" i="19" s="1"/>
  <c r="AQ12" i="1"/>
  <c r="AQ12" i="19" s="1"/>
  <c r="AS12" i="1"/>
  <c r="AS12" i="19" s="1"/>
  <c r="AQ14" i="1"/>
  <c r="AQ14" i="19" s="1"/>
  <c r="AS14" i="1"/>
  <c r="AS14" i="19" s="1"/>
  <c r="AQ16" i="1"/>
  <c r="AQ16" i="19" s="1"/>
  <c r="AS16" i="1"/>
  <c r="AS16" i="19" s="1"/>
  <c r="AQ8" i="1"/>
  <c r="AQ8" i="19" s="1"/>
  <c r="AS8" i="1"/>
  <c r="AS8" i="19" s="1"/>
  <c r="AQ10" i="1"/>
  <c r="AQ10" i="19" s="1"/>
  <c r="AS10" i="1"/>
  <c r="AS10" i="19" s="1"/>
  <c r="BJ17" i="1"/>
  <c r="BK17" i="1"/>
  <c r="BG17" i="1"/>
  <c r="BA17" i="1"/>
  <c r="BF17" i="1"/>
  <c r="BE17" i="1"/>
  <c r="BE12" i="1"/>
  <c r="BG10" i="1"/>
  <c r="BK13" i="1"/>
  <c r="BF9" i="1"/>
  <c r="BF11" i="1"/>
  <c r="BG12" i="1"/>
  <c r="BE10" i="1"/>
  <c r="BJ13" i="1"/>
  <c r="BG13" i="1"/>
  <c r="BA9" i="1"/>
  <c r="BE9" i="1"/>
  <c r="BJ11" i="1"/>
  <c r="BG11" i="1"/>
  <c r="BA14" i="1"/>
  <c r="BJ14" i="1"/>
  <c r="BK14" i="1"/>
  <c r="BF14" i="1"/>
  <c r="BE16" i="1"/>
  <c r="BG16" i="1"/>
  <c r="BA8" i="1"/>
  <c r="BJ8" i="1"/>
  <c r="BK8" i="1"/>
  <c r="BF8" i="1"/>
  <c r="BA15" i="1"/>
  <c r="BK15" i="1"/>
  <c r="BE15" i="1"/>
  <c r="BA12" i="1"/>
  <c r="BJ12" i="1"/>
  <c r="BK12" i="1"/>
  <c r="BF12" i="1"/>
  <c r="BG14" i="1"/>
  <c r="BE14" i="1"/>
  <c r="BA16" i="1"/>
  <c r="BJ16" i="1"/>
  <c r="BK16" i="1"/>
  <c r="BF16" i="1"/>
  <c r="BE8" i="1"/>
  <c r="BA10" i="1"/>
  <c r="BJ10" i="1"/>
  <c r="BK10" i="1"/>
  <c r="BF10" i="1"/>
  <c r="BA13" i="1"/>
  <c r="BF13" i="1"/>
  <c r="BE13" i="1"/>
  <c r="BJ15" i="1"/>
  <c r="BF15" i="1"/>
  <c r="BG15" i="1"/>
  <c r="BJ9" i="1"/>
  <c r="BK9" i="1"/>
  <c r="BG9" i="1"/>
  <c r="BA11" i="1"/>
  <c r="BK11" i="1"/>
  <c r="BE11" i="1"/>
  <c r="AP37" i="1"/>
  <c r="AP37" i="19"/>
  <c r="BD37" i="19"/>
  <c r="BI37" i="1"/>
  <c r="AO37" i="1"/>
  <c r="AO37" i="19" s="1"/>
  <c r="BL37" i="1"/>
  <c r="BH37" i="1"/>
  <c r="BN37" i="1"/>
  <c r="BN37" i="19" s="1"/>
  <c r="BM37" i="1"/>
  <c r="BD37" i="1"/>
  <c r="BI36" i="1"/>
  <c r="BD36" i="1"/>
  <c r="BD36" i="19"/>
  <c r="AZ36" i="1"/>
  <c r="AZ35" i="1"/>
  <c r="BB35" i="1"/>
  <c r="BB33" i="1"/>
  <c r="AZ34" i="1"/>
  <c r="AZ32" i="1"/>
  <c r="AZ33" i="1"/>
  <c r="AZ31" i="1"/>
  <c r="AZ28" i="1"/>
  <c r="AZ27" i="1"/>
  <c r="AZ20" i="1"/>
  <c r="AZ25" i="1"/>
  <c r="AZ18" i="1"/>
  <c r="AZ12" i="1"/>
  <c r="AZ19" i="1"/>
  <c r="AZ9" i="1"/>
  <c r="BC39" i="19"/>
  <c r="BB7" i="1"/>
  <c r="BA7" i="19"/>
  <c r="BB7" i="19" s="1"/>
  <c r="AZ10" i="1"/>
  <c r="AZ22" i="1"/>
  <c r="AZ11" i="1"/>
  <c r="AZ15" i="1"/>
  <c r="AZ23" i="1"/>
  <c r="AZ14" i="1"/>
  <c r="AZ13" i="1"/>
  <c r="AZ21" i="1"/>
  <c r="AZ16" i="1"/>
  <c r="AZ24" i="1"/>
  <c r="AZ30" i="1"/>
  <c r="AZ17" i="1"/>
  <c r="AZ26" i="1"/>
  <c r="AZ29" i="1"/>
  <c r="BD35" i="1"/>
  <c r="BI34" i="1"/>
  <c r="BN35" i="1"/>
  <c r="BN35" i="19" s="1"/>
  <c r="BD34" i="19"/>
  <c r="BD34" i="1"/>
  <c r="V35" i="1"/>
  <c r="BN34" i="1"/>
  <c r="BN34" i="19" s="1"/>
  <c r="BD35" i="19"/>
  <c r="BD33" i="1"/>
  <c r="BD33" i="19"/>
  <c r="BN33" i="1"/>
  <c r="BN33" i="19" s="1"/>
  <c r="BI33" i="1"/>
  <c r="BD31" i="1"/>
  <c r="BI30" i="1"/>
  <c r="BD31" i="19"/>
  <c r="BD32" i="1"/>
  <c r="BN31" i="1"/>
  <c r="BN31" i="19" s="1"/>
  <c r="BD32" i="19"/>
  <c r="BI32" i="1"/>
  <c r="BN30" i="1"/>
  <c r="BN32" i="1"/>
  <c r="BN32" i="19" s="1"/>
  <c r="BI31" i="1"/>
  <c r="BI29" i="1"/>
  <c r="BN29" i="1"/>
  <c r="BN28" i="1"/>
  <c r="BN27" i="1"/>
  <c r="BI25" i="1"/>
  <c r="AN26" i="19"/>
  <c r="BN25" i="1"/>
  <c r="BN26" i="1"/>
  <c r="BI26" i="1"/>
  <c r="BN24" i="1"/>
  <c r="BI23" i="1"/>
  <c r="BI22" i="1"/>
  <c r="BN22" i="1"/>
  <c r="BI21" i="1"/>
  <c r="BN21" i="1"/>
  <c r="BN20" i="1"/>
  <c r="BI19" i="1"/>
  <c r="BI17" i="1"/>
  <c r="BI18" i="1"/>
  <c r="BN18" i="1"/>
  <c r="BN17" i="1"/>
  <c r="BI16" i="1"/>
  <c r="BN16" i="1"/>
  <c r="BN15" i="1"/>
  <c r="BI14" i="1"/>
  <c r="BI15" i="1"/>
  <c r="BN14" i="1"/>
  <c r="BI13" i="1"/>
  <c r="BN13" i="1"/>
  <c r="BN12" i="1"/>
  <c r="BI12" i="1"/>
  <c r="BN11" i="1"/>
  <c r="BN11" i="19" s="1"/>
  <c r="BN10" i="1"/>
  <c r="BN9" i="1"/>
  <c r="BN8" i="1"/>
  <c r="BI11" i="1"/>
  <c r="BI10" i="1"/>
  <c r="BI9" i="1"/>
  <c r="BI8" i="1"/>
  <c r="BD23" i="1"/>
  <c r="BD22" i="1"/>
  <c r="BD24" i="1"/>
  <c r="L22" i="1"/>
  <c r="L22" i="19" s="1"/>
  <c r="S22" i="19" s="1"/>
  <c r="AL15" i="1"/>
  <c r="AN24" i="19"/>
  <c r="BD24" i="19" s="1"/>
  <c r="BD27" i="1"/>
  <c r="BD9" i="1"/>
  <c r="AO11" i="1"/>
  <c r="AP11" i="1" s="1"/>
  <c r="BD15" i="1"/>
  <c r="AN22" i="19"/>
  <c r="BD20" i="1"/>
  <c r="BD28" i="1"/>
  <c r="BD18" i="1"/>
  <c r="BD26" i="1"/>
  <c r="BD30" i="1"/>
  <c r="BD10" i="1"/>
  <c r="BD13" i="1"/>
  <c r="BD17" i="1"/>
  <c r="BD21" i="1"/>
  <c r="BD25" i="1"/>
  <c r="BD29" i="1"/>
  <c r="AH11" i="1"/>
  <c r="AH11" i="19" s="1"/>
  <c r="BN7" i="19"/>
  <c r="BD12" i="1"/>
  <c r="N22" i="1"/>
  <c r="N22" i="19" s="1"/>
  <c r="Q22" i="19" s="1"/>
  <c r="BD14" i="1"/>
  <c r="AN39" i="1"/>
  <c r="BD16" i="1"/>
  <c r="BD11" i="1"/>
  <c r="BD19" i="1"/>
  <c r="BD14" i="19"/>
  <c r="BD8" i="19"/>
  <c r="BD16" i="19"/>
  <c r="BD10" i="19"/>
  <c r="BD29" i="19"/>
  <c r="BD9" i="19"/>
  <c r="BD27" i="19"/>
  <c r="BD15" i="19"/>
  <c r="BD18" i="19"/>
  <c r="BD13" i="19"/>
  <c r="BD21" i="19"/>
  <c r="BD11" i="19"/>
  <c r="BD12" i="19"/>
  <c r="BD20" i="19"/>
  <c r="BD28" i="19"/>
  <c r="BD17" i="19"/>
  <c r="BD25" i="19"/>
  <c r="BD23" i="19"/>
  <c r="BD19" i="19"/>
  <c r="BD30" i="19"/>
  <c r="BD8" i="1"/>
  <c r="BC39" i="1"/>
  <c r="AO24" i="1"/>
  <c r="AP24" i="1" s="1"/>
  <c r="L30" i="1"/>
  <c r="L30" i="19" s="1"/>
  <c r="N20" i="1"/>
  <c r="N20" i="19" s="1"/>
  <c r="AL7" i="19"/>
  <c r="AA24" i="19"/>
  <c r="N30" i="1"/>
  <c r="N30" i="19" s="1"/>
  <c r="BL33" i="1"/>
  <c r="AY8" i="19"/>
  <c r="AY39" i="1"/>
  <c r="AZ39" i="1" s="1"/>
  <c r="V34" i="1"/>
  <c r="N24" i="1"/>
  <c r="N24" i="19" s="1"/>
  <c r="N32" i="1"/>
  <c r="N32" i="19" s="1"/>
  <c r="AH15" i="1"/>
  <c r="AH15" i="19" s="1"/>
  <c r="BH25" i="1"/>
  <c r="BL17" i="1"/>
  <c r="L26" i="1"/>
  <c r="L26" i="19" s="1"/>
  <c r="N15" i="1"/>
  <c r="Q15" i="1" s="1"/>
  <c r="BH30" i="1"/>
  <c r="L36" i="1"/>
  <c r="L36" i="19" s="1"/>
  <c r="BM21" i="1"/>
  <c r="X13" i="1"/>
  <c r="L18" i="1"/>
  <c r="L18" i="19" s="1"/>
  <c r="N28" i="1"/>
  <c r="N28" i="19" s="1"/>
  <c r="L34" i="1"/>
  <c r="L34" i="19" s="1"/>
  <c r="O36" i="1"/>
  <c r="O36" i="19" s="1"/>
  <c r="R36" i="19" s="1"/>
  <c r="BH28" i="1"/>
  <c r="AO35" i="1"/>
  <c r="BM19" i="1"/>
  <c r="BM22" i="1"/>
  <c r="AO20" i="1"/>
  <c r="AP20" i="1" s="1"/>
  <c r="BH21" i="1"/>
  <c r="N27" i="1"/>
  <c r="N27" i="19" s="1"/>
  <c r="M20" i="1"/>
  <c r="M20" i="19" s="1"/>
  <c r="AO25" i="1"/>
  <c r="AO25" i="19" s="1"/>
  <c r="AP25" i="19" s="1"/>
  <c r="BH33" i="1"/>
  <c r="AO19" i="1"/>
  <c r="BN19" i="19" s="1"/>
  <c r="AO30" i="1"/>
  <c r="AO30" i="19" s="1"/>
  <c r="AP30" i="19" s="1"/>
  <c r="BL13" i="1"/>
  <c r="BL25" i="1"/>
  <c r="BL28" i="1"/>
  <c r="BH14" i="1"/>
  <c r="AO34" i="1"/>
  <c r="AP34" i="1" s="1"/>
  <c r="BM23" i="1"/>
  <c r="AO16" i="1"/>
  <c r="AP16" i="1" s="1"/>
  <c r="AO31" i="1"/>
  <c r="AP31" i="1" s="1"/>
  <c r="BL18" i="1"/>
  <c r="BL16" i="1"/>
  <c r="BM16" i="1"/>
  <c r="BM32" i="1"/>
  <c r="BL29" i="1"/>
  <c r="N18" i="1"/>
  <c r="N18" i="19" s="1"/>
  <c r="N26" i="1"/>
  <c r="Q26" i="1" s="1"/>
  <c r="N34" i="1"/>
  <c r="N34" i="19" s="1"/>
  <c r="AO13" i="1"/>
  <c r="AP13" i="1" s="1"/>
  <c r="AO17" i="1"/>
  <c r="AP17" i="1" s="1"/>
  <c r="BH17" i="1"/>
  <c r="AO29" i="1"/>
  <c r="AO33" i="1"/>
  <c r="AP33" i="1" s="1"/>
  <c r="BH12" i="1"/>
  <c r="AO28" i="1"/>
  <c r="BH32" i="1"/>
  <c r="BH36" i="1"/>
  <c r="BH15" i="1"/>
  <c r="AO23" i="1"/>
  <c r="BN23" i="19" s="1"/>
  <c r="BH27" i="1"/>
  <c r="AO14" i="1"/>
  <c r="AP14" i="1" s="1"/>
  <c r="BH18" i="1"/>
  <c r="AO22" i="1"/>
  <c r="AP22" i="1" s="1"/>
  <c r="BH34" i="1"/>
  <c r="BL19" i="1"/>
  <c r="BL14" i="1"/>
  <c r="BL26" i="1"/>
  <c r="BL12" i="1"/>
  <c r="BM12" i="1"/>
  <c r="BL20" i="1"/>
  <c r="BM20" i="1"/>
  <c r="BL23" i="1"/>
  <c r="BL22" i="1"/>
  <c r="BL21" i="1"/>
  <c r="BL30" i="1"/>
  <c r="BM30" i="1"/>
  <c r="BL32" i="1"/>
  <c r="BL27" i="1"/>
  <c r="BL35" i="1"/>
  <c r="BM28" i="1"/>
  <c r="BL36" i="1"/>
  <c r="BM36" i="1"/>
  <c r="BH23" i="1"/>
  <c r="AO26" i="1"/>
  <c r="AO26" i="19" s="1"/>
  <c r="BM14" i="1"/>
  <c r="BM26" i="1"/>
  <c r="BM31" i="1"/>
  <c r="BH24" i="1"/>
  <c r="BH26" i="1"/>
  <c r="BL15" i="1"/>
  <c r="BL24" i="1"/>
  <c r="BM24" i="1"/>
  <c r="BM34" i="1"/>
  <c r="BL31" i="1"/>
  <c r="L14" i="1"/>
  <c r="L14" i="19" s="1"/>
  <c r="L23" i="1"/>
  <c r="L23" i="19" s="1"/>
  <c r="L31" i="1"/>
  <c r="L31" i="19" s="1"/>
  <c r="AI15" i="1"/>
  <c r="AI15" i="19" s="1"/>
  <c r="BL15" i="19" s="1"/>
  <c r="O34" i="1"/>
  <c r="O34" i="19" s="1"/>
  <c r="R34" i="19" s="1"/>
  <c r="BH13" i="1"/>
  <c r="AO21" i="1"/>
  <c r="BH29" i="1"/>
  <c r="AO12" i="1"/>
  <c r="BH16" i="1"/>
  <c r="BH20" i="1"/>
  <c r="AO32" i="1"/>
  <c r="AP32" i="1" s="1"/>
  <c r="AO36" i="1"/>
  <c r="AP36" i="1" s="1"/>
  <c r="AO15" i="1"/>
  <c r="BH19" i="1"/>
  <c r="AO27" i="1"/>
  <c r="BH31" i="1"/>
  <c r="BH35" i="1"/>
  <c r="AO18" i="1"/>
  <c r="AP18" i="1" s="1"/>
  <c r="BH22" i="1"/>
  <c r="BM15" i="1"/>
  <c r="BM18" i="1"/>
  <c r="BM17" i="1"/>
  <c r="BM13" i="1"/>
  <c r="BM25" i="1"/>
  <c r="BL34" i="1"/>
  <c r="BM33" i="1"/>
  <c r="BM27" i="1"/>
  <c r="BM35" i="1"/>
  <c r="BM29" i="1"/>
  <c r="BN36" i="19"/>
  <c r="BH11" i="1"/>
  <c r="L11" i="1"/>
  <c r="L11" i="19" s="1"/>
  <c r="BM11" i="1"/>
  <c r="G11" i="1"/>
  <c r="G11" i="19" s="1"/>
  <c r="N11" i="1"/>
  <c r="N11" i="19" s="1"/>
  <c r="BL11" i="1"/>
  <c r="F11" i="1"/>
  <c r="F11" i="19" s="1"/>
  <c r="D11" i="1"/>
  <c r="D11" i="19" s="1"/>
  <c r="BM9" i="1"/>
  <c r="BL8" i="1"/>
  <c r="BM8" i="1"/>
  <c r="BM47" i="19"/>
  <c r="BM46" i="19"/>
  <c r="T7" i="1"/>
  <c r="L17" i="19"/>
  <c r="AC24" i="19"/>
  <c r="C11" i="19"/>
  <c r="M11" i="19"/>
  <c r="N10" i="19"/>
  <c r="BL9" i="1"/>
  <c r="BL10" i="1"/>
  <c r="BM10" i="1"/>
  <c r="D8" i="9"/>
  <c r="AO8" i="1"/>
  <c r="BH8" i="1"/>
  <c r="D9" i="1"/>
  <c r="D9" i="19" s="1"/>
  <c r="V9" i="1"/>
  <c r="L9" i="1"/>
  <c r="S9" i="1" s="1"/>
  <c r="AH7" i="19"/>
  <c r="AM7" i="1"/>
  <c r="AO10" i="1"/>
  <c r="BH10" i="1"/>
  <c r="AO9" i="1"/>
  <c r="BH9" i="1"/>
  <c r="G9" i="1"/>
  <c r="J9" i="1" s="1"/>
  <c r="G10" i="1"/>
  <c r="G10" i="19" s="1"/>
  <c r="F9" i="1"/>
  <c r="N9" i="1"/>
  <c r="Q9" i="1" s="1"/>
  <c r="O7" i="19"/>
  <c r="L7" i="19"/>
  <c r="AG7" i="19"/>
  <c r="F7" i="19"/>
  <c r="O9" i="19"/>
  <c r="C10" i="19"/>
  <c r="G8" i="1"/>
  <c r="D10" i="1"/>
  <c r="D10" i="19" s="1"/>
  <c r="F8" i="1"/>
  <c r="F8" i="19" s="1"/>
  <c r="AL9" i="1"/>
  <c r="D8" i="1"/>
  <c r="D9" i="9"/>
  <c r="D7" i="9"/>
  <c r="Y9" i="1"/>
  <c r="O11" i="1"/>
  <c r="O11" i="19" s="1"/>
  <c r="M26" i="1"/>
  <c r="M26" i="19" s="1"/>
  <c r="L19" i="1"/>
  <c r="L19" i="19" s="1"/>
  <c r="N23" i="1"/>
  <c r="N23" i="19" s="1"/>
  <c r="L27" i="1"/>
  <c r="L27" i="19" s="1"/>
  <c r="N31" i="1"/>
  <c r="N31" i="19" s="1"/>
  <c r="N35" i="1"/>
  <c r="N35" i="19" s="1"/>
  <c r="AE9" i="1"/>
  <c r="AE9" i="19" s="1"/>
  <c r="AI9" i="1"/>
  <c r="AI9" i="19" s="1"/>
  <c r="V11" i="1"/>
  <c r="W11" i="1"/>
  <c r="Z11" i="1" s="1"/>
  <c r="AI11" i="1"/>
  <c r="AI11" i="19" s="1"/>
  <c r="O18" i="1"/>
  <c r="O18" i="19" s="1"/>
  <c r="M22" i="1"/>
  <c r="M22" i="19" s="1"/>
  <c r="P22" i="19" s="1"/>
  <c r="O30" i="1"/>
  <c r="O30" i="19" s="1"/>
  <c r="Y35" i="1"/>
  <c r="V33" i="1"/>
  <c r="X34" i="1"/>
  <c r="V15" i="1"/>
  <c r="Y15" i="1"/>
  <c r="AC15" i="1" s="1"/>
  <c r="M28" i="1"/>
  <c r="M28" i="19" s="1"/>
  <c r="O26" i="19"/>
  <c r="V37" i="1"/>
  <c r="L37" i="1"/>
  <c r="L37" i="19" s="1"/>
  <c r="AH9" i="1"/>
  <c r="AH9" i="19" s="1"/>
  <c r="W9" i="1"/>
  <c r="Z9" i="1" s="1"/>
  <c r="AG9" i="1"/>
  <c r="AG9" i="19" s="1"/>
  <c r="X11" i="1"/>
  <c r="AA11" i="1" s="1"/>
  <c r="AE11" i="1"/>
  <c r="AE11" i="19" s="1"/>
  <c r="Y11" i="1"/>
  <c r="AC11" i="1" s="1"/>
  <c r="AG11" i="1"/>
  <c r="AG11" i="19" s="1"/>
  <c r="AL11" i="1"/>
  <c r="V10" i="1"/>
  <c r="N17" i="1"/>
  <c r="N17" i="19" s="1"/>
  <c r="N21" i="1"/>
  <c r="N21" i="19" s="1"/>
  <c r="N25" i="1"/>
  <c r="N25" i="19" s="1"/>
  <c r="N29" i="1"/>
  <c r="N29" i="19" s="1"/>
  <c r="N33" i="1"/>
  <c r="N33" i="19" s="1"/>
  <c r="L10" i="1"/>
  <c r="L10" i="19" s="1"/>
  <c r="M15" i="1"/>
  <c r="M15" i="19" s="1"/>
  <c r="P15" i="19" s="1"/>
  <c r="M24" i="1"/>
  <c r="M24" i="19" s="1"/>
  <c r="M32" i="1"/>
  <c r="M32" i="19" s="1"/>
  <c r="Z7" i="1"/>
  <c r="O12" i="1"/>
  <c r="O12" i="19" s="1"/>
  <c r="R12" i="19" s="1"/>
  <c r="BL47" i="19"/>
  <c r="BL45" i="19" s="1"/>
  <c r="BK47" i="19"/>
  <c r="F10" i="1"/>
  <c r="F10" i="19" s="1"/>
  <c r="V32" i="1"/>
  <c r="V36" i="1"/>
  <c r="L15" i="1"/>
  <c r="L15" i="19" s="1"/>
  <c r="S15" i="19" s="1"/>
  <c r="L20" i="1"/>
  <c r="L20" i="19" s="1"/>
  <c r="L24" i="1"/>
  <c r="L24" i="19" s="1"/>
  <c r="L28" i="1"/>
  <c r="L28" i="19" s="1"/>
  <c r="L32" i="1"/>
  <c r="L32" i="19" s="1"/>
  <c r="N36" i="1"/>
  <c r="N36" i="19" s="1"/>
  <c r="X15" i="1"/>
  <c r="AA15" i="1" s="1"/>
  <c r="AE15" i="1"/>
  <c r="AE15" i="19" s="1"/>
  <c r="AG15" i="1"/>
  <c r="AG15" i="19" s="1"/>
  <c r="W15" i="1"/>
  <c r="Z15" i="1" s="1"/>
  <c r="X32" i="1"/>
  <c r="X36" i="1"/>
  <c r="O20" i="1"/>
  <c r="O20" i="19" s="1"/>
  <c r="R20" i="19" s="1"/>
  <c r="O24" i="1"/>
  <c r="O28" i="1"/>
  <c r="R28" i="1" s="1"/>
  <c r="O32" i="1"/>
  <c r="BJ47" i="19"/>
  <c r="Z25" i="19"/>
  <c r="AA35" i="19"/>
  <c r="AA31" i="19"/>
  <c r="AA25" i="19"/>
  <c r="AA7" i="19"/>
  <c r="Z7" i="19"/>
  <c r="C9" i="19"/>
  <c r="V12" i="1"/>
  <c r="M36" i="1"/>
  <c r="G12" i="1"/>
  <c r="G12" i="19" s="1"/>
  <c r="AA28" i="19"/>
  <c r="Z8" i="19"/>
  <c r="AC28" i="19"/>
  <c r="R15" i="19"/>
  <c r="AC12" i="19"/>
  <c r="AC16" i="19"/>
  <c r="AC20" i="19"/>
  <c r="AC35" i="19"/>
  <c r="AC31" i="19"/>
  <c r="AC27" i="19"/>
  <c r="AC25" i="19"/>
  <c r="Z16" i="19"/>
  <c r="AJ7" i="1"/>
  <c r="U7" i="1"/>
  <c r="R22" i="19"/>
  <c r="AC37" i="19"/>
  <c r="AC33" i="19"/>
  <c r="AC29" i="19"/>
  <c r="Y13" i="1"/>
  <c r="O16" i="1"/>
  <c r="R16" i="1" s="1"/>
  <c r="W16" i="1"/>
  <c r="AG13" i="1"/>
  <c r="AG13" i="19" s="1"/>
  <c r="M13" i="1"/>
  <c r="M13" i="19" s="1"/>
  <c r="E13" i="1"/>
  <c r="E13" i="19" s="1"/>
  <c r="X16" i="1"/>
  <c r="AA16" i="1" s="1"/>
  <c r="L35" i="1"/>
  <c r="L35" i="19" s="1"/>
  <c r="Z27" i="19"/>
  <c r="Z12" i="19"/>
  <c r="Z20" i="19"/>
  <c r="AA20" i="19"/>
  <c r="AA16" i="19"/>
  <c r="AA12" i="19"/>
  <c r="AA29" i="19"/>
  <c r="Z35" i="19"/>
  <c r="Z31" i="19"/>
  <c r="AA8" i="19"/>
  <c r="W39" i="19"/>
  <c r="AC8" i="19"/>
  <c r="AB8" i="19"/>
  <c r="Y39" i="19"/>
  <c r="X39" i="19"/>
  <c r="F13" i="1"/>
  <c r="F13" i="19" s="1"/>
  <c r="D13" i="1"/>
  <c r="D13" i="19" s="1"/>
  <c r="G16" i="1"/>
  <c r="G16" i="19" s="1"/>
  <c r="E16" i="1"/>
  <c r="E16" i="19" s="1"/>
  <c r="AL16" i="1"/>
  <c r="N16" i="1"/>
  <c r="N16" i="19" s="1"/>
  <c r="Y16" i="1"/>
  <c r="AE16" i="1"/>
  <c r="AE16" i="19" s="1"/>
  <c r="AI16" i="1"/>
  <c r="AI16" i="19" s="1"/>
  <c r="D16" i="1"/>
  <c r="D16" i="19" s="1"/>
  <c r="M16" i="1"/>
  <c r="V16" i="1"/>
  <c r="W12" i="1"/>
  <c r="E12" i="1"/>
  <c r="E12" i="19" s="1"/>
  <c r="AH12" i="1"/>
  <c r="AH12" i="19" s="1"/>
  <c r="X12" i="1"/>
  <c r="M12" i="1"/>
  <c r="M12" i="19" s="1"/>
  <c r="AL12" i="1"/>
  <c r="AG12" i="1"/>
  <c r="AG12" i="19" s="1"/>
  <c r="L12" i="1"/>
  <c r="AI13" i="1"/>
  <c r="AI13" i="19" s="1"/>
  <c r="V13" i="1"/>
  <c r="O13" i="1"/>
  <c r="S13" i="1" s="1"/>
  <c r="G13" i="1"/>
  <c r="G13" i="19" s="1"/>
  <c r="AH13" i="1"/>
  <c r="AH13" i="19" s="1"/>
  <c r="AE13" i="1"/>
  <c r="AE13" i="19" s="1"/>
  <c r="W13" i="1"/>
  <c r="Z13" i="1" s="1"/>
  <c r="N13" i="1"/>
  <c r="N13" i="19" s="1"/>
  <c r="AL13" i="1"/>
  <c r="AH16" i="1"/>
  <c r="AH16" i="19" s="1"/>
  <c r="AG16" i="1"/>
  <c r="AG16" i="19" s="1"/>
  <c r="L16" i="1"/>
  <c r="L16" i="19" s="1"/>
  <c r="R22" i="1"/>
  <c r="R26" i="1"/>
  <c r="D17" i="1"/>
  <c r="D17" i="19" s="1"/>
  <c r="F17" i="1"/>
  <c r="F17" i="19" s="1"/>
  <c r="E17" i="1"/>
  <c r="E17" i="19" s="1"/>
  <c r="G17" i="1"/>
  <c r="G17" i="19" s="1"/>
  <c r="O17" i="1"/>
  <c r="M17" i="1"/>
  <c r="D21" i="1"/>
  <c r="D21" i="19" s="1"/>
  <c r="F21" i="1"/>
  <c r="F21" i="19" s="1"/>
  <c r="E21" i="1"/>
  <c r="E21" i="19" s="1"/>
  <c r="G21" i="1"/>
  <c r="G21" i="19" s="1"/>
  <c r="O21" i="1"/>
  <c r="M21" i="1"/>
  <c r="D25" i="1"/>
  <c r="D25" i="19" s="1"/>
  <c r="F25" i="1"/>
  <c r="F25" i="19" s="1"/>
  <c r="E25" i="1"/>
  <c r="E25" i="19" s="1"/>
  <c r="G25" i="1"/>
  <c r="G25" i="19" s="1"/>
  <c r="O25" i="1"/>
  <c r="M25" i="1"/>
  <c r="D29" i="1"/>
  <c r="D29" i="19" s="1"/>
  <c r="F29" i="1"/>
  <c r="F29" i="19" s="1"/>
  <c r="E29" i="1"/>
  <c r="E29" i="19" s="1"/>
  <c r="G29" i="1"/>
  <c r="G29" i="19" s="1"/>
  <c r="O29" i="1"/>
  <c r="M29" i="1"/>
  <c r="D33" i="1"/>
  <c r="D33" i="19" s="1"/>
  <c r="F33" i="1"/>
  <c r="F33" i="19" s="1"/>
  <c r="E33" i="1"/>
  <c r="E33" i="19" s="1"/>
  <c r="G33" i="1"/>
  <c r="G33" i="19" s="1"/>
  <c r="X33" i="1"/>
  <c r="O33" i="1"/>
  <c r="M33" i="1"/>
  <c r="M33" i="19" s="1"/>
  <c r="D37" i="1"/>
  <c r="D37" i="19" s="1"/>
  <c r="F37" i="1"/>
  <c r="F37" i="19" s="1"/>
  <c r="X37" i="1"/>
  <c r="G37" i="1"/>
  <c r="G37" i="19" s="1"/>
  <c r="O37" i="1"/>
  <c r="W37" i="1"/>
  <c r="AI37" i="1"/>
  <c r="AI37" i="19" s="1"/>
  <c r="E37" i="1"/>
  <c r="E37" i="19" s="1"/>
  <c r="M37" i="1"/>
  <c r="M37" i="19" s="1"/>
  <c r="X17" i="1"/>
  <c r="AI17" i="1"/>
  <c r="AI17" i="19" s="1"/>
  <c r="W17" i="1"/>
  <c r="X19" i="1"/>
  <c r="AI19" i="1"/>
  <c r="AI19" i="19" s="1"/>
  <c r="W19" i="1"/>
  <c r="X21" i="1"/>
  <c r="AI21" i="1"/>
  <c r="AI21" i="19" s="1"/>
  <c r="W21" i="1"/>
  <c r="X23" i="1"/>
  <c r="AI23" i="1"/>
  <c r="AI23" i="19" s="1"/>
  <c r="W23" i="1"/>
  <c r="X25" i="1"/>
  <c r="AI25" i="1"/>
  <c r="AI25" i="19" s="1"/>
  <c r="W25" i="1"/>
  <c r="X27" i="1"/>
  <c r="AI27" i="1"/>
  <c r="AI27" i="19" s="1"/>
  <c r="W27" i="1"/>
  <c r="X29" i="1"/>
  <c r="AI29" i="1"/>
  <c r="AI29" i="19" s="1"/>
  <c r="W29" i="1"/>
  <c r="V31" i="1"/>
  <c r="AG31" i="1"/>
  <c r="AG31" i="19" s="1"/>
  <c r="Y31" i="1"/>
  <c r="AE31" i="1"/>
  <c r="AE31" i="19" s="1"/>
  <c r="AH31" i="1"/>
  <c r="AH31" i="19" s="1"/>
  <c r="AL31" i="1"/>
  <c r="AG33" i="1"/>
  <c r="AG33" i="19" s="1"/>
  <c r="Y33" i="1"/>
  <c r="AE33" i="1"/>
  <c r="AE33" i="19" s="1"/>
  <c r="AH33" i="1"/>
  <c r="AH33" i="19" s="1"/>
  <c r="AL33" i="1"/>
  <c r="AG35" i="1"/>
  <c r="AG35" i="19" s="1"/>
  <c r="AE35" i="1"/>
  <c r="AE35" i="19" s="1"/>
  <c r="AH35" i="1"/>
  <c r="AH35" i="19" s="1"/>
  <c r="AL35" i="1"/>
  <c r="AL35" i="19" s="1"/>
  <c r="AG37" i="1"/>
  <c r="AG37" i="19" s="1"/>
  <c r="Y37" i="1"/>
  <c r="AE37" i="1"/>
  <c r="AE37" i="19" s="1"/>
  <c r="R15" i="1"/>
  <c r="E14" i="1"/>
  <c r="E14" i="19" s="1"/>
  <c r="G14" i="1"/>
  <c r="G14" i="19" s="1"/>
  <c r="D14" i="1"/>
  <c r="F14" i="1"/>
  <c r="F14" i="19" s="1"/>
  <c r="AE14" i="1"/>
  <c r="AE14" i="19" s="1"/>
  <c r="Y14" i="1"/>
  <c r="AG14" i="1"/>
  <c r="AG14" i="19" s="1"/>
  <c r="X14" i="1"/>
  <c r="AA14" i="1" s="1"/>
  <c r="O14" i="1"/>
  <c r="AL14" i="1"/>
  <c r="AH14" i="1"/>
  <c r="AH14" i="19" s="1"/>
  <c r="W14" i="1"/>
  <c r="AI14" i="1"/>
  <c r="AI14" i="19" s="1"/>
  <c r="V14" i="1"/>
  <c r="M14" i="1"/>
  <c r="M14" i="19" s="1"/>
  <c r="D19" i="1"/>
  <c r="D19" i="19" s="1"/>
  <c r="F19" i="1"/>
  <c r="F19" i="19" s="1"/>
  <c r="E19" i="1"/>
  <c r="E19" i="19" s="1"/>
  <c r="G19" i="1"/>
  <c r="G19" i="19" s="1"/>
  <c r="O19" i="1"/>
  <c r="M19" i="1"/>
  <c r="M19" i="19" s="1"/>
  <c r="D23" i="1"/>
  <c r="D23" i="19" s="1"/>
  <c r="F23" i="1"/>
  <c r="F23" i="19" s="1"/>
  <c r="E23" i="1"/>
  <c r="E23" i="19" s="1"/>
  <c r="G23" i="1"/>
  <c r="G23" i="19" s="1"/>
  <c r="O23" i="1"/>
  <c r="M23" i="1"/>
  <c r="M23" i="19" s="1"/>
  <c r="D27" i="1"/>
  <c r="D27" i="19" s="1"/>
  <c r="F27" i="1"/>
  <c r="F27" i="19" s="1"/>
  <c r="E27" i="1"/>
  <c r="E27" i="19" s="1"/>
  <c r="G27" i="1"/>
  <c r="G27" i="19" s="1"/>
  <c r="O27" i="1"/>
  <c r="M27" i="1"/>
  <c r="M27" i="19" s="1"/>
  <c r="D31" i="1"/>
  <c r="D31" i="19" s="1"/>
  <c r="F31" i="1"/>
  <c r="F31" i="19" s="1"/>
  <c r="E31" i="1"/>
  <c r="E31" i="19" s="1"/>
  <c r="G31" i="1"/>
  <c r="G31" i="19" s="1"/>
  <c r="O31" i="1"/>
  <c r="X31" i="1"/>
  <c r="AA31" i="1" s="1"/>
  <c r="M31" i="1"/>
  <c r="M31" i="19" s="1"/>
  <c r="D35" i="1"/>
  <c r="D35" i="19" s="1"/>
  <c r="F35" i="1"/>
  <c r="F35" i="19" s="1"/>
  <c r="E35" i="1"/>
  <c r="E35" i="19" s="1"/>
  <c r="G35" i="1"/>
  <c r="G35" i="19" s="1"/>
  <c r="O35" i="1"/>
  <c r="X35" i="1"/>
  <c r="AA35" i="1" s="1"/>
  <c r="M35" i="1"/>
  <c r="M35" i="19" s="1"/>
  <c r="V17" i="1"/>
  <c r="AG17" i="1"/>
  <c r="AG17" i="19" s="1"/>
  <c r="Y17" i="1"/>
  <c r="AE17" i="1"/>
  <c r="AE17" i="19" s="1"/>
  <c r="AH17" i="1"/>
  <c r="AH17" i="19" s="1"/>
  <c r="AL17" i="1"/>
  <c r="V19" i="1"/>
  <c r="AG19" i="1"/>
  <c r="AG19" i="19" s="1"/>
  <c r="Y19" i="1"/>
  <c r="AE19" i="1"/>
  <c r="AE19" i="19" s="1"/>
  <c r="AH19" i="1"/>
  <c r="AH19" i="19" s="1"/>
  <c r="AL19" i="1"/>
  <c r="V21" i="1"/>
  <c r="AG21" i="1"/>
  <c r="AG21" i="19" s="1"/>
  <c r="Y21" i="1"/>
  <c r="AE21" i="1"/>
  <c r="AE21" i="19" s="1"/>
  <c r="AH21" i="1"/>
  <c r="AH21" i="19" s="1"/>
  <c r="AL21" i="1"/>
  <c r="V23" i="1"/>
  <c r="AG23" i="1"/>
  <c r="AG23" i="19" s="1"/>
  <c r="Y23" i="1"/>
  <c r="AE23" i="1"/>
  <c r="AE23" i="19" s="1"/>
  <c r="AH23" i="1"/>
  <c r="AH23" i="19" s="1"/>
  <c r="AL23" i="1"/>
  <c r="V25" i="1"/>
  <c r="AG25" i="1"/>
  <c r="AG25" i="19" s="1"/>
  <c r="Y25" i="1"/>
  <c r="AE25" i="1"/>
  <c r="AE25" i="19" s="1"/>
  <c r="AH25" i="1"/>
  <c r="AH25" i="19" s="1"/>
  <c r="AL25" i="1"/>
  <c r="V27" i="1"/>
  <c r="AG27" i="1"/>
  <c r="AG27" i="19" s="1"/>
  <c r="Y27" i="1"/>
  <c r="AE27" i="1"/>
  <c r="AE27" i="19" s="1"/>
  <c r="AH27" i="1"/>
  <c r="AH27" i="19" s="1"/>
  <c r="AL27" i="1"/>
  <c r="V29" i="1"/>
  <c r="AG29" i="1"/>
  <c r="AG29" i="19" s="1"/>
  <c r="Y29" i="1"/>
  <c r="AE29" i="1"/>
  <c r="AE29" i="19" s="1"/>
  <c r="AH29" i="1"/>
  <c r="AH29" i="19" s="1"/>
  <c r="AL29" i="1"/>
  <c r="AI31" i="1"/>
  <c r="AI31" i="19" s="1"/>
  <c r="W31" i="1"/>
  <c r="Z31" i="1" s="1"/>
  <c r="AI33" i="1"/>
  <c r="AI33" i="19" s="1"/>
  <c r="W33" i="1"/>
  <c r="Z33" i="1" s="1"/>
  <c r="AI35" i="1"/>
  <c r="AI35" i="19" s="1"/>
  <c r="W35" i="1"/>
  <c r="Z35" i="1" s="1"/>
  <c r="AH37" i="1"/>
  <c r="AH37" i="19" s="1"/>
  <c r="AL37" i="1"/>
  <c r="AL37" i="19" s="1"/>
  <c r="D18" i="1"/>
  <c r="D18" i="19" s="1"/>
  <c r="F18" i="1"/>
  <c r="F18" i="19" s="1"/>
  <c r="E18" i="1"/>
  <c r="E18" i="19" s="1"/>
  <c r="G18" i="1"/>
  <c r="G18" i="19" s="1"/>
  <c r="D22" i="1"/>
  <c r="D22" i="19" s="1"/>
  <c r="F22" i="1"/>
  <c r="F22" i="19" s="1"/>
  <c r="E22" i="1"/>
  <c r="E22" i="19" s="1"/>
  <c r="G22" i="1"/>
  <c r="G22" i="19" s="1"/>
  <c r="D26" i="1"/>
  <c r="D26" i="19" s="1"/>
  <c r="F26" i="1"/>
  <c r="F26" i="19" s="1"/>
  <c r="E26" i="1"/>
  <c r="E26" i="19" s="1"/>
  <c r="G26" i="1"/>
  <c r="G26" i="19" s="1"/>
  <c r="D30" i="1"/>
  <c r="D30" i="19" s="1"/>
  <c r="F30" i="1"/>
  <c r="F30" i="19" s="1"/>
  <c r="E30" i="1"/>
  <c r="E30" i="19" s="1"/>
  <c r="G30" i="1"/>
  <c r="G30" i="19" s="1"/>
  <c r="D34" i="1"/>
  <c r="D34" i="19" s="1"/>
  <c r="F34" i="1"/>
  <c r="F34" i="19" s="1"/>
  <c r="E34" i="1"/>
  <c r="E34" i="19" s="1"/>
  <c r="G34" i="1"/>
  <c r="G34" i="19" s="1"/>
  <c r="V18" i="1"/>
  <c r="AI18" i="1"/>
  <c r="AI18" i="19" s="1"/>
  <c r="W18" i="1"/>
  <c r="AH18" i="1"/>
  <c r="AH18" i="19" s="1"/>
  <c r="AL18" i="1"/>
  <c r="X20" i="1"/>
  <c r="AE20" i="1"/>
  <c r="AE20" i="19" s="1"/>
  <c r="AG20" i="1"/>
  <c r="AG20" i="19" s="1"/>
  <c r="Y20" i="1"/>
  <c r="V22" i="1"/>
  <c r="AI22" i="1"/>
  <c r="AI22" i="19" s="1"/>
  <c r="W22" i="1"/>
  <c r="AH22" i="1"/>
  <c r="AH22" i="19" s="1"/>
  <c r="AL22" i="1"/>
  <c r="X24" i="1"/>
  <c r="AE24" i="1"/>
  <c r="AE24" i="19" s="1"/>
  <c r="AG24" i="1"/>
  <c r="AG24" i="19" s="1"/>
  <c r="Y24" i="1"/>
  <c r="V26" i="1"/>
  <c r="AI26" i="1"/>
  <c r="AI26" i="19" s="1"/>
  <c r="W26" i="1"/>
  <c r="AH26" i="1"/>
  <c r="AH26" i="19" s="1"/>
  <c r="AL26" i="1"/>
  <c r="X28" i="1"/>
  <c r="AE28" i="1"/>
  <c r="AE28" i="19" s="1"/>
  <c r="AG28" i="1"/>
  <c r="AG28" i="19" s="1"/>
  <c r="Y28" i="1"/>
  <c r="V30" i="1"/>
  <c r="AI30" i="1"/>
  <c r="AI30" i="19" s="1"/>
  <c r="W30" i="1"/>
  <c r="AH30" i="1"/>
  <c r="AH30" i="19" s="1"/>
  <c r="AL30" i="1"/>
  <c r="AE32" i="1"/>
  <c r="AE32" i="19" s="1"/>
  <c r="AG32" i="1"/>
  <c r="AG32" i="19" s="1"/>
  <c r="Y32" i="1"/>
  <c r="AI34" i="1"/>
  <c r="AI34" i="19" s="1"/>
  <c r="W34" i="1"/>
  <c r="AH34" i="1"/>
  <c r="AH34" i="19" s="1"/>
  <c r="AL34" i="1"/>
  <c r="AL34" i="19" s="1"/>
  <c r="AE36" i="1"/>
  <c r="AE36" i="19" s="1"/>
  <c r="AG36" i="1"/>
  <c r="AG36" i="19" s="1"/>
  <c r="Y36" i="1"/>
  <c r="E15" i="1"/>
  <c r="E15" i="19" s="1"/>
  <c r="G15" i="1"/>
  <c r="G15" i="19" s="1"/>
  <c r="D15" i="1"/>
  <c r="D15" i="19" s="1"/>
  <c r="F15" i="1"/>
  <c r="F15" i="19" s="1"/>
  <c r="D20" i="1"/>
  <c r="D20" i="19" s="1"/>
  <c r="F20" i="1"/>
  <c r="F20" i="19" s="1"/>
  <c r="E20" i="1"/>
  <c r="E20" i="19" s="1"/>
  <c r="G20" i="1"/>
  <c r="G20" i="19" s="1"/>
  <c r="D24" i="1"/>
  <c r="D24" i="19" s="1"/>
  <c r="F24" i="1"/>
  <c r="F24" i="19" s="1"/>
  <c r="E24" i="1"/>
  <c r="E24" i="19" s="1"/>
  <c r="G24" i="1"/>
  <c r="G24" i="19" s="1"/>
  <c r="D28" i="1"/>
  <c r="D28" i="19" s="1"/>
  <c r="F28" i="1"/>
  <c r="F28" i="19" s="1"/>
  <c r="E28" i="1"/>
  <c r="E28" i="19" s="1"/>
  <c r="G28" i="1"/>
  <c r="G28" i="19" s="1"/>
  <c r="D32" i="1"/>
  <c r="D32" i="19" s="1"/>
  <c r="F32" i="1"/>
  <c r="F32" i="19" s="1"/>
  <c r="E32" i="1"/>
  <c r="E32" i="19" s="1"/>
  <c r="G32" i="1"/>
  <c r="G32" i="19" s="1"/>
  <c r="D36" i="1"/>
  <c r="D36" i="19" s="1"/>
  <c r="F36" i="1"/>
  <c r="F36" i="19" s="1"/>
  <c r="E36" i="1"/>
  <c r="E36" i="19" s="1"/>
  <c r="G36" i="1"/>
  <c r="G36" i="19" s="1"/>
  <c r="X18" i="1"/>
  <c r="AE18" i="1"/>
  <c r="AE18" i="19" s="1"/>
  <c r="AG18" i="1"/>
  <c r="AG18" i="19" s="1"/>
  <c r="Y18" i="1"/>
  <c r="V20" i="1"/>
  <c r="AI20" i="1"/>
  <c r="AI20" i="19" s="1"/>
  <c r="W20" i="1"/>
  <c r="AH20" i="1"/>
  <c r="AH20" i="19" s="1"/>
  <c r="AL20" i="1"/>
  <c r="X22" i="1"/>
  <c r="AE22" i="1"/>
  <c r="AE22" i="19" s="1"/>
  <c r="AG22" i="1"/>
  <c r="AG22" i="19" s="1"/>
  <c r="Y22" i="1"/>
  <c r="V24" i="1"/>
  <c r="AI24" i="1"/>
  <c r="AI24" i="19" s="1"/>
  <c r="W24" i="1"/>
  <c r="Z24" i="1" s="1"/>
  <c r="AH24" i="1"/>
  <c r="AH24" i="19" s="1"/>
  <c r="AL24" i="1"/>
  <c r="X26" i="1"/>
  <c r="AE26" i="1"/>
  <c r="AE26" i="19" s="1"/>
  <c r="AG26" i="1"/>
  <c r="AG26" i="19" s="1"/>
  <c r="Y26" i="1"/>
  <c r="V28" i="1"/>
  <c r="AI28" i="1"/>
  <c r="AI28" i="19" s="1"/>
  <c r="W28" i="1"/>
  <c r="AH28" i="1"/>
  <c r="AH28" i="19" s="1"/>
  <c r="AL28" i="1"/>
  <c r="X30" i="1"/>
  <c r="AE30" i="1"/>
  <c r="AE30" i="19" s="1"/>
  <c r="AG30" i="1"/>
  <c r="AG30" i="19" s="1"/>
  <c r="Y30" i="1"/>
  <c r="AI32" i="1"/>
  <c r="AI32" i="19" s="1"/>
  <c r="W32" i="1"/>
  <c r="Z32" i="1" s="1"/>
  <c r="AH32" i="1"/>
  <c r="AH32" i="19" s="1"/>
  <c r="AL32" i="1"/>
  <c r="AE34" i="1"/>
  <c r="AE34" i="19" s="1"/>
  <c r="AG34" i="1"/>
  <c r="AG34" i="19" s="1"/>
  <c r="Y34" i="1"/>
  <c r="AI36" i="1"/>
  <c r="AI36" i="19" s="1"/>
  <c r="W36" i="1"/>
  <c r="Z36" i="1" s="1"/>
  <c r="AH36" i="1"/>
  <c r="AH36" i="19" s="1"/>
  <c r="AL36" i="1"/>
  <c r="AA7" i="1"/>
  <c r="S7" i="1"/>
  <c r="L8" i="1"/>
  <c r="M9" i="1"/>
  <c r="P9" i="1" s="1"/>
  <c r="AI12" i="1"/>
  <c r="AI12" i="19" s="1"/>
  <c r="AE12" i="1"/>
  <c r="AE12" i="19" s="1"/>
  <c r="Y12" i="1"/>
  <c r="N12" i="1"/>
  <c r="N12" i="19" s="1"/>
  <c r="D12" i="1"/>
  <c r="D12" i="19" s="1"/>
  <c r="V8" i="1"/>
  <c r="N8" i="1"/>
  <c r="N8" i="19" s="1"/>
  <c r="O144" i="9"/>
  <c r="O130" i="9"/>
  <c r="O182" i="9"/>
  <c r="O192" i="9"/>
  <c r="O194" i="9"/>
  <c r="G212" i="9"/>
  <c r="J212" i="9" s="1"/>
  <c r="E212" i="9"/>
  <c r="F212" i="9" s="1"/>
  <c r="I212" i="9" s="1"/>
  <c r="O152" i="9"/>
  <c r="O139" i="9"/>
  <c r="E155" i="9"/>
  <c r="F155" i="9" s="1"/>
  <c r="I155" i="9" s="1"/>
  <c r="G155" i="9"/>
  <c r="J155" i="9" s="1"/>
  <c r="C77" i="9"/>
  <c r="C81" i="9"/>
  <c r="C85" i="9"/>
  <c r="C89" i="9"/>
  <c r="C93" i="9"/>
  <c r="E10" i="1"/>
  <c r="E10" i="19" s="1"/>
  <c r="C70" i="9"/>
  <c r="C75" i="9"/>
  <c r="C80" i="9"/>
  <c r="C84" i="9"/>
  <c r="C88" i="9"/>
  <c r="C92" i="9"/>
  <c r="C96" i="9"/>
  <c r="X10" i="1"/>
  <c r="O8" i="1"/>
  <c r="O10" i="1"/>
  <c r="O10" i="19" s="1"/>
  <c r="AE8" i="1"/>
  <c r="AI8" i="1"/>
  <c r="W8" i="1"/>
  <c r="AH8" i="1"/>
  <c r="AG10" i="1"/>
  <c r="AG10" i="19" s="1"/>
  <c r="Y10" i="1"/>
  <c r="AE10" i="1"/>
  <c r="AE10" i="19" s="1"/>
  <c r="AH10" i="1"/>
  <c r="AH10" i="19" s="1"/>
  <c r="AL10" i="1"/>
  <c r="C74" i="9"/>
  <c r="C79" i="9"/>
  <c r="C83" i="9"/>
  <c r="C87" i="9"/>
  <c r="C91" i="9"/>
  <c r="C95" i="9"/>
  <c r="E8" i="1"/>
  <c r="C68" i="9"/>
  <c r="E11" i="1"/>
  <c r="E11" i="19" s="1"/>
  <c r="C71" i="9"/>
  <c r="C78" i="9"/>
  <c r="C82" i="9"/>
  <c r="C86" i="9"/>
  <c r="C90" i="9"/>
  <c r="C94" i="9"/>
  <c r="E9" i="1"/>
  <c r="E9" i="19" s="1"/>
  <c r="C69" i="9"/>
  <c r="X8" i="1"/>
  <c r="R9" i="1"/>
  <c r="M8" i="1"/>
  <c r="M8" i="19" s="1"/>
  <c r="M10" i="1"/>
  <c r="M10" i="19" s="1"/>
  <c r="AG8" i="1"/>
  <c r="Y8" i="1"/>
  <c r="AL8" i="1"/>
  <c r="AI10" i="1"/>
  <c r="AI10" i="19" s="1"/>
  <c r="W10" i="1"/>
  <c r="X9" i="1"/>
  <c r="AA9" i="1" s="1"/>
  <c r="AK7" i="1"/>
  <c r="K7" i="1"/>
  <c r="AB7" i="1" s="1"/>
  <c r="J7" i="1"/>
  <c r="AD7" i="1"/>
  <c r="AC7" i="1"/>
  <c r="P7" i="1"/>
  <c r="Q7" i="1"/>
  <c r="I7" i="1"/>
  <c r="C76" i="9"/>
  <c r="C73" i="9"/>
  <c r="C39" i="1"/>
  <c r="C72" i="9"/>
  <c r="H7" i="1"/>
  <c r="C7" i="9"/>
  <c r="C182" i="9"/>
  <c r="C125" i="9"/>
  <c r="E67" i="9"/>
  <c r="F67" i="9" s="1"/>
  <c r="I67" i="9" s="1"/>
  <c r="G67" i="9"/>
  <c r="J67" i="9" s="1"/>
  <c r="J99" i="9" s="1"/>
  <c r="K46" i="1"/>
  <c r="I46" i="1"/>
  <c r="H46" i="1"/>
  <c r="J46" i="1"/>
  <c r="AL58" i="1"/>
  <c r="M129" i="9"/>
  <c r="D10" i="9"/>
  <c r="M74" i="9"/>
  <c r="AU8" i="19" l="1"/>
  <c r="AU39" i="1"/>
  <c r="BF41" i="1"/>
  <c r="BF41" i="19" s="1"/>
  <c r="AR39" i="1"/>
  <c r="AR39" i="19"/>
  <c r="AQ39" i="1"/>
  <c r="AS39" i="1"/>
  <c r="AT39" i="1"/>
  <c r="AQ39" i="19"/>
  <c r="AS39" i="19"/>
  <c r="AT39" i="19"/>
  <c r="AD15" i="19"/>
  <c r="AD22" i="19"/>
  <c r="I12" i="19"/>
  <c r="BH41" i="1"/>
  <c r="BM41" i="1"/>
  <c r="BG41" i="1"/>
  <c r="BG41" i="19" s="1"/>
  <c r="BL41" i="1"/>
  <c r="BL41" i="19" s="1"/>
  <c r="BE41" i="1"/>
  <c r="BE41" i="19" s="1"/>
  <c r="BI41" i="1"/>
  <c r="BK41" i="1"/>
  <c r="BK41" i="19" s="1"/>
  <c r="BJ41" i="1"/>
  <c r="BJ41" i="19" s="1"/>
  <c r="BA37" i="19"/>
  <c r="BB37" i="19" s="1"/>
  <c r="BB37" i="1"/>
  <c r="B3" i="12"/>
  <c r="BA36" i="19"/>
  <c r="BB36" i="19" s="1"/>
  <c r="Q36" i="19"/>
  <c r="S36" i="19"/>
  <c r="BA35" i="19"/>
  <c r="BB35" i="19" s="1"/>
  <c r="BA33" i="19"/>
  <c r="BB33" i="19" s="1"/>
  <c r="BA34" i="19"/>
  <c r="BB34" i="19" s="1"/>
  <c r="BA32" i="19"/>
  <c r="BB32" i="19" s="1"/>
  <c r="BA31" i="19"/>
  <c r="BB31" i="19" s="1"/>
  <c r="BA15" i="19"/>
  <c r="BB15" i="19" s="1"/>
  <c r="BB15" i="1"/>
  <c r="BA14" i="19"/>
  <c r="BB14" i="19" s="1"/>
  <c r="BB14" i="1"/>
  <c r="BA29" i="19"/>
  <c r="BB29" i="19" s="1"/>
  <c r="BB29" i="1"/>
  <c r="AY39" i="19"/>
  <c r="AZ39" i="19" s="1"/>
  <c r="AZ8" i="19"/>
  <c r="BA26" i="19"/>
  <c r="BB26" i="19" s="1"/>
  <c r="BB26" i="1"/>
  <c r="BA16" i="19"/>
  <c r="BB16" i="19" s="1"/>
  <c r="BB16" i="1"/>
  <c r="BA23" i="19"/>
  <c r="BB23" i="19" s="1"/>
  <c r="BB23" i="1"/>
  <c r="BA17" i="19"/>
  <c r="BB17" i="19" s="1"/>
  <c r="BB17" i="1"/>
  <c r="BA18" i="19"/>
  <c r="BB18" i="19" s="1"/>
  <c r="BB18" i="1"/>
  <c r="BA27" i="19"/>
  <c r="BB27" i="19" s="1"/>
  <c r="BB27" i="1"/>
  <c r="BA28" i="19"/>
  <c r="BB28" i="19" s="1"/>
  <c r="BB28" i="1"/>
  <c r="BA10" i="19"/>
  <c r="BB10" i="19" s="1"/>
  <c r="BB10" i="1"/>
  <c r="BA9" i="19"/>
  <c r="BB9" i="19" s="1"/>
  <c r="BB9" i="1"/>
  <c r="BA8" i="19"/>
  <c r="BB8" i="19" s="1"/>
  <c r="BB8" i="1"/>
  <c r="BA11" i="19"/>
  <c r="BB11" i="19" s="1"/>
  <c r="BB11" i="1"/>
  <c r="BA22" i="19"/>
  <c r="BB22" i="19" s="1"/>
  <c r="BB22" i="1"/>
  <c r="BA20" i="19"/>
  <c r="BB20" i="19" s="1"/>
  <c r="BB20" i="1"/>
  <c r="BA12" i="19"/>
  <c r="BB12" i="19" s="1"/>
  <c r="BB12" i="1"/>
  <c r="BA13" i="19"/>
  <c r="BB13" i="19" s="1"/>
  <c r="BB13" i="1"/>
  <c r="BA24" i="19"/>
  <c r="BB24" i="19" s="1"/>
  <c r="BB24" i="1"/>
  <c r="BA25" i="19"/>
  <c r="BB25" i="19" s="1"/>
  <c r="BB25" i="1"/>
  <c r="BA21" i="19"/>
  <c r="BB21" i="19" s="1"/>
  <c r="BB21" i="1"/>
  <c r="BA19" i="19"/>
  <c r="BB19" i="19" s="1"/>
  <c r="BB19" i="1"/>
  <c r="BA30" i="19"/>
  <c r="BB30" i="19" s="1"/>
  <c r="R34" i="1"/>
  <c r="AO35" i="19"/>
  <c r="AP35" i="19" s="1"/>
  <c r="AP35" i="1"/>
  <c r="S32" i="1"/>
  <c r="P30" i="1"/>
  <c r="AP30" i="1"/>
  <c r="AP28" i="1"/>
  <c r="BN29" i="19"/>
  <c r="AP29" i="1"/>
  <c r="AP26" i="19"/>
  <c r="AP26" i="1"/>
  <c r="AP27" i="1"/>
  <c r="BD26" i="19"/>
  <c r="AP25" i="1"/>
  <c r="AP23" i="1"/>
  <c r="S18" i="19"/>
  <c r="AL15" i="19"/>
  <c r="AP21" i="1"/>
  <c r="AM15" i="1"/>
  <c r="BN20" i="19"/>
  <c r="Q20" i="19"/>
  <c r="AP19" i="1"/>
  <c r="BN18" i="19"/>
  <c r="AP15" i="1"/>
  <c r="N15" i="19"/>
  <c r="Q15" i="19" s="1"/>
  <c r="BN12" i="19"/>
  <c r="AP12" i="1"/>
  <c r="BN9" i="19"/>
  <c r="AP9" i="1"/>
  <c r="AP10" i="1"/>
  <c r="S22" i="1"/>
  <c r="Q22" i="1"/>
  <c r="BD22" i="19"/>
  <c r="BN27" i="19"/>
  <c r="BN22" i="19"/>
  <c r="AN39" i="19"/>
  <c r="BD39" i="19" s="1"/>
  <c r="BN16" i="19"/>
  <c r="Q17" i="1"/>
  <c r="AO24" i="19"/>
  <c r="AP24" i="19" s="1"/>
  <c r="BN24" i="19"/>
  <c r="BN21" i="19"/>
  <c r="BN25" i="19"/>
  <c r="BN10" i="19"/>
  <c r="BN26" i="19"/>
  <c r="BN28" i="19"/>
  <c r="BN15" i="19"/>
  <c r="BN13" i="19"/>
  <c r="BN30" i="19"/>
  <c r="BN14" i="19"/>
  <c r="AO19" i="19"/>
  <c r="AP19" i="19" s="1"/>
  <c r="AO20" i="19"/>
  <c r="AP20" i="19" s="1"/>
  <c r="BD39" i="1"/>
  <c r="BN17" i="19"/>
  <c r="BN8" i="19"/>
  <c r="AO8" i="19"/>
  <c r="AP8" i="19" s="1"/>
  <c r="AP8" i="1"/>
  <c r="S15" i="1"/>
  <c r="S20" i="1"/>
  <c r="Z16" i="1"/>
  <c r="Q21" i="1"/>
  <c r="Q20" i="1"/>
  <c r="S26" i="1"/>
  <c r="S30" i="19"/>
  <c r="S26" i="19"/>
  <c r="R18" i="19"/>
  <c r="P20" i="19"/>
  <c r="P22" i="1"/>
  <c r="P18" i="19"/>
  <c r="AJ15" i="19"/>
  <c r="S20" i="19"/>
  <c r="S11" i="19"/>
  <c r="AL14" i="19"/>
  <c r="AL24" i="19"/>
  <c r="AL18" i="19"/>
  <c r="AL11" i="19"/>
  <c r="AL28" i="19"/>
  <c r="AL22" i="19"/>
  <c r="AL27" i="19"/>
  <c r="AL23" i="19"/>
  <c r="AL13" i="19"/>
  <c r="AL16" i="19"/>
  <c r="AM7" i="19"/>
  <c r="R20" i="1"/>
  <c r="R18" i="1"/>
  <c r="AL20" i="19"/>
  <c r="AL25" i="19"/>
  <c r="AL21" i="19"/>
  <c r="AL17" i="19"/>
  <c r="AL10" i="19"/>
  <c r="AL26" i="19"/>
  <c r="AL12" i="19"/>
  <c r="AL9" i="19"/>
  <c r="S14" i="1"/>
  <c r="AL36" i="19"/>
  <c r="AL29" i="19"/>
  <c r="AL30" i="19"/>
  <c r="BM30" i="19" s="1"/>
  <c r="AL32" i="19"/>
  <c r="AL31" i="19"/>
  <c r="BA39" i="1"/>
  <c r="P34" i="1"/>
  <c r="R32" i="1"/>
  <c r="Q32" i="1"/>
  <c r="S34" i="1"/>
  <c r="Q18" i="19"/>
  <c r="P34" i="19"/>
  <c r="R11" i="19"/>
  <c r="Q24" i="1"/>
  <c r="P26" i="1"/>
  <c r="AD36" i="19"/>
  <c r="R36" i="1"/>
  <c r="S28" i="1"/>
  <c r="R30" i="1"/>
  <c r="S30" i="1"/>
  <c r="S36" i="1"/>
  <c r="S24" i="1"/>
  <c r="AA13" i="1"/>
  <c r="S34" i="19"/>
  <c r="Q34" i="19"/>
  <c r="AD34" i="19"/>
  <c r="AD30" i="19"/>
  <c r="AD26" i="19"/>
  <c r="AL19" i="19"/>
  <c r="AO12" i="19"/>
  <c r="AP12" i="19" s="1"/>
  <c r="AO22" i="19"/>
  <c r="AP22" i="19" s="1"/>
  <c r="AO17" i="19"/>
  <c r="AP17" i="19" s="1"/>
  <c r="AO14" i="19"/>
  <c r="AP14" i="19" s="1"/>
  <c r="AO29" i="19"/>
  <c r="AP29" i="19" s="1"/>
  <c r="AO10" i="19"/>
  <c r="AP10" i="19" s="1"/>
  <c r="AO27" i="19"/>
  <c r="AP27" i="19" s="1"/>
  <c r="AO15" i="19"/>
  <c r="AP15" i="19" s="1"/>
  <c r="AO23" i="19"/>
  <c r="AP23" i="19" s="1"/>
  <c r="AO28" i="19"/>
  <c r="AP28" i="19" s="1"/>
  <c r="AO33" i="19"/>
  <c r="AP33" i="19" s="1"/>
  <c r="AO16" i="19"/>
  <c r="AP16" i="19" s="1"/>
  <c r="AD12" i="1"/>
  <c r="AV12" i="1" s="1"/>
  <c r="AW12" i="1" s="1"/>
  <c r="N26" i="19"/>
  <c r="Q26" i="19" s="1"/>
  <c r="J12" i="1"/>
  <c r="R24" i="1"/>
  <c r="Q29" i="1"/>
  <c r="P18" i="1"/>
  <c r="Q28" i="1"/>
  <c r="P15" i="1"/>
  <c r="S18" i="1"/>
  <c r="AO32" i="19"/>
  <c r="AP32" i="19" s="1"/>
  <c r="AO31" i="19"/>
  <c r="AP31" i="19" s="1"/>
  <c r="AO9" i="19"/>
  <c r="AP9" i="19" s="1"/>
  <c r="AO11" i="19"/>
  <c r="AP11" i="19" s="1"/>
  <c r="AO18" i="19"/>
  <c r="AP18" i="19" s="1"/>
  <c r="AO36" i="19"/>
  <c r="AP36" i="19" s="1"/>
  <c r="AO21" i="19"/>
  <c r="AP21" i="19" s="1"/>
  <c r="AO13" i="19"/>
  <c r="AP13" i="19" s="1"/>
  <c r="AO34" i="19"/>
  <c r="AP34" i="19" s="1"/>
  <c r="AM12" i="1"/>
  <c r="Q25" i="1"/>
  <c r="I12" i="1"/>
  <c r="R12" i="1"/>
  <c r="AK12" i="1"/>
  <c r="AJ15" i="1"/>
  <c r="Q36" i="1"/>
  <c r="Q34" i="1"/>
  <c r="AJ11" i="1"/>
  <c r="Q11" i="19"/>
  <c r="AM11" i="1"/>
  <c r="AD11" i="19"/>
  <c r="I11" i="19"/>
  <c r="J11" i="1"/>
  <c r="Q11" i="1"/>
  <c r="K11" i="1"/>
  <c r="S11" i="1"/>
  <c r="U11" i="1"/>
  <c r="AJ11" i="19"/>
  <c r="R11" i="1"/>
  <c r="I11" i="1"/>
  <c r="AK11" i="1"/>
  <c r="T11" i="1"/>
  <c r="P11" i="1"/>
  <c r="BM45" i="19"/>
  <c r="AM9" i="1"/>
  <c r="R26" i="19"/>
  <c r="R30" i="19"/>
  <c r="AD12" i="19"/>
  <c r="AD18" i="19"/>
  <c r="P30" i="19"/>
  <c r="Q30" i="19"/>
  <c r="P26" i="19"/>
  <c r="AD20" i="19"/>
  <c r="E8" i="19"/>
  <c r="P11" i="19"/>
  <c r="R9" i="19"/>
  <c r="BL11" i="19"/>
  <c r="J10" i="1"/>
  <c r="AB11" i="1"/>
  <c r="AD11" i="1"/>
  <c r="AV11" i="1" s="1"/>
  <c r="AW11" i="1" s="1"/>
  <c r="I10" i="19"/>
  <c r="U10" i="19"/>
  <c r="S7" i="19"/>
  <c r="J10" i="19"/>
  <c r="G7" i="19"/>
  <c r="AL8" i="19"/>
  <c r="AD10" i="19"/>
  <c r="K10" i="19"/>
  <c r="AB10" i="19" s="1"/>
  <c r="T9" i="1"/>
  <c r="U9" i="1"/>
  <c r="AD9" i="1"/>
  <c r="AF9" i="1" s="1"/>
  <c r="R7" i="19"/>
  <c r="K9" i="1"/>
  <c r="G8" i="19"/>
  <c r="L9" i="19"/>
  <c r="S9" i="19" s="1"/>
  <c r="I10" i="1"/>
  <c r="N7" i="19"/>
  <c r="Q7" i="19" s="1"/>
  <c r="AB9" i="1"/>
  <c r="AC9" i="1"/>
  <c r="U10" i="1"/>
  <c r="N9" i="19"/>
  <c r="Q9" i="19" s="1"/>
  <c r="F9" i="19"/>
  <c r="G9" i="19"/>
  <c r="J8" i="1"/>
  <c r="AG8" i="19"/>
  <c r="AG39" i="19" s="1"/>
  <c r="I9" i="1"/>
  <c r="D8" i="19"/>
  <c r="E7" i="19"/>
  <c r="AI7" i="19"/>
  <c r="AE7" i="19"/>
  <c r="D7" i="19"/>
  <c r="AE8" i="19"/>
  <c r="AI8" i="19"/>
  <c r="M7" i="19"/>
  <c r="P7" i="19" s="1"/>
  <c r="AK9" i="1"/>
  <c r="AD8" i="1"/>
  <c r="K10" i="1"/>
  <c r="I8" i="1"/>
  <c r="BL9" i="19"/>
  <c r="AJ9" i="1"/>
  <c r="K8" i="1"/>
  <c r="Q30" i="1"/>
  <c r="Q18" i="1"/>
  <c r="T10" i="1"/>
  <c r="T8" i="1"/>
  <c r="D1" i="19"/>
  <c r="AN46" i="19" s="1"/>
  <c r="AI39" i="1"/>
  <c r="K212" i="9"/>
  <c r="AG39" i="1"/>
  <c r="C39" i="19"/>
  <c r="Z28" i="1"/>
  <c r="Z20" i="1"/>
  <c r="AJ9" i="19"/>
  <c r="P20" i="1"/>
  <c r="F39" i="1"/>
  <c r="G39" i="1"/>
  <c r="E39" i="1"/>
  <c r="O39" i="1"/>
  <c r="N39" i="1"/>
  <c r="AH39" i="1"/>
  <c r="Y39" i="1"/>
  <c r="W39" i="1"/>
  <c r="BJ45" i="19"/>
  <c r="O32" i="19"/>
  <c r="T32" i="19" s="1"/>
  <c r="P32" i="1"/>
  <c r="O24" i="19"/>
  <c r="AD24" i="19" s="1"/>
  <c r="P24" i="1"/>
  <c r="BK45" i="19"/>
  <c r="O28" i="19"/>
  <c r="T28" i="19" s="1"/>
  <c r="P28" i="1"/>
  <c r="J12" i="19"/>
  <c r="AH8" i="19"/>
  <c r="AH39" i="19" s="1"/>
  <c r="O33" i="19"/>
  <c r="Q33" i="19" s="1"/>
  <c r="M29" i="19"/>
  <c r="M25" i="19"/>
  <c r="M21" i="19"/>
  <c r="M17" i="19"/>
  <c r="L12" i="19"/>
  <c r="S12" i="19" s="1"/>
  <c r="M16" i="19"/>
  <c r="O16" i="19"/>
  <c r="AD16" i="19" s="1"/>
  <c r="T12" i="1"/>
  <c r="O8" i="19"/>
  <c r="Q8" i="19" s="1"/>
  <c r="M9" i="19"/>
  <c r="P9" i="19" s="1"/>
  <c r="L8" i="19"/>
  <c r="O31" i="19"/>
  <c r="AD31" i="19" s="1"/>
  <c r="O27" i="19"/>
  <c r="AD27" i="19" s="1"/>
  <c r="O23" i="19"/>
  <c r="AD23" i="19" s="1"/>
  <c r="O19" i="19"/>
  <c r="AD19" i="19" s="1"/>
  <c r="O14" i="19"/>
  <c r="AD14" i="19" s="1"/>
  <c r="D14" i="19"/>
  <c r="AL33" i="19"/>
  <c r="O29" i="19"/>
  <c r="AD29" i="19" s="1"/>
  <c r="O25" i="19"/>
  <c r="AD25" i="19" s="1"/>
  <c r="O21" i="19"/>
  <c r="AD21" i="19" s="1"/>
  <c r="O17" i="19"/>
  <c r="AD17" i="19" s="1"/>
  <c r="O13" i="19"/>
  <c r="AD13" i="19" s="1"/>
  <c r="M36" i="19"/>
  <c r="P36" i="19" s="1"/>
  <c r="P36" i="1"/>
  <c r="O35" i="19"/>
  <c r="AD35" i="19" s="1"/>
  <c r="O37" i="19"/>
  <c r="AD37" i="19" s="1"/>
  <c r="AV37" i="19" s="1"/>
  <c r="AW37" i="19" s="1"/>
  <c r="X39" i="1"/>
  <c r="B6" i="12"/>
  <c r="B4" i="12"/>
  <c r="AK8" i="1"/>
  <c r="AA28" i="1"/>
  <c r="AA20" i="1"/>
  <c r="H31" i="19"/>
  <c r="H27" i="19"/>
  <c r="H23" i="19"/>
  <c r="H19" i="19"/>
  <c r="H14" i="19"/>
  <c r="AJ10" i="1"/>
  <c r="P8" i="1"/>
  <c r="H9" i="1"/>
  <c r="H10" i="1"/>
  <c r="H10" i="19"/>
  <c r="Q12" i="1"/>
  <c r="Q12" i="19"/>
  <c r="AJ28" i="1"/>
  <c r="AJ24" i="1"/>
  <c r="AJ20" i="1"/>
  <c r="U36" i="1"/>
  <c r="U36" i="19"/>
  <c r="U32" i="1"/>
  <c r="U32" i="19"/>
  <c r="U28" i="1"/>
  <c r="U28" i="19"/>
  <c r="U24" i="1"/>
  <c r="U24" i="19"/>
  <c r="U20" i="1"/>
  <c r="U20" i="19"/>
  <c r="U15" i="1"/>
  <c r="U15" i="19"/>
  <c r="BM34" i="19"/>
  <c r="AM34" i="19"/>
  <c r="AJ30" i="1"/>
  <c r="AJ22" i="1"/>
  <c r="U34" i="1"/>
  <c r="U34" i="19"/>
  <c r="U30" i="1"/>
  <c r="U30" i="19"/>
  <c r="U26" i="1"/>
  <c r="U26" i="19"/>
  <c r="U22" i="1"/>
  <c r="U22" i="19"/>
  <c r="U18" i="1"/>
  <c r="U18" i="19"/>
  <c r="BM37" i="19"/>
  <c r="AM37" i="19"/>
  <c r="AJ35" i="1"/>
  <c r="AJ33" i="1"/>
  <c r="AJ31" i="1"/>
  <c r="P35" i="1"/>
  <c r="H35" i="1"/>
  <c r="H35" i="19"/>
  <c r="U35" i="1"/>
  <c r="U35" i="19"/>
  <c r="J31" i="19"/>
  <c r="P27" i="1"/>
  <c r="J27" i="19"/>
  <c r="P23" i="1"/>
  <c r="J23" i="19"/>
  <c r="P19" i="1"/>
  <c r="J19" i="19"/>
  <c r="P14" i="1"/>
  <c r="AJ14" i="1"/>
  <c r="I14" i="1"/>
  <c r="I14" i="19"/>
  <c r="J14" i="19"/>
  <c r="BM35" i="19"/>
  <c r="AM35" i="19"/>
  <c r="AJ25" i="1"/>
  <c r="AJ21" i="1"/>
  <c r="AJ17" i="1"/>
  <c r="H37" i="1"/>
  <c r="H37" i="19"/>
  <c r="J37" i="19"/>
  <c r="P33" i="1"/>
  <c r="H33" i="1"/>
  <c r="H33" i="19"/>
  <c r="U33" i="1"/>
  <c r="U33" i="19"/>
  <c r="H29" i="1"/>
  <c r="H29" i="19"/>
  <c r="U29" i="1"/>
  <c r="U29" i="19"/>
  <c r="H25" i="1"/>
  <c r="H25" i="19"/>
  <c r="U25" i="1"/>
  <c r="U25" i="19"/>
  <c r="H21" i="1"/>
  <c r="H21" i="19"/>
  <c r="U21" i="1"/>
  <c r="U21" i="19"/>
  <c r="H17" i="1"/>
  <c r="H17" i="19"/>
  <c r="U17" i="1"/>
  <c r="U17" i="19"/>
  <c r="S16" i="1"/>
  <c r="Q13" i="1"/>
  <c r="AJ13" i="1"/>
  <c r="P12" i="1"/>
  <c r="P12" i="19"/>
  <c r="Q16" i="1"/>
  <c r="U13" i="1"/>
  <c r="U13" i="19"/>
  <c r="M39" i="1"/>
  <c r="AE39" i="1"/>
  <c r="H36" i="19"/>
  <c r="H32" i="19"/>
  <c r="H28" i="19"/>
  <c r="H24" i="19"/>
  <c r="H20" i="19"/>
  <c r="H15" i="19"/>
  <c r="H34" i="19"/>
  <c r="H30" i="19"/>
  <c r="H26" i="19"/>
  <c r="H22" i="19"/>
  <c r="H18" i="19"/>
  <c r="I31" i="19"/>
  <c r="I27" i="19"/>
  <c r="I23" i="19"/>
  <c r="I19" i="19"/>
  <c r="Q33" i="1"/>
  <c r="I37" i="19"/>
  <c r="U16" i="19"/>
  <c r="H11" i="1"/>
  <c r="H11" i="19"/>
  <c r="H8" i="1"/>
  <c r="S10" i="1"/>
  <c r="U12" i="1"/>
  <c r="AJ12" i="1"/>
  <c r="AJ36" i="1"/>
  <c r="AJ32" i="1"/>
  <c r="J36" i="19"/>
  <c r="T36" i="19"/>
  <c r="AK36" i="19"/>
  <c r="K36" i="19"/>
  <c r="AB36" i="19" s="1"/>
  <c r="J32" i="19"/>
  <c r="K32" i="19"/>
  <c r="AB32" i="19" s="1"/>
  <c r="J28" i="19"/>
  <c r="K28" i="19"/>
  <c r="AB28" i="19" s="1"/>
  <c r="J24" i="19"/>
  <c r="K24" i="19"/>
  <c r="AB24" i="19" s="1"/>
  <c r="J20" i="19"/>
  <c r="T20" i="19"/>
  <c r="AK20" i="19"/>
  <c r="K20" i="19"/>
  <c r="AB20" i="19" s="1"/>
  <c r="I15" i="1"/>
  <c r="I15" i="19"/>
  <c r="J15" i="19"/>
  <c r="AK15" i="19"/>
  <c r="K15" i="19"/>
  <c r="AB15" i="19" s="1"/>
  <c r="T15" i="19"/>
  <c r="AJ34" i="1"/>
  <c r="AK34" i="19"/>
  <c r="AJ26" i="1"/>
  <c r="AJ18" i="1"/>
  <c r="AK18" i="19"/>
  <c r="J34" i="19"/>
  <c r="T34" i="19"/>
  <c r="K34" i="19"/>
  <c r="AB34" i="19" s="1"/>
  <c r="AK30" i="19"/>
  <c r="J30" i="19"/>
  <c r="T30" i="19"/>
  <c r="K30" i="19"/>
  <c r="AB30" i="19" s="1"/>
  <c r="J26" i="19"/>
  <c r="T26" i="19"/>
  <c r="AK26" i="19"/>
  <c r="K26" i="19"/>
  <c r="AB26" i="19" s="1"/>
  <c r="J22" i="19"/>
  <c r="T22" i="19"/>
  <c r="AK22" i="19"/>
  <c r="K22" i="19"/>
  <c r="AB22" i="19" s="1"/>
  <c r="J18" i="19"/>
  <c r="T18" i="19"/>
  <c r="K18" i="19"/>
  <c r="AB18" i="19" s="1"/>
  <c r="J35" i="19"/>
  <c r="K35" i="19"/>
  <c r="AB35" i="19" s="1"/>
  <c r="P31" i="1"/>
  <c r="U31" i="1"/>
  <c r="U31" i="19"/>
  <c r="U27" i="1"/>
  <c r="U27" i="19"/>
  <c r="U23" i="1"/>
  <c r="U23" i="19"/>
  <c r="U19" i="1"/>
  <c r="U19" i="19"/>
  <c r="AJ29" i="1"/>
  <c r="AJ27" i="1"/>
  <c r="AJ23" i="1"/>
  <c r="AJ19" i="1"/>
  <c r="P37" i="1"/>
  <c r="AJ37" i="1"/>
  <c r="U37" i="1"/>
  <c r="U37" i="19"/>
  <c r="J33" i="19"/>
  <c r="K33" i="19"/>
  <c r="AB33" i="19" s="1"/>
  <c r="J29" i="19"/>
  <c r="K29" i="19"/>
  <c r="AB29" i="19" s="1"/>
  <c r="J25" i="19"/>
  <c r="K25" i="19"/>
  <c r="AB25" i="19" s="1"/>
  <c r="J21" i="19"/>
  <c r="K21" i="19"/>
  <c r="AB21" i="19" s="1"/>
  <c r="J17" i="19"/>
  <c r="K17" i="19"/>
  <c r="AB17" i="19" s="1"/>
  <c r="H13" i="1"/>
  <c r="I13" i="19"/>
  <c r="H12" i="1"/>
  <c r="H12" i="19"/>
  <c r="AJ16" i="1"/>
  <c r="I16" i="1"/>
  <c r="J11" i="19"/>
  <c r="AK11" i="19"/>
  <c r="K11" i="19"/>
  <c r="AB11" i="19" s="1"/>
  <c r="T11" i="19"/>
  <c r="AB46" i="19"/>
  <c r="P10" i="19"/>
  <c r="I36" i="19"/>
  <c r="I32" i="19"/>
  <c r="I28" i="19"/>
  <c r="I24" i="19"/>
  <c r="I20" i="19"/>
  <c r="I34" i="19"/>
  <c r="I30" i="19"/>
  <c r="I26" i="19"/>
  <c r="I22" i="19"/>
  <c r="I18" i="19"/>
  <c r="I35" i="19"/>
  <c r="I33" i="19"/>
  <c r="I29" i="19"/>
  <c r="I25" i="19"/>
  <c r="I21" i="19"/>
  <c r="I17" i="19"/>
  <c r="U11" i="19"/>
  <c r="AM36" i="1"/>
  <c r="AM32" i="1"/>
  <c r="AM34" i="1"/>
  <c r="AC32" i="1"/>
  <c r="AC28" i="1"/>
  <c r="AM26" i="1"/>
  <c r="AC20" i="1"/>
  <c r="AM18" i="1"/>
  <c r="AM29" i="1"/>
  <c r="AM27" i="1"/>
  <c r="AC27" i="1"/>
  <c r="AM23" i="1"/>
  <c r="AM21" i="1"/>
  <c r="AC21" i="1"/>
  <c r="AC19" i="1"/>
  <c r="K35" i="1"/>
  <c r="AB35" i="1" s="1"/>
  <c r="T35" i="1"/>
  <c r="AK35" i="1"/>
  <c r="AD35" i="1"/>
  <c r="AV35" i="1" s="1"/>
  <c r="J35" i="1"/>
  <c r="S31" i="1"/>
  <c r="R31" i="1"/>
  <c r="S27" i="1"/>
  <c r="R27" i="1"/>
  <c r="S23" i="1"/>
  <c r="R23" i="1"/>
  <c r="S19" i="1"/>
  <c r="R19" i="1"/>
  <c r="R14" i="1"/>
  <c r="U14" i="1"/>
  <c r="AC35" i="1"/>
  <c r="AM33" i="1"/>
  <c r="AC33" i="1"/>
  <c r="S37" i="1"/>
  <c r="R37" i="1"/>
  <c r="Q37" i="1"/>
  <c r="R33" i="1"/>
  <c r="S33" i="1"/>
  <c r="K33" i="1"/>
  <c r="AB33" i="1" s="1"/>
  <c r="T33" i="1"/>
  <c r="AK33" i="1"/>
  <c r="AD33" i="1"/>
  <c r="AV33" i="1" s="1"/>
  <c r="J33" i="1"/>
  <c r="K29" i="1"/>
  <c r="J29" i="1"/>
  <c r="T29" i="1"/>
  <c r="AK29" i="1"/>
  <c r="AD29" i="1"/>
  <c r="AV29" i="1" s="1"/>
  <c r="K25" i="1"/>
  <c r="J25" i="1"/>
  <c r="T25" i="1"/>
  <c r="AK25" i="1"/>
  <c r="AD25" i="1"/>
  <c r="AV25" i="1" s="1"/>
  <c r="K21" i="1"/>
  <c r="AB21" i="1" s="1"/>
  <c r="J21" i="1"/>
  <c r="T21" i="1"/>
  <c r="AK21" i="1"/>
  <c r="AD21" i="1"/>
  <c r="AV21" i="1" s="1"/>
  <c r="K17" i="1"/>
  <c r="AB17" i="1" s="1"/>
  <c r="J17" i="1"/>
  <c r="T17" i="1"/>
  <c r="AK17" i="1"/>
  <c r="AD17" i="1"/>
  <c r="AV17" i="1" s="1"/>
  <c r="R13" i="1"/>
  <c r="P10" i="1"/>
  <c r="AD10" i="1"/>
  <c r="AA30" i="1"/>
  <c r="AA26" i="1"/>
  <c r="AA22" i="1"/>
  <c r="AA18" i="1"/>
  <c r="H36" i="1"/>
  <c r="H32" i="1"/>
  <c r="H28" i="1"/>
  <c r="H24" i="1"/>
  <c r="H20" i="1"/>
  <c r="H15" i="1"/>
  <c r="Z34" i="1"/>
  <c r="Z26" i="1"/>
  <c r="AA24" i="1"/>
  <c r="Z18" i="1"/>
  <c r="H34" i="1"/>
  <c r="H30" i="1"/>
  <c r="H26" i="1"/>
  <c r="H22" i="1"/>
  <c r="H18" i="1"/>
  <c r="I35" i="1"/>
  <c r="H31" i="1"/>
  <c r="H27" i="1"/>
  <c r="H23" i="1"/>
  <c r="H19" i="1"/>
  <c r="Z14" i="1"/>
  <c r="H14" i="1"/>
  <c r="AA32" i="1"/>
  <c r="Z25" i="1"/>
  <c r="AA25" i="1"/>
  <c r="Z21" i="1"/>
  <c r="AA21" i="1"/>
  <c r="Z17" i="1"/>
  <c r="AA17" i="1"/>
  <c r="AA37" i="1"/>
  <c r="I33" i="1"/>
  <c r="P29" i="1"/>
  <c r="I29" i="1"/>
  <c r="P25" i="1"/>
  <c r="I25" i="1"/>
  <c r="P21" i="1"/>
  <c r="I21" i="1"/>
  <c r="P17" i="1"/>
  <c r="I17" i="1"/>
  <c r="S12" i="1"/>
  <c r="U16" i="1"/>
  <c r="H16" i="1"/>
  <c r="AC34" i="1"/>
  <c r="AC30" i="1"/>
  <c r="AM28" i="1"/>
  <c r="AC26" i="1"/>
  <c r="AM24" i="1"/>
  <c r="AC22" i="1"/>
  <c r="AM20" i="1"/>
  <c r="AC18" i="1"/>
  <c r="T36" i="1"/>
  <c r="AK36" i="1"/>
  <c r="AD36" i="1"/>
  <c r="AV36" i="1" s="1"/>
  <c r="J36" i="1"/>
  <c r="K36" i="1"/>
  <c r="AB36" i="1" s="1"/>
  <c r="AK32" i="1"/>
  <c r="AD32" i="1"/>
  <c r="AV32" i="1" s="1"/>
  <c r="J32" i="1"/>
  <c r="T32" i="1"/>
  <c r="K32" i="1"/>
  <c r="AB32" i="1" s="1"/>
  <c r="T28" i="1"/>
  <c r="AK28" i="1"/>
  <c r="AD28" i="1"/>
  <c r="AV28" i="1" s="1"/>
  <c r="J28" i="1"/>
  <c r="K28" i="1"/>
  <c r="AB28" i="1" s="1"/>
  <c r="AK24" i="1"/>
  <c r="AD24" i="1"/>
  <c r="AV24" i="1" s="1"/>
  <c r="J24" i="1"/>
  <c r="T24" i="1"/>
  <c r="K24" i="1"/>
  <c r="T20" i="1"/>
  <c r="AK20" i="1"/>
  <c r="AD20" i="1"/>
  <c r="AV20" i="1" s="1"/>
  <c r="J20" i="1"/>
  <c r="K20" i="1"/>
  <c r="AB20" i="1" s="1"/>
  <c r="T15" i="1"/>
  <c r="J15" i="1"/>
  <c r="AK15" i="1"/>
  <c r="AD15" i="1"/>
  <c r="AV15" i="1" s="1"/>
  <c r="K15" i="1"/>
  <c r="AB15" i="1" s="1"/>
  <c r="AC36" i="1"/>
  <c r="AM30" i="1"/>
  <c r="AC24" i="1"/>
  <c r="AB24" i="1"/>
  <c r="AM22" i="1"/>
  <c r="AK34" i="1"/>
  <c r="AD34" i="1"/>
  <c r="AV34" i="1" s="1"/>
  <c r="AW34" i="1" s="1"/>
  <c r="J34" i="1"/>
  <c r="K34" i="1"/>
  <c r="AB34" i="1" s="1"/>
  <c r="T34" i="1"/>
  <c r="AK30" i="1"/>
  <c r="AD30" i="1"/>
  <c r="AV30" i="1" s="1"/>
  <c r="J30" i="1"/>
  <c r="T30" i="1"/>
  <c r="K30" i="1"/>
  <c r="AB30" i="1" s="1"/>
  <c r="AK26" i="1"/>
  <c r="AD26" i="1"/>
  <c r="AV26" i="1" s="1"/>
  <c r="J26" i="1"/>
  <c r="K26" i="1"/>
  <c r="AB26" i="1" s="1"/>
  <c r="T26" i="1"/>
  <c r="AK22" i="1"/>
  <c r="AD22" i="1"/>
  <c r="AV22" i="1" s="1"/>
  <c r="J22" i="1"/>
  <c r="T22" i="1"/>
  <c r="K22" i="1"/>
  <c r="AB22" i="1" s="1"/>
  <c r="AK18" i="1"/>
  <c r="AD18" i="1"/>
  <c r="AV18" i="1" s="1"/>
  <c r="J18" i="1"/>
  <c r="K18" i="1"/>
  <c r="AB18" i="1" s="1"/>
  <c r="T18" i="1"/>
  <c r="AM37" i="1"/>
  <c r="AC29" i="1"/>
  <c r="AB29" i="1"/>
  <c r="AM25" i="1"/>
  <c r="AC25" i="1"/>
  <c r="AB25" i="1"/>
  <c r="AC23" i="1"/>
  <c r="AM19" i="1"/>
  <c r="AM17" i="1"/>
  <c r="AC17" i="1"/>
  <c r="S35" i="1"/>
  <c r="R35" i="1"/>
  <c r="K31" i="1"/>
  <c r="T31" i="1"/>
  <c r="AK31" i="1"/>
  <c r="AD31" i="1"/>
  <c r="AV31" i="1" s="1"/>
  <c r="J31" i="1"/>
  <c r="K27" i="1"/>
  <c r="AB27" i="1" s="1"/>
  <c r="T27" i="1"/>
  <c r="AK27" i="1"/>
  <c r="AD27" i="1"/>
  <c r="AV27" i="1" s="1"/>
  <c r="J27" i="1"/>
  <c r="K23" i="1"/>
  <c r="AB23" i="1" s="1"/>
  <c r="T23" i="1"/>
  <c r="AK23" i="1"/>
  <c r="AD23" i="1"/>
  <c r="AV23" i="1" s="1"/>
  <c r="J23" i="1"/>
  <c r="K19" i="1"/>
  <c r="AB19" i="1" s="1"/>
  <c r="T19" i="1"/>
  <c r="AK19" i="1"/>
  <c r="AD19" i="1"/>
  <c r="AV19" i="1" s="1"/>
  <c r="J19" i="1"/>
  <c r="AM14" i="1"/>
  <c r="AC14" i="1"/>
  <c r="AD14" i="1"/>
  <c r="AV14" i="1" s="1"/>
  <c r="T14" i="1"/>
  <c r="AK14" i="1"/>
  <c r="K14" i="1"/>
  <c r="AB14" i="1" s="1"/>
  <c r="J14" i="1"/>
  <c r="AC37" i="1"/>
  <c r="AM35" i="1"/>
  <c r="AM31" i="1"/>
  <c r="AB31" i="1"/>
  <c r="AC31" i="1"/>
  <c r="K37" i="1"/>
  <c r="AB37" i="1" s="1"/>
  <c r="T37" i="1"/>
  <c r="AK37" i="1"/>
  <c r="AD37" i="1"/>
  <c r="AV37" i="1" s="1"/>
  <c r="J37" i="1"/>
  <c r="S29" i="1"/>
  <c r="R29" i="1"/>
  <c r="S25" i="1"/>
  <c r="R25" i="1"/>
  <c r="S21" i="1"/>
  <c r="R21" i="1"/>
  <c r="S17" i="1"/>
  <c r="R17" i="1"/>
  <c r="AM13" i="1"/>
  <c r="J13" i="1"/>
  <c r="K13" i="1"/>
  <c r="AB13" i="1" s="1"/>
  <c r="AD13" i="1"/>
  <c r="AV13" i="1" s="1"/>
  <c r="AK13" i="1"/>
  <c r="T13" i="1"/>
  <c r="AC13" i="1"/>
  <c r="P16" i="1"/>
  <c r="AC16" i="1"/>
  <c r="AM16" i="1"/>
  <c r="AK16" i="1"/>
  <c r="J16" i="1"/>
  <c r="T16" i="1"/>
  <c r="K16" i="1"/>
  <c r="AB16" i="1" s="1"/>
  <c r="AD16" i="1"/>
  <c r="AV16" i="1" s="1"/>
  <c r="I36" i="1"/>
  <c r="I32" i="1"/>
  <c r="I28" i="1"/>
  <c r="I24" i="1"/>
  <c r="I20" i="1"/>
  <c r="Z30" i="1"/>
  <c r="Z22" i="1"/>
  <c r="I34" i="1"/>
  <c r="I30" i="1"/>
  <c r="I26" i="1"/>
  <c r="I22" i="1"/>
  <c r="I18" i="1"/>
  <c r="AA34" i="1"/>
  <c r="I31" i="1"/>
  <c r="I27" i="1"/>
  <c r="I23" i="1"/>
  <c r="I19" i="1"/>
  <c r="AA36" i="1"/>
  <c r="Z29" i="1"/>
  <c r="AA29" i="1"/>
  <c r="Z27" i="1"/>
  <c r="AA27" i="1"/>
  <c r="Z23" i="1"/>
  <c r="AA23" i="1"/>
  <c r="Z19" i="1"/>
  <c r="AA19" i="1"/>
  <c r="Q35" i="1"/>
  <c r="Q31" i="1"/>
  <c r="Q27" i="1"/>
  <c r="Q23" i="1"/>
  <c r="Q19" i="1"/>
  <c r="Q14" i="1"/>
  <c r="Z37" i="1"/>
  <c r="I37" i="1"/>
  <c r="AA33" i="1"/>
  <c r="I13" i="1"/>
  <c r="P13" i="1"/>
  <c r="U8" i="1"/>
  <c r="Z12" i="1"/>
  <c r="AC12" i="1"/>
  <c r="K12" i="1"/>
  <c r="AB12" i="1" s="1"/>
  <c r="AA12" i="1"/>
  <c r="K155" i="9"/>
  <c r="O214" i="9"/>
  <c r="O157" i="9"/>
  <c r="Z10" i="1"/>
  <c r="AC8" i="1"/>
  <c r="AB8" i="1"/>
  <c r="C9" i="9"/>
  <c r="C184" i="9"/>
  <c r="G69" i="9"/>
  <c r="J69" i="9" s="1"/>
  <c r="E69" i="9"/>
  <c r="F69" i="9" s="1"/>
  <c r="I69" i="9" s="1"/>
  <c r="C127" i="9"/>
  <c r="C183" i="9"/>
  <c r="C8" i="9"/>
  <c r="G68" i="9"/>
  <c r="J68" i="9" s="1"/>
  <c r="C126" i="9"/>
  <c r="E68" i="9"/>
  <c r="F68" i="9" s="1"/>
  <c r="I68" i="9" s="1"/>
  <c r="AM10" i="1"/>
  <c r="AJ8" i="1"/>
  <c r="R10" i="1"/>
  <c r="E96" i="9"/>
  <c r="F96" i="9" s="1"/>
  <c r="I96" i="9" s="1"/>
  <c r="C154" i="9"/>
  <c r="C36" i="9"/>
  <c r="G96" i="9"/>
  <c r="J96" i="9" s="1"/>
  <c r="C211" i="9"/>
  <c r="C207" i="9"/>
  <c r="G92" i="9"/>
  <c r="J92" i="9" s="1"/>
  <c r="C150" i="9"/>
  <c r="C32" i="9"/>
  <c r="E92" i="9"/>
  <c r="F92" i="9" s="1"/>
  <c r="I92" i="9" s="1"/>
  <c r="E88" i="9"/>
  <c r="F88" i="9" s="1"/>
  <c r="I88" i="9" s="1"/>
  <c r="G88" i="9"/>
  <c r="J88" i="9" s="1"/>
  <c r="C203" i="9"/>
  <c r="C146" i="9"/>
  <c r="C28" i="9"/>
  <c r="E84" i="9"/>
  <c r="F84" i="9" s="1"/>
  <c r="I84" i="9" s="1"/>
  <c r="C199" i="9"/>
  <c r="G84" i="9"/>
  <c r="J84" i="9" s="1"/>
  <c r="C24" i="9"/>
  <c r="C142" i="9"/>
  <c r="C20" i="9"/>
  <c r="G80" i="9"/>
  <c r="J80" i="9" s="1"/>
  <c r="C138" i="9"/>
  <c r="E80" i="9"/>
  <c r="F80" i="9" s="1"/>
  <c r="I80" i="9" s="1"/>
  <c r="C195" i="9"/>
  <c r="C15" i="9"/>
  <c r="C190" i="9"/>
  <c r="C133" i="9"/>
  <c r="E75" i="9"/>
  <c r="F75" i="9" s="1"/>
  <c r="I75" i="9" s="1"/>
  <c r="G75" i="9"/>
  <c r="J75" i="9" s="1"/>
  <c r="C10" i="9"/>
  <c r="C128" i="9"/>
  <c r="C185" i="9"/>
  <c r="E70" i="9"/>
  <c r="F70" i="9" s="1"/>
  <c r="I70" i="9" s="1"/>
  <c r="G70" i="9"/>
  <c r="J70" i="9" s="1"/>
  <c r="E93" i="9"/>
  <c r="F93" i="9" s="1"/>
  <c r="I93" i="9" s="1"/>
  <c r="G93" i="9"/>
  <c r="J93" i="9" s="1"/>
  <c r="C33" i="9"/>
  <c r="C208" i="9"/>
  <c r="C151" i="9"/>
  <c r="C204" i="9"/>
  <c r="G89" i="9"/>
  <c r="J89" i="9" s="1"/>
  <c r="C147" i="9"/>
  <c r="C29" i="9"/>
  <c r="E89" i="9"/>
  <c r="F89" i="9" s="1"/>
  <c r="I89" i="9" s="1"/>
  <c r="C200" i="9"/>
  <c r="G85" i="9"/>
  <c r="J85" i="9" s="1"/>
  <c r="C25" i="9"/>
  <c r="C143" i="9"/>
  <c r="E85" i="9"/>
  <c r="F85" i="9" s="1"/>
  <c r="I85" i="9" s="1"/>
  <c r="G81" i="9"/>
  <c r="J81" i="9" s="1"/>
  <c r="C21" i="9"/>
  <c r="C139" i="9"/>
  <c r="C196" i="9"/>
  <c r="E81" i="9"/>
  <c r="F81" i="9" s="1"/>
  <c r="I81" i="9" s="1"/>
  <c r="C17" i="9"/>
  <c r="G77" i="9"/>
  <c r="J77" i="9" s="1"/>
  <c r="C135" i="9"/>
  <c r="C192" i="9"/>
  <c r="E77" i="9"/>
  <c r="F77" i="9" s="1"/>
  <c r="I77" i="9" s="1"/>
  <c r="AK10" i="1"/>
  <c r="AA8" i="1"/>
  <c r="Q10" i="1"/>
  <c r="AM8" i="1"/>
  <c r="AL39" i="1"/>
  <c r="E94" i="9"/>
  <c r="F94" i="9" s="1"/>
  <c r="I94" i="9" s="1"/>
  <c r="G94" i="9"/>
  <c r="J94" i="9" s="1"/>
  <c r="C152" i="9"/>
  <c r="C34" i="9"/>
  <c r="C209" i="9"/>
  <c r="E90" i="9"/>
  <c r="F90" i="9" s="1"/>
  <c r="I90" i="9" s="1"/>
  <c r="C30" i="9"/>
  <c r="C205" i="9"/>
  <c r="G90" i="9"/>
  <c r="J90" i="9" s="1"/>
  <c r="C148" i="9"/>
  <c r="C144" i="9"/>
  <c r="G86" i="9"/>
  <c r="J86" i="9" s="1"/>
  <c r="E86" i="9"/>
  <c r="F86" i="9" s="1"/>
  <c r="I86" i="9" s="1"/>
  <c r="C26" i="9"/>
  <c r="C201" i="9"/>
  <c r="C22" i="9"/>
  <c r="E82" i="9"/>
  <c r="F82" i="9" s="1"/>
  <c r="I82" i="9" s="1"/>
  <c r="C197" i="9"/>
  <c r="C140" i="9"/>
  <c r="G82" i="9"/>
  <c r="J82" i="9" s="1"/>
  <c r="C18" i="9"/>
  <c r="E78" i="9"/>
  <c r="F78" i="9" s="1"/>
  <c r="I78" i="9" s="1"/>
  <c r="G78" i="9"/>
  <c r="J78" i="9" s="1"/>
  <c r="C193" i="9"/>
  <c r="C136" i="9"/>
  <c r="C11" i="9"/>
  <c r="C129" i="9"/>
  <c r="E71" i="9"/>
  <c r="F71" i="9" s="1"/>
  <c r="I71" i="9" s="1"/>
  <c r="C186" i="9"/>
  <c r="G71" i="9"/>
  <c r="J71" i="9" s="1"/>
  <c r="G95" i="9"/>
  <c r="J95" i="9" s="1"/>
  <c r="C210" i="9"/>
  <c r="C153" i="9"/>
  <c r="C35" i="9"/>
  <c r="E95" i="9"/>
  <c r="F95" i="9" s="1"/>
  <c r="I95" i="9" s="1"/>
  <c r="C206" i="9"/>
  <c r="C31" i="9"/>
  <c r="G91" i="9"/>
  <c r="J91" i="9" s="1"/>
  <c r="E91" i="9"/>
  <c r="F91" i="9" s="1"/>
  <c r="I91" i="9" s="1"/>
  <c r="C149" i="9"/>
  <c r="E87" i="9"/>
  <c r="F87" i="9" s="1"/>
  <c r="I87" i="9" s="1"/>
  <c r="G87" i="9"/>
  <c r="J87" i="9" s="1"/>
  <c r="C202" i="9"/>
  <c r="C145" i="9"/>
  <c r="C27" i="9"/>
  <c r="E83" i="9"/>
  <c r="F83" i="9" s="1"/>
  <c r="I83" i="9" s="1"/>
  <c r="C23" i="9"/>
  <c r="C141" i="9"/>
  <c r="C198" i="9"/>
  <c r="G83" i="9"/>
  <c r="J83" i="9" s="1"/>
  <c r="C19" i="9"/>
  <c r="C137" i="9"/>
  <c r="G79" i="9"/>
  <c r="J79" i="9" s="1"/>
  <c r="C194" i="9"/>
  <c r="E79" i="9"/>
  <c r="F79" i="9" s="1"/>
  <c r="I79" i="9" s="1"/>
  <c r="C14" i="9"/>
  <c r="C189" i="9"/>
  <c r="E74" i="9"/>
  <c r="F74" i="9" s="1"/>
  <c r="I74" i="9" s="1"/>
  <c r="C132" i="9"/>
  <c r="G74" i="9"/>
  <c r="J74" i="9" s="1"/>
  <c r="AC10" i="1"/>
  <c r="AB10" i="1"/>
  <c r="R8" i="1"/>
  <c r="Q8" i="1"/>
  <c r="S8" i="1"/>
  <c r="Z8" i="1"/>
  <c r="AA10" i="1"/>
  <c r="AF7" i="1"/>
  <c r="C191" i="9"/>
  <c r="C16" i="9"/>
  <c r="G76" i="9"/>
  <c r="J76" i="9" s="1"/>
  <c r="C134" i="9"/>
  <c r="E76" i="9"/>
  <c r="F76" i="9" s="1"/>
  <c r="I76" i="9" s="1"/>
  <c r="C13" i="9"/>
  <c r="G73" i="9"/>
  <c r="J73" i="9" s="1"/>
  <c r="E73" i="9"/>
  <c r="F73" i="9" s="1"/>
  <c r="I73" i="9" s="1"/>
  <c r="C188" i="9"/>
  <c r="C131" i="9"/>
  <c r="C187" i="9"/>
  <c r="E72" i="9"/>
  <c r="F72" i="9" s="1"/>
  <c r="I72" i="9" s="1"/>
  <c r="C130" i="9"/>
  <c r="C12" i="9"/>
  <c r="G72" i="9"/>
  <c r="J72" i="9" s="1"/>
  <c r="C57" i="1"/>
  <c r="G125" i="9"/>
  <c r="J125" i="9" s="1"/>
  <c r="J157" i="9" s="1"/>
  <c r="E125" i="9"/>
  <c r="F125" i="9" s="1"/>
  <c r="I125" i="9" s="1"/>
  <c r="K67" i="9"/>
  <c r="I99" i="9"/>
  <c r="E182" i="9"/>
  <c r="F182" i="9" s="1"/>
  <c r="I182" i="9" s="1"/>
  <c r="G182" i="9"/>
  <c r="J182" i="9" s="1"/>
  <c r="J214" i="9" s="1"/>
  <c r="S58" i="1"/>
  <c r="AE58" i="1"/>
  <c r="AE48" i="1"/>
  <c r="AE57" i="1"/>
  <c r="AE49" i="1"/>
  <c r="O48" i="1"/>
  <c r="O49" i="1"/>
  <c r="O58" i="1"/>
  <c r="P40" i="1"/>
  <c r="O57" i="1"/>
  <c r="Q40" i="1"/>
  <c r="F57" i="1"/>
  <c r="F48" i="1"/>
  <c r="F49" i="1"/>
  <c r="F58" i="1"/>
  <c r="N57" i="1"/>
  <c r="N49" i="1"/>
  <c r="N48" i="1"/>
  <c r="N58" i="1"/>
  <c r="X58" i="1"/>
  <c r="X48" i="1"/>
  <c r="X57" i="1"/>
  <c r="X49" i="1"/>
  <c r="E57" i="1"/>
  <c r="E49" i="1"/>
  <c r="E48" i="1"/>
  <c r="E58" i="1"/>
  <c r="M48" i="1"/>
  <c r="M57" i="1"/>
  <c r="M49" i="1"/>
  <c r="M58" i="1"/>
  <c r="AI58" i="1"/>
  <c r="AJ40" i="1"/>
  <c r="AI48" i="1"/>
  <c r="AI57" i="1"/>
  <c r="AI49" i="1"/>
  <c r="AG49" i="1"/>
  <c r="AG57" i="1"/>
  <c r="AG58" i="1"/>
  <c r="AG48" i="1"/>
  <c r="AH49" i="1"/>
  <c r="AH58" i="1"/>
  <c r="AH57" i="1"/>
  <c r="AH48" i="1"/>
  <c r="Y48" i="1"/>
  <c r="Y49" i="1"/>
  <c r="Y58" i="1"/>
  <c r="AC40" i="1"/>
  <c r="AA40" i="1"/>
  <c r="Z40" i="1"/>
  <c r="Y57" i="1"/>
  <c r="G49" i="1"/>
  <c r="J40" i="1"/>
  <c r="I40" i="1"/>
  <c r="K40" i="1"/>
  <c r="H40" i="1"/>
  <c r="G57" i="1"/>
  <c r="G48" i="1"/>
  <c r="G58" i="1"/>
  <c r="W48" i="1"/>
  <c r="W58" i="1"/>
  <c r="W49" i="1"/>
  <c r="W57" i="1"/>
  <c r="AD57" i="1"/>
  <c r="D10" i="12" s="1"/>
  <c r="AD49" i="1"/>
  <c r="AD58" i="1"/>
  <c r="AD48" i="1"/>
  <c r="C10" i="12" s="1"/>
  <c r="M75" i="9"/>
  <c r="M130" i="9"/>
  <c r="D11" i="9"/>
  <c r="AS40" i="19" l="1"/>
  <c r="AQ40" i="19"/>
  <c r="AR40" i="19"/>
  <c r="AT40" i="19"/>
  <c r="AK9" i="19"/>
  <c r="U14" i="19"/>
  <c r="F39" i="19"/>
  <c r="AD7" i="19"/>
  <c r="BK7" i="19" s="1"/>
  <c r="AN46" i="17"/>
  <c r="AP46" i="17" s="1"/>
  <c r="AN46" i="18"/>
  <c r="AN48" i="18" s="1"/>
  <c r="AN55" i="18"/>
  <c r="AN55" i="17"/>
  <c r="AP55" i="17" s="1"/>
  <c r="C46" i="19"/>
  <c r="AW46" i="19" s="1"/>
  <c r="AN40" i="17"/>
  <c r="T35" i="19"/>
  <c r="U7" i="19"/>
  <c r="D40" i="19"/>
  <c r="AM25" i="19"/>
  <c r="BM15" i="19"/>
  <c r="AM19" i="19"/>
  <c r="BM22" i="19"/>
  <c r="BM24" i="19"/>
  <c r="BM10" i="19"/>
  <c r="AK35" i="19"/>
  <c r="AM31" i="19"/>
  <c r="BM31" i="19"/>
  <c r="AM15" i="19"/>
  <c r="AM16" i="19"/>
  <c r="AF12" i="1"/>
  <c r="R19" i="19"/>
  <c r="AN40" i="19"/>
  <c r="AN48" i="19" s="1"/>
  <c r="AN40" i="1"/>
  <c r="AN46" i="1"/>
  <c r="AP46" i="1" s="1"/>
  <c r="AN55" i="1"/>
  <c r="AP55" i="1" s="1"/>
  <c r="AN55" i="19"/>
  <c r="AP55" i="19" s="1"/>
  <c r="AP46" i="19"/>
  <c r="S16" i="19"/>
  <c r="BM23" i="19"/>
  <c r="R21" i="19"/>
  <c r="R17" i="19"/>
  <c r="BM11" i="19"/>
  <c r="AM11" i="19"/>
  <c r="AM23" i="19"/>
  <c r="AM24" i="19"/>
  <c r="BM16" i="19"/>
  <c r="AM22" i="19"/>
  <c r="AM30" i="19"/>
  <c r="AV30" i="19"/>
  <c r="AW30" i="19" s="1"/>
  <c r="BM17" i="19"/>
  <c r="AM9" i="19"/>
  <c r="BM9" i="19"/>
  <c r="Q19" i="19"/>
  <c r="P13" i="19"/>
  <c r="Q13" i="19"/>
  <c r="AM17" i="19"/>
  <c r="BM21" i="19"/>
  <c r="BM20" i="19"/>
  <c r="AM21" i="19"/>
  <c r="BM27" i="19"/>
  <c r="AM20" i="19"/>
  <c r="BM14" i="19"/>
  <c r="AM10" i="19"/>
  <c r="BM19" i="19"/>
  <c r="AM18" i="19"/>
  <c r="AM13" i="19"/>
  <c r="BM28" i="19"/>
  <c r="BM25" i="19"/>
  <c r="BM18" i="19"/>
  <c r="AM26" i="19"/>
  <c r="BM13" i="19"/>
  <c r="AM27" i="19"/>
  <c r="AM14" i="19"/>
  <c r="AM29" i="19"/>
  <c r="AM28" i="19"/>
  <c r="BM26" i="19"/>
  <c r="BM36" i="19"/>
  <c r="AM36" i="19"/>
  <c r="BM32" i="19"/>
  <c r="S29" i="19"/>
  <c r="BM29" i="19"/>
  <c r="AM32" i="19"/>
  <c r="AD32" i="19"/>
  <c r="AF32" i="19" s="1"/>
  <c r="S13" i="19"/>
  <c r="R29" i="19"/>
  <c r="Q16" i="19"/>
  <c r="P19" i="19"/>
  <c r="S21" i="19"/>
  <c r="AK17" i="19"/>
  <c r="S17" i="19"/>
  <c r="T17" i="19"/>
  <c r="T21" i="19"/>
  <c r="AK21" i="19"/>
  <c r="T14" i="19"/>
  <c r="Q14" i="19"/>
  <c r="R14" i="19"/>
  <c r="K14" i="19"/>
  <c r="AB14" i="19" s="1"/>
  <c r="P14" i="19"/>
  <c r="AV26" i="19"/>
  <c r="AV15" i="19"/>
  <c r="AK29" i="19"/>
  <c r="AV29" i="19"/>
  <c r="AV16" i="19"/>
  <c r="AV12" i="19"/>
  <c r="AV14" i="19"/>
  <c r="AV24" i="19"/>
  <c r="AV35" i="19"/>
  <c r="AV17" i="19"/>
  <c r="AM33" i="19"/>
  <c r="AV23" i="19"/>
  <c r="BK12" i="19"/>
  <c r="AK14" i="19"/>
  <c r="AV34" i="19"/>
  <c r="AV13" i="19"/>
  <c r="AV19" i="19"/>
  <c r="AV25" i="19"/>
  <c r="AV31" i="19"/>
  <c r="AV18" i="19"/>
  <c r="AV21" i="19"/>
  <c r="AV27" i="19"/>
  <c r="AV20" i="19"/>
  <c r="AV36" i="19"/>
  <c r="AV11" i="19"/>
  <c r="AF12" i="19"/>
  <c r="AV22" i="19"/>
  <c r="AL39" i="19"/>
  <c r="AL40" i="19"/>
  <c r="AL48" i="19" s="1"/>
  <c r="AF11" i="19"/>
  <c r="BK11" i="19"/>
  <c r="AF11" i="1"/>
  <c r="AV9" i="1"/>
  <c r="AW9" i="1" s="1"/>
  <c r="AV10" i="19"/>
  <c r="U40" i="1"/>
  <c r="U49" i="1" s="1"/>
  <c r="AJ8" i="19"/>
  <c r="T40" i="1"/>
  <c r="T48" i="1" s="1"/>
  <c r="AF55" i="19"/>
  <c r="AF46" i="19"/>
  <c r="AK25" i="19"/>
  <c r="AK33" i="19"/>
  <c r="S37" i="19"/>
  <c r="AK24" i="19"/>
  <c r="T24" i="19"/>
  <c r="P27" i="19"/>
  <c r="P23" i="19"/>
  <c r="BM33" i="19"/>
  <c r="R35" i="19"/>
  <c r="Q35" i="19"/>
  <c r="S33" i="19"/>
  <c r="T29" i="19"/>
  <c r="R23" i="19"/>
  <c r="Q23" i="19"/>
  <c r="P35" i="19"/>
  <c r="R37" i="19"/>
  <c r="P37" i="19"/>
  <c r="R25" i="19"/>
  <c r="P33" i="19"/>
  <c r="AK31" i="19"/>
  <c r="Q31" i="19"/>
  <c r="R33" i="19"/>
  <c r="S25" i="19"/>
  <c r="T25" i="19"/>
  <c r="T33" i="19"/>
  <c r="P31" i="19"/>
  <c r="R31" i="19"/>
  <c r="Q27" i="19"/>
  <c r="AK28" i="19"/>
  <c r="Q28" i="19"/>
  <c r="R27" i="19"/>
  <c r="BM7" i="19"/>
  <c r="S8" i="19"/>
  <c r="AL55" i="19"/>
  <c r="BM8" i="19"/>
  <c r="AM8" i="19"/>
  <c r="H9" i="19"/>
  <c r="I9" i="19"/>
  <c r="K7" i="19"/>
  <c r="AB7" i="19" s="1"/>
  <c r="K8" i="19"/>
  <c r="H7" i="19"/>
  <c r="I7" i="19"/>
  <c r="U9" i="19"/>
  <c r="AE39" i="19"/>
  <c r="I8" i="19"/>
  <c r="J9" i="19"/>
  <c r="T7" i="19"/>
  <c r="AK7" i="19"/>
  <c r="J7" i="19"/>
  <c r="J8" i="19"/>
  <c r="N39" i="19"/>
  <c r="K9" i="19"/>
  <c r="AB9" i="19" s="1"/>
  <c r="AD9" i="19"/>
  <c r="T9" i="19"/>
  <c r="AJ7" i="19"/>
  <c r="T8" i="19"/>
  <c r="BL7" i="19"/>
  <c r="AD8" i="19"/>
  <c r="N40" i="19"/>
  <c r="N49" i="19" s="1"/>
  <c r="BL8" i="19"/>
  <c r="AV8" i="1"/>
  <c r="AW8" i="1" s="1"/>
  <c r="K95" i="9"/>
  <c r="K81" i="9"/>
  <c r="AV10" i="1"/>
  <c r="AW10" i="1" s="1"/>
  <c r="AF8" i="1"/>
  <c r="AI39" i="19"/>
  <c r="U8" i="19"/>
  <c r="AK8" i="19"/>
  <c r="AF10" i="1"/>
  <c r="N55" i="19"/>
  <c r="F40" i="19"/>
  <c r="E55" i="19"/>
  <c r="F55" i="19"/>
  <c r="Y40" i="19"/>
  <c r="Y58" i="19" s="1"/>
  <c r="M55" i="19"/>
  <c r="AB55" i="19" s="1"/>
  <c r="AG40" i="19"/>
  <c r="AG49" i="19" s="1"/>
  <c r="AI55" i="19"/>
  <c r="AG55" i="19"/>
  <c r="AH40" i="19"/>
  <c r="AH49" i="19" s="1"/>
  <c r="G55" i="19"/>
  <c r="K55" i="19" s="1"/>
  <c r="AK55" i="19"/>
  <c r="AD55" i="19"/>
  <c r="C55" i="19"/>
  <c r="C57" i="19" s="1"/>
  <c r="AE40" i="19"/>
  <c r="AE48" i="19" s="1"/>
  <c r="V40" i="19"/>
  <c r="O55" i="19"/>
  <c r="AH55" i="19"/>
  <c r="X40" i="19"/>
  <c r="X57" i="19" s="1"/>
  <c r="K68" i="9"/>
  <c r="K99" i="9" s="1"/>
  <c r="K76" i="9"/>
  <c r="K79" i="9"/>
  <c r="K80" i="9"/>
  <c r="AE55" i="19"/>
  <c r="W40" i="19"/>
  <c r="W48" i="19" s="1"/>
  <c r="BA39" i="19"/>
  <c r="O40" i="19"/>
  <c r="L40" i="19"/>
  <c r="AK39" i="1"/>
  <c r="Q24" i="19"/>
  <c r="AD39" i="1"/>
  <c r="K74" i="9"/>
  <c r="S24" i="19"/>
  <c r="R24" i="19"/>
  <c r="P24" i="19"/>
  <c r="S32" i="19"/>
  <c r="Q32" i="19"/>
  <c r="R32" i="19"/>
  <c r="P32" i="19"/>
  <c r="AD33" i="19"/>
  <c r="S28" i="19"/>
  <c r="R28" i="19"/>
  <c r="P28" i="19"/>
  <c r="AD28" i="19"/>
  <c r="R16" i="19"/>
  <c r="Q37" i="19"/>
  <c r="S35" i="19"/>
  <c r="R13" i="19"/>
  <c r="Q17" i="19"/>
  <c r="Q21" i="19"/>
  <c r="Q25" i="19"/>
  <c r="Q29" i="19"/>
  <c r="S14" i="19"/>
  <c r="S19" i="19"/>
  <c r="S23" i="19"/>
  <c r="S27" i="19"/>
  <c r="S31" i="19"/>
  <c r="P16" i="19"/>
  <c r="P21" i="19"/>
  <c r="P29" i="19"/>
  <c r="R8" i="19"/>
  <c r="P17" i="19"/>
  <c r="P25" i="19"/>
  <c r="AF35" i="19"/>
  <c r="H13" i="19"/>
  <c r="E40" i="19"/>
  <c r="BK16" i="19"/>
  <c r="AF16" i="19"/>
  <c r="BK37" i="19"/>
  <c r="BK23" i="19"/>
  <c r="AF23" i="19"/>
  <c r="BK31" i="19"/>
  <c r="AF31" i="19"/>
  <c r="BK22" i="19"/>
  <c r="AF22" i="19"/>
  <c r="BK30" i="19"/>
  <c r="AF30" i="19"/>
  <c r="BK10" i="19"/>
  <c r="AF10" i="19"/>
  <c r="BK17" i="19"/>
  <c r="AF17" i="19"/>
  <c r="BK25" i="19"/>
  <c r="Q46" i="19"/>
  <c r="P46" i="19"/>
  <c r="J16" i="19"/>
  <c r="T16" i="19"/>
  <c r="AK16" i="19"/>
  <c r="K16" i="19"/>
  <c r="AB16" i="19" s="1"/>
  <c r="I16" i="19"/>
  <c r="BL37" i="19"/>
  <c r="AJ37" i="19"/>
  <c r="BL19" i="19"/>
  <c r="AJ19" i="19"/>
  <c r="BL23" i="19"/>
  <c r="AJ23" i="19"/>
  <c r="AJ27" i="19"/>
  <c r="BL27" i="19"/>
  <c r="BL29" i="19"/>
  <c r="AJ29" i="19"/>
  <c r="BL26" i="19"/>
  <c r="AJ26" i="19"/>
  <c r="BL32" i="19"/>
  <c r="AJ32" i="19"/>
  <c r="BL36" i="19"/>
  <c r="AJ36" i="19"/>
  <c r="BL12" i="19"/>
  <c r="AJ12" i="19"/>
  <c r="AK12" i="19"/>
  <c r="U12" i="19"/>
  <c r="T12" i="19"/>
  <c r="K12" i="19"/>
  <c r="AB12" i="19" s="1"/>
  <c r="S10" i="19"/>
  <c r="Q10" i="19"/>
  <c r="AK10" i="19"/>
  <c r="T10" i="19"/>
  <c r="R10" i="19"/>
  <c r="H8" i="19"/>
  <c r="E39" i="19"/>
  <c r="BM12" i="19"/>
  <c r="AM12" i="19"/>
  <c r="BL13" i="19"/>
  <c r="AJ13" i="19"/>
  <c r="BL17" i="19"/>
  <c r="AJ17" i="19"/>
  <c r="BL21" i="19"/>
  <c r="AJ21" i="19"/>
  <c r="BL25" i="19"/>
  <c r="AJ25" i="19"/>
  <c r="BL14" i="19"/>
  <c r="AJ14" i="19"/>
  <c r="BL22" i="19"/>
  <c r="AJ22" i="19"/>
  <c r="BL10" i="19"/>
  <c r="AJ10" i="19"/>
  <c r="AF7" i="19"/>
  <c r="O39" i="19"/>
  <c r="T37" i="19"/>
  <c r="AK37" i="19"/>
  <c r="T19" i="19"/>
  <c r="AK19" i="19"/>
  <c r="T23" i="19"/>
  <c r="AK23" i="19"/>
  <c r="T27" i="19"/>
  <c r="T31" i="19"/>
  <c r="BK13" i="19"/>
  <c r="AF13" i="19"/>
  <c r="BK14" i="19"/>
  <c r="AF14" i="19"/>
  <c r="BK19" i="19"/>
  <c r="AF19" i="19"/>
  <c r="BK27" i="19"/>
  <c r="AF27" i="19"/>
  <c r="BK18" i="19"/>
  <c r="AF18" i="19"/>
  <c r="BK26" i="19"/>
  <c r="AF26" i="19"/>
  <c r="BK34" i="19"/>
  <c r="AF34" i="19"/>
  <c r="BK15" i="19"/>
  <c r="AF15" i="19"/>
  <c r="BK20" i="19"/>
  <c r="AF20" i="19"/>
  <c r="BK24" i="19"/>
  <c r="AF24" i="19"/>
  <c r="BK36" i="19"/>
  <c r="AF36" i="19"/>
  <c r="BK21" i="19"/>
  <c r="AF21" i="19"/>
  <c r="BK29" i="19"/>
  <c r="AF29" i="19"/>
  <c r="BK35" i="19"/>
  <c r="T46" i="19"/>
  <c r="K46" i="19"/>
  <c r="H46" i="19"/>
  <c r="I46" i="19"/>
  <c r="BL16" i="19"/>
  <c r="AJ16" i="19"/>
  <c r="AK13" i="19"/>
  <c r="J13" i="19"/>
  <c r="K13" i="19"/>
  <c r="AB13" i="19" s="1"/>
  <c r="T13" i="19"/>
  <c r="G39" i="19"/>
  <c r="BL18" i="19"/>
  <c r="AJ18" i="19"/>
  <c r="BL34" i="19"/>
  <c r="AJ34" i="19"/>
  <c r="BL31" i="19"/>
  <c r="AJ31" i="19"/>
  <c r="BL33" i="19"/>
  <c r="AJ33" i="19"/>
  <c r="BL35" i="19"/>
  <c r="AJ35" i="19"/>
  <c r="BL30" i="19"/>
  <c r="AJ30" i="19"/>
  <c r="BL20" i="19"/>
  <c r="AJ20" i="19"/>
  <c r="BL24" i="19"/>
  <c r="AJ24" i="19"/>
  <c r="BL28" i="19"/>
  <c r="AJ28" i="19"/>
  <c r="P8" i="19"/>
  <c r="M39" i="19"/>
  <c r="AF25" i="19"/>
  <c r="AF37" i="19"/>
  <c r="G40" i="19"/>
  <c r="M40" i="19"/>
  <c r="AI40" i="19"/>
  <c r="AK32" i="19"/>
  <c r="H16" i="19"/>
  <c r="K37" i="19"/>
  <c r="AB37" i="19" s="1"/>
  <c r="K19" i="19"/>
  <c r="AB19" i="19" s="1"/>
  <c r="K23" i="19"/>
  <c r="AB23" i="19" s="1"/>
  <c r="K27" i="19"/>
  <c r="AB27" i="19" s="1"/>
  <c r="AK27" i="19"/>
  <c r="K31" i="19"/>
  <c r="AB31" i="19" s="1"/>
  <c r="AW16" i="1"/>
  <c r="AF16" i="1"/>
  <c r="AW13" i="1"/>
  <c r="AF13" i="1"/>
  <c r="AF19" i="1"/>
  <c r="AW19" i="1"/>
  <c r="AF27" i="1"/>
  <c r="AW27" i="1"/>
  <c r="AW18" i="1"/>
  <c r="AF18" i="1"/>
  <c r="AW26" i="1"/>
  <c r="AF26" i="1"/>
  <c r="AF34" i="1"/>
  <c r="AF17" i="1"/>
  <c r="AW17" i="1"/>
  <c r="AF25" i="1"/>
  <c r="AW25" i="1"/>
  <c r="AW35" i="1"/>
  <c r="AF35" i="1"/>
  <c r="AW37" i="1"/>
  <c r="AF37" i="1"/>
  <c r="AW14" i="1"/>
  <c r="AF14" i="1"/>
  <c r="AF23" i="1"/>
  <c r="AW23" i="1"/>
  <c r="AW31" i="1"/>
  <c r="AF31" i="1"/>
  <c r="AW22" i="1"/>
  <c r="AF22" i="1"/>
  <c r="AW30" i="1"/>
  <c r="AF30" i="1"/>
  <c r="AW15" i="1"/>
  <c r="AF15" i="1"/>
  <c r="AW20" i="1"/>
  <c r="AF20" i="1"/>
  <c r="AW24" i="1"/>
  <c r="AF24" i="1"/>
  <c r="AW28" i="1"/>
  <c r="AF28" i="1"/>
  <c r="AW32" i="1"/>
  <c r="AF32" i="1"/>
  <c r="AW36" i="1"/>
  <c r="AF36" i="1"/>
  <c r="AF21" i="1"/>
  <c r="AW21" i="1"/>
  <c r="AF29" i="1"/>
  <c r="AW29" i="1"/>
  <c r="AW33" i="1"/>
  <c r="AF33" i="1"/>
  <c r="K78" i="9"/>
  <c r="K94" i="9"/>
  <c r="K89" i="9"/>
  <c r="K75" i="9"/>
  <c r="K88" i="9"/>
  <c r="K96" i="9"/>
  <c r="K69" i="9"/>
  <c r="E132" i="9"/>
  <c r="F132" i="9" s="1"/>
  <c r="I132" i="9" s="1"/>
  <c r="G132" i="9"/>
  <c r="J132" i="9" s="1"/>
  <c r="E189" i="9"/>
  <c r="F189" i="9" s="1"/>
  <c r="I189" i="9" s="1"/>
  <c r="G189" i="9"/>
  <c r="J189" i="9" s="1"/>
  <c r="G198" i="9"/>
  <c r="J198" i="9" s="1"/>
  <c r="E198" i="9"/>
  <c r="F198" i="9" s="1"/>
  <c r="I198" i="9" s="1"/>
  <c r="E202" i="9"/>
  <c r="F202" i="9" s="1"/>
  <c r="I202" i="9" s="1"/>
  <c r="G202" i="9"/>
  <c r="J202" i="9" s="1"/>
  <c r="G153" i="9"/>
  <c r="J153" i="9" s="1"/>
  <c r="E153" i="9"/>
  <c r="F153" i="9" s="1"/>
  <c r="I153" i="9" s="1"/>
  <c r="E186" i="9"/>
  <c r="F186" i="9" s="1"/>
  <c r="I186" i="9" s="1"/>
  <c r="G186" i="9"/>
  <c r="J186" i="9" s="1"/>
  <c r="E129" i="9"/>
  <c r="F129" i="9" s="1"/>
  <c r="I129" i="9" s="1"/>
  <c r="G129" i="9"/>
  <c r="J129" i="9" s="1"/>
  <c r="E136" i="9"/>
  <c r="F136" i="9" s="1"/>
  <c r="I136" i="9" s="1"/>
  <c r="G136" i="9"/>
  <c r="J136" i="9" s="1"/>
  <c r="G140" i="9"/>
  <c r="J140" i="9" s="1"/>
  <c r="E140" i="9"/>
  <c r="F140" i="9" s="1"/>
  <c r="I140" i="9" s="1"/>
  <c r="G201" i="9"/>
  <c r="J201" i="9" s="1"/>
  <c r="E201" i="9"/>
  <c r="F201" i="9" s="1"/>
  <c r="I201" i="9" s="1"/>
  <c r="G144" i="9"/>
  <c r="J144" i="9" s="1"/>
  <c r="E144" i="9"/>
  <c r="F144" i="9" s="1"/>
  <c r="I144" i="9" s="1"/>
  <c r="E209" i="9"/>
  <c r="F209" i="9" s="1"/>
  <c r="I209" i="9" s="1"/>
  <c r="G209" i="9"/>
  <c r="J209" i="9" s="1"/>
  <c r="E152" i="9"/>
  <c r="F152" i="9" s="1"/>
  <c r="I152" i="9" s="1"/>
  <c r="G152" i="9"/>
  <c r="J152" i="9" s="1"/>
  <c r="G135" i="9"/>
  <c r="J135" i="9" s="1"/>
  <c r="E135" i="9"/>
  <c r="F135" i="9" s="1"/>
  <c r="I135" i="9" s="1"/>
  <c r="E196" i="9"/>
  <c r="F196" i="9" s="1"/>
  <c r="I196" i="9" s="1"/>
  <c r="G196" i="9"/>
  <c r="J196" i="9" s="1"/>
  <c r="E200" i="9"/>
  <c r="F200" i="9" s="1"/>
  <c r="I200" i="9" s="1"/>
  <c r="G200" i="9"/>
  <c r="J200" i="9" s="1"/>
  <c r="G151" i="9"/>
  <c r="J151" i="9" s="1"/>
  <c r="E151" i="9"/>
  <c r="F151" i="9" s="1"/>
  <c r="I151" i="9" s="1"/>
  <c r="G128" i="9"/>
  <c r="J128" i="9" s="1"/>
  <c r="E128" i="9"/>
  <c r="F128" i="9" s="1"/>
  <c r="I128" i="9" s="1"/>
  <c r="E133" i="9"/>
  <c r="F133" i="9" s="1"/>
  <c r="I133" i="9" s="1"/>
  <c r="G133" i="9"/>
  <c r="J133" i="9" s="1"/>
  <c r="E142" i="9"/>
  <c r="F142" i="9" s="1"/>
  <c r="I142" i="9" s="1"/>
  <c r="G142" i="9"/>
  <c r="J142" i="9" s="1"/>
  <c r="G146" i="9"/>
  <c r="J146" i="9" s="1"/>
  <c r="E146" i="9"/>
  <c r="F146" i="9" s="1"/>
  <c r="I146" i="9" s="1"/>
  <c r="G150" i="9"/>
  <c r="J150" i="9" s="1"/>
  <c r="E150" i="9"/>
  <c r="F150" i="9" s="1"/>
  <c r="I150" i="9" s="1"/>
  <c r="E207" i="9"/>
  <c r="F207" i="9" s="1"/>
  <c r="I207" i="9" s="1"/>
  <c r="G207" i="9"/>
  <c r="J207" i="9" s="1"/>
  <c r="E154" i="9"/>
  <c r="F154" i="9" s="1"/>
  <c r="I154" i="9" s="1"/>
  <c r="G154" i="9"/>
  <c r="J154" i="9" s="1"/>
  <c r="E126" i="9"/>
  <c r="F126" i="9" s="1"/>
  <c r="I126" i="9" s="1"/>
  <c r="G126" i="9"/>
  <c r="J126" i="9" s="1"/>
  <c r="G127" i="9"/>
  <c r="J127" i="9" s="1"/>
  <c r="E127" i="9"/>
  <c r="F127" i="9" s="1"/>
  <c r="I127" i="9" s="1"/>
  <c r="K73" i="9"/>
  <c r="K87" i="9"/>
  <c r="K91" i="9"/>
  <c r="K82" i="9"/>
  <c r="K86" i="9"/>
  <c r="K90" i="9"/>
  <c r="K77" i="9"/>
  <c r="K85" i="9"/>
  <c r="K93" i="9"/>
  <c r="K70" i="9"/>
  <c r="K84" i="9"/>
  <c r="K92" i="9"/>
  <c r="E194" i="9"/>
  <c r="F194" i="9" s="1"/>
  <c r="I194" i="9" s="1"/>
  <c r="G194" i="9"/>
  <c r="J194" i="9" s="1"/>
  <c r="G137" i="9"/>
  <c r="J137" i="9" s="1"/>
  <c r="E137" i="9"/>
  <c r="F137" i="9" s="1"/>
  <c r="I137" i="9" s="1"/>
  <c r="G141" i="9"/>
  <c r="J141" i="9" s="1"/>
  <c r="E141" i="9"/>
  <c r="F141" i="9" s="1"/>
  <c r="I141" i="9" s="1"/>
  <c r="E145" i="9"/>
  <c r="F145" i="9" s="1"/>
  <c r="I145" i="9" s="1"/>
  <c r="G145" i="9"/>
  <c r="J145" i="9" s="1"/>
  <c r="G149" i="9"/>
  <c r="J149" i="9" s="1"/>
  <c r="E149" i="9"/>
  <c r="F149" i="9" s="1"/>
  <c r="I149" i="9" s="1"/>
  <c r="E206" i="9"/>
  <c r="F206" i="9" s="1"/>
  <c r="I206" i="9" s="1"/>
  <c r="G206" i="9"/>
  <c r="J206" i="9" s="1"/>
  <c r="G210" i="9"/>
  <c r="J210" i="9" s="1"/>
  <c r="E210" i="9"/>
  <c r="F210" i="9" s="1"/>
  <c r="I210" i="9" s="1"/>
  <c r="G193" i="9"/>
  <c r="J193" i="9" s="1"/>
  <c r="E193" i="9"/>
  <c r="F193" i="9" s="1"/>
  <c r="I193" i="9" s="1"/>
  <c r="G197" i="9"/>
  <c r="J197" i="9" s="1"/>
  <c r="E197" i="9"/>
  <c r="F197" i="9" s="1"/>
  <c r="I197" i="9" s="1"/>
  <c r="G148" i="9"/>
  <c r="J148" i="9" s="1"/>
  <c r="E148" i="9"/>
  <c r="F148" i="9" s="1"/>
  <c r="I148" i="9" s="1"/>
  <c r="E205" i="9"/>
  <c r="F205" i="9" s="1"/>
  <c r="I205" i="9" s="1"/>
  <c r="G205" i="9"/>
  <c r="J205" i="9" s="1"/>
  <c r="G192" i="9"/>
  <c r="J192" i="9" s="1"/>
  <c r="E192" i="9"/>
  <c r="F192" i="9" s="1"/>
  <c r="I192" i="9" s="1"/>
  <c r="G139" i="9"/>
  <c r="J139" i="9" s="1"/>
  <c r="E139" i="9"/>
  <c r="F139" i="9" s="1"/>
  <c r="I139" i="9" s="1"/>
  <c r="G143" i="9"/>
  <c r="J143" i="9" s="1"/>
  <c r="E143" i="9"/>
  <c r="F143" i="9" s="1"/>
  <c r="I143" i="9" s="1"/>
  <c r="E147" i="9"/>
  <c r="F147" i="9" s="1"/>
  <c r="I147" i="9" s="1"/>
  <c r="G147" i="9"/>
  <c r="J147" i="9" s="1"/>
  <c r="G204" i="9"/>
  <c r="J204" i="9" s="1"/>
  <c r="E204" i="9"/>
  <c r="F204" i="9" s="1"/>
  <c r="I204" i="9" s="1"/>
  <c r="E208" i="9"/>
  <c r="F208" i="9" s="1"/>
  <c r="I208" i="9" s="1"/>
  <c r="G208" i="9"/>
  <c r="J208" i="9" s="1"/>
  <c r="E185" i="9"/>
  <c r="F185" i="9" s="1"/>
  <c r="I185" i="9" s="1"/>
  <c r="G185" i="9"/>
  <c r="J185" i="9" s="1"/>
  <c r="G190" i="9"/>
  <c r="J190" i="9" s="1"/>
  <c r="E190" i="9"/>
  <c r="F190" i="9" s="1"/>
  <c r="I190" i="9" s="1"/>
  <c r="G195" i="9"/>
  <c r="J195" i="9" s="1"/>
  <c r="E195" i="9"/>
  <c r="F195" i="9" s="1"/>
  <c r="I195" i="9" s="1"/>
  <c r="G138" i="9"/>
  <c r="J138" i="9" s="1"/>
  <c r="E138" i="9"/>
  <c r="F138" i="9" s="1"/>
  <c r="I138" i="9" s="1"/>
  <c r="G199" i="9"/>
  <c r="J199" i="9" s="1"/>
  <c r="E199" i="9"/>
  <c r="F199" i="9" s="1"/>
  <c r="I199" i="9" s="1"/>
  <c r="G203" i="9"/>
  <c r="J203" i="9" s="1"/>
  <c r="E203" i="9"/>
  <c r="F203" i="9" s="1"/>
  <c r="I203" i="9" s="1"/>
  <c r="G211" i="9"/>
  <c r="J211" i="9" s="1"/>
  <c r="E211" i="9"/>
  <c r="F211" i="9" s="1"/>
  <c r="I211" i="9" s="1"/>
  <c r="G183" i="9"/>
  <c r="J183" i="9" s="1"/>
  <c r="E183" i="9"/>
  <c r="F183" i="9" s="1"/>
  <c r="I183" i="9" s="1"/>
  <c r="E184" i="9"/>
  <c r="F184" i="9" s="1"/>
  <c r="I184" i="9" s="1"/>
  <c r="G184" i="9"/>
  <c r="J184" i="9" s="1"/>
  <c r="K83" i="9"/>
  <c r="K71" i="9"/>
  <c r="E191" i="9"/>
  <c r="F191" i="9" s="1"/>
  <c r="I191" i="9" s="1"/>
  <c r="G191" i="9"/>
  <c r="J191" i="9" s="1"/>
  <c r="E134" i="9"/>
  <c r="F134" i="9" s="1"/>
  <c r="I134" i="9" s="1"/>
  <c r="G134" i="9"/>
  <c r="J134" i="9" s="1"/>
  <c r="E131" i="9"/>
  <c r="F131" i="9" s="1"/>
  <c r="I131" i="9" s="1"/>
  <c r="G131" i="9"/>
  <c r="J131" i="9" s="1"/>
  <c r="G188" i="9"/>
  <c r="J188" i="9" s="1"/>
  <c r="E188" i="9"/>
  <c r="F188" i="9" s="1"/>
  <c r="I188" i="9" s="1"/>
  <c r="E130" i="9"/>
  <c r="F130" i="9" s="1"/>
  <c r="I130" i="9" s="1"/>
  <c r="G130" i="9"/>
  <c r="J130" i="9" s="1"/>
  <c r="G187" i="9"/>
  <c r="J187" i="9" s="1"/>
  <c r="E187" i="9"/>
  <c r="F187" i="9" s="1"/>
  <c r="I187" i="9" s="1"/>
  <c r="K72" i="9"/>
  <c r="I214" i="9"/>
  <c r="K182" i="9"/>
  <c r="K214" i="9" s="1"/>
  <c r="K125" i="9"/>
  <c r="K157" i="9" s="1"/>
  <c r="I157" i="9"/>
  <c r="S49" i="1"/>
  <c r="S57" i="1"/>
  <c r="K57" i="1"/>
  <c r="K49" i="1"/>
  <c r="AB40" i="1"/>
  <c r="K48" i="1"/>
  <c r="K58" i="1"/>
  <c r="O71" i="9"/>
  <c r="F11" i="9" s="1"/>
  <c r="O72" i="9"/>
  <c r="F12" i="9" s="1"/>
  <c r="AK49" i="1"/>
  <c r="AK58" i="1"/>
  <c r="AK57" i="1"/>
  <c r="AK48" i="1"/>
  <c r="M131" i="9"/>
  <c r="D12" i="9"/>
  <c r="M76" i="9"/>
  <c r="AQ48" i="19" l="1"/>
  <c r="AQ49" i="19"/>
  <c r="AS48" i="19"/>
  <c r="AS49" i="19"/>
  <c r="AR49" i="19"/>
  <c r="AR48" i="19"/>
  <c r="AT49" i="19"/>
  <c r="AT48" i="19"/>
  <c r="AP40" i="1"/>
  <c r="AN48" i="1"/>
  <c r="AN57" i="1"/>
  <c r="AP46" i="18"/>
  <c r="AP40" i="17"/>
  <c r="AN57" i="17"/>
  <c r="AN58" i="17"/>
  <c r="AN48" i="17"/>
  <c r="AP55" i="18"/>
  <c r="AN57" i="18"/>
  <c r="AN58" i="18"/>
  <c r="C48" i="19"/>
  <c r="AJ46" i="19"/>
  <c r="AN58" i="1"/>
  <c r="AN57" i="19"/>
  <c r="AN58" i="19"/>
  <c r="AN49" i="19"/>
  <c r="BN40" i="1"/>
  <c r="BN40" i="19" s="1"/>
  <c r="BN39" i="19"/>
  <c r="BI41" i="19"/>
  <c r="BI39" i="19"/>
  <c r="AW15" i="19"/>
  <c r="BK32" i="19"/>
  <c r="AV32" i="19"/>
  <c r="AW32" i="19" s="1"/>
  <c r="BB39" i="1"/>
  <c r="AW26" i="19"/>
  <c r="AW27" i="19"/>
  <c r="AW25" i="19"/>
  <c r="AW23" i="19"/>
  <c r="AW18" i="19"/>
  <c r="AW20" i="19"/>
  <c r="AW31" i="19"/>
  <c r="AW17" i="19"/>
  <c r="AW14" i="19"/>
  <c r="BJ11" i="19"/>
  <c r="AW11" i="19"/>
  <c r="AW13" i="19"/>
  <c r="AW35" i="19"/>
  <c r="AW24" i="19"/>
  <c r="AW29" i="19"/>
  <c r="AV28" i="19"/>
  <c r="AW22" i="19"/>
  <c r="AW36" i="19"/>
  <c r="AW21" i="19"/>
  <c r="AW19" i="19"/>
  <c r="AW34" i="19"/>
  <c r="AW12" i="19"/>
  <c r="AW16" i="19"/>
  <c r="O69" i="9"/>
  <c r="F9" i="9" s="1"/>
  <c r="AW10" i="19"/>
  <c r="T49" i="1"/>
  <c r="U40" i="19"/>
  <c r="U58" i="19" s="1"/>
  <c r="U57" i="1"/>
  <c r="AJ55" i="19"/>
  <c r="U58" i="1"/>
  <c r="U48" i="1"/>
  <c r="T57" i="1"/>
  <c r="T58" i="1"/>
  <c r="K40" i="19"/>
  <c r="J40" i="19"/>
  <c r="R40" i="19"/>
  <c r="S40" i="19"/>
  <c r="T40" i="19"/>
  <c r="AF28" i="19"/>
  <c r="BK33" i="19"/>
  <c r="BK28" i="19"/>
  <c r="AF33" i="19"/>
  <c r="AV33" i="19"/>
  <c r="O70" i="9"/>
  <c r="F10" i="9" s="1"/>
  <c r="AW55" i="19"/>
  <c r="AV9" i="19"/>
  <c r="AL58" i="19"/>
  <c r="AL49" i="19"/>
  <c r="AL57" i="19"/>
  <c r="AF8" i="19"/>
  <c r="AV8" i="19"/>
  <c r="AM55" i="19"/>
  <c r="N48" i="19"/>
  <c r="AD39" i="19"/>
  <c r="AF9" i="19"/>
  <c r="BK9" i="19"/>
  <c r="BK8" i="19"/>
  <c r="N58" i="19"/>
  <c r="O68" i="9"/>
  <c r="F8" i="9" s="1"/>
  <c r="F58" i="19"/>
  <c r="AC40" i="19"/>
  <c r="E58" i="19"/>
  <c r="J55" i="19"/>
  <c r="Y48" i="19"/>
  <c r="N57" i="19"/>
  <c r="O80" i="9"/>
  <c r="F20" i="9" s="1"/>
  <c r="O90" i="9"/>
  <c r="F30" i="9" s="1"/>
  <c r="Q55" i="19"/>
  <c r="O79" i="9"/>
  <c r="F19" i="9" s="1"/>
  <c r="O78" i="9"/>
  <c r="F18" i="9" s="1"/>
  <c r="O81" i="9"/>
  <c r="F21" i="9" s="1"/>
  <c r="F48" i="19"/>
  <c r="T55" i="19"/>
  <c r="AM40" i="19"/>
  <c r="O83" i="9"/>
  <c r="F23" i="9" s="1"/>
  <c r="AE49" i="19"/>
  <c r="X58" i="19"/>
  <c r="O85" i="9"/>
  <c r="F25" i="9" s="1"/>
  <c r="AD40" i="19"/>
  <c r="AD57" i="19" s="1"/>
  <c r="D9" i="12" s="1"/>
  <c r="P55" i="19"/>
  <c r="W49" i="19"/>
  <c r="O93" i="9"/>
  <c r="F33" i="9" s="1"/>
  <c r="O94" i="9"/>
  <c r="F34" i="9" s="1"/>
  <c r="H55" i="19"/>
  <c r="AG48" i="19"/>
  <c r="F49" i="19"/>
  <c r="W58" i="19"/>
  <c r="O57" i="19"/>
  <c r="AG57" i="19"/>
  <c r="AH48" i="19"/>
  <c r="O75" i="9"/>
  <c r="F15" i="9" s="1"/>
  <c r="O89" i="9"/>
  <c r="F29" i="9" s="1"/>
  <c r="F57" i="19"/>
  <c r="I55" i="19"/>
  <c r="Y49" i="19"/>
  <c r="Y57" i="19"/>
  <c r="X48" i="19"/>
  <c r="AH58" i="19"/>
  <c r="E49" i="19"/>
  <c r="R46" i="19"/>
  <c r="AA40" i="19"/>
  <c r="X49" i="19"/>
  <c r="AE57" i="19"/>
  <c r="O77" i="9"/>
  <c r="F17" i="9" s="1"/>
  <c r="O92" i="9"/>
  <c r="F32" i="9" s="1"/>
  <c r="O87" i="9"/>
  <c r="F27" i="9" s="1"/>
  <c r="O76" i="9"/>
  <c r="F16" i="9" s="1"/>
  <c r="O82" i="9"/>
  <c r="F22" i="9" s="1"/>
  <c r="AE58" i="19"/>
  <c r="R55" i="19"/>
  <c r="J46" i="19"/>
  <c r="AG58" i="19"/>
  <c r="AH57" i="19"/>
  <c r="W57" i="19"/>
  <c r="S55" i="19"/>
  <c r="AM46" i="19"/>
  <c r="S46" i="19"/>
  <c r="O84" i="9"/>
  <c r="F24" i="9" s="1"/>
  <c r="Z40" i="19"/>
  <c r="O48" i="19"/>
  <c r="O91" i="9"/>
  <c r="F31" i="9" s="1"/>
  <c r="O88" i="9"/>
  <c r="F28" i="9" s="1"/>
  <c r="O49" i="19"/>
  <c r="Q40" i="19"/>
  <c r="O96" i="9"/>
  <c r="F36" i="9" s="1"/>
  <c r="O73" i="9"/>
  <c r="F13" i="9" s="1"/>
  <c r="O58" i="19"/>
  <c r="O95" i="9"/>
  <c r="F35" i="9" s="1"/>
  <c r="O86" i="9"/>
  <c r="F26" i="9" s="1"/>
  <c r="O74" i="9"/>
  <c r="F14" i="9" s="1"/>
  <c r="AK39" i="19"/>
  <c r="BB39" i="19" s="1"/>
  <c r="AF39" i="1"/>
  <c r="K208" i="9"/>
  <c r="N208" i="9" s="1"/>
  <c r="K147" i="9"/>
  <c r="K205" i="9"/>
  <c r="N205" i="9" s="1"/>
  <c r="K145" i="9"/>
  <c r="K194" i="9"/>
  <c r="N194" i="9" s="1"/>
  <c r="E48" i="19"/>
  <c r="E57" i="19"/>
  <c r="AK40" i="19"/>
  <c r="AK57" i="19" s="1"/>
  <c r="AJ40" i="19"/>
  <c r="AI58" i="19"/>
  <c r="AI49" i="19"/>
  <c r="AI57" i="19"/>
  <c r="AI48" i="19"/>
  <c r="M57" i="19"/>
  <c r="M58" i="19"/>
  <c r="M49" i="19"/>
  <c r="M48" i="19"/>
  <c r="H40" i="19"/>
  <c r="I40" i="19"/>
  <c r="G57" i="19"/>
  <c r="G48" i="19"/>
  <c r="G58" i="19"/>
  <c r="G49" i="19"/>
  <c r="BJ35" i="19"/>
  <c r="BJ29" i="19"/>
  <c r="BJ21" i="19"/>
  <c r="BJ32" i="19"/>
  <c r="BJ24" i="19"/>
  <c r="BJ15" i="19"/>
  <c r="BJ19" i="19"/>
  <c r="BJ13" i="19"/>
  <c r="BJ10" i="19"/>
  <c r="BJ22" i="19"/>
  <c r="BJ37" i="19"/>
  <c r="P40" i="19"/>
  <c r="BJ12" i="19"/>
  <c r="BJ36" i="19"/>
  <c r="BJ20" i="19"/>
  <c r="BJ34" i="19"/>
  <c r="BJ26" i="19"/>
  <c r="BJ18" i="19"/>
  <c r="BJ27" i="19"/>
  <c r="BJ14" i="19"/>
  <c r="BJ25" i="19"/>
  <c r="BJ17" i="19"/>
  <c r="BJ30" i="19"/>
  <c r="BJ31" i="19"/>
  <c r="BJ23" i="19"/>
  <c r="BJ16" i="19"/>
  <c r="K184" i="9"/>
  <c r="N184" i="9" s="1"/>
  <c r="K183" i="9"/>
  <c r="N183" i="9" s="1"/>
  <c r="K126" i="9"/>
  <c r="K150" i="9"/>
  <c r="K146" i="9"/>
  <c r="K142" i="9"/>
  <c r="K128" i="9"/>
  <c r="K151" i="9"/>
  <c r="K135" i="9"/>
  <c r="K209" i="9"/>
  <c r="N209" i="9" s="1"/>
  <c r="K144" i="9"/>
  <c r="K201" i="9"/>
  <c r="N201" i="9" s="1"/>
  <c r="K140" i="9"/>
  <c r="K153" i="9"/>
  <c r="K198" i="9"/>
  <c r="N198" i="9" s="1"/>
  <c r="K187" i="9"/>
  <c r="N187" i="9" s="1"/>
  <c r="K188" i="9"/>
  <c r="N188" i="9" s="1"/>
  <c r="K131" i="9"/>
  <c r="K211" i="9"/>
  <c r="N211" i="9" s="1"/>
  <c r="K203" i="9"/>
  <c r="N203" i="9" s="1"/>
  <c r="K199" i="9"/>
  <c r="N199" i="9" s="1"/>
  <c r="K138" i="9"/>
  <c r="K195" i="9"/>
  <c r="N195" i="9" s="1"/>
  <c r="K190" i="9"/>
  <c r="N190" i="9" s="1"/>
  <c r="K185" i="9"/>
  <c r="N185" i="9" s="1"/>
  <c r="K204" i="9"/>
  <c r="N204" i="9" s="1"/>
  <c r="K143" i="9"/>
  <c r="K139" i="9"/>
  <c r="K192" i="9"/>
  <c r="N192" i="9" s="1"/>
  <c r="K148" i="9"/>
  <c r="K197" i="9"/>
  <c r="N197" i="9" s="1"/>
  <c r="K193" i="9"/>
  <c r="N193" i="9" s="1"/>
  <c r="K210" i="9"/>
  <c r="N210" i="9" s="1"/>
  <c r="K206" i="9"/>
  <c r="N206" i="9" s="1"/>
  <c r="K149" i="9"/>
  <c r="K141" i="9"/>
  <c r="K137" i="9"/>
  <c r="K127" i="9"/>
  <c r="K154" i="9"/>
  <c r="K207" i="9"/>
  <c r="N207" i="9" s="1"/>
  <c r="K133" i="9"/>
  <c r="K200" i="9"/>
  <c r="N200" i="9" s="1"/>
  <c r="K196" i="9"/>
  <c r="N196" i="9" s="1"/>
  <c r="K152" i="9"/>
  <c r="K136" i="9"/>
  <c r="K129" i="9"/>
  <c r="K186" i="9"/>
  <c r="N186" i="9" s="1"/>
  <c r="K202" i="9"/>
  <c r="N202" i="9" s="1"/>
  <c r="K189" i="9"/>
  <c r="N189" i="9" s="1"/>
  <c r="K132" i="9"/>
  <c r="K134" i="9"/>
  <c r="K191" i="9"/>
  <c r="N191" i="9" s="1"/>
  <c r="K130" i="9"/>
  <c r="N212" i="9"/>
  <c r="N182" i="9"/>
  <c r="N214" i="9" s="1"/>
  <c r="AV58" i="1"/>
  <c r="M77" i="9"/>
  <c r="M132" i="9"/>
  <c r="D13" i="9"/>
  <c r="BN41" i="19" l="1"/>
  <c r="AW33" i="19"/>
  <c r="AW28" i="19"/>
  <c r="BJ28" i="19"/>
  <c r="AW9" i="19"/>
  <c r="S49" i="19"/>
  <c r="BJ8" i="19"/>
  <c r="S48" i="19"/>
  <c r="S58" i="19"/>
  <c r="BJ33" i="19"/>
  <c r="AF39" i="19"/>
  <c r="AF40" i="19"/>
  <c r="T57" i="19"/>
  <c r="U49" i="19"/>
  <c r="U57" i="19"/>
  <c r="U48" i="19"/>
  <c r="AW8" i="19"/>
  <c r="BJ9" i="19"/>
  <c r="S57" i="19"/>
  <c r="AD48" i="19"/>
  <c r="C9" i="12" s="1"/>
  <c r="AD58" i="19"/>
  <c r="AD49" i="19"/>
  <c r="T48" i="19"/>
  <c r="T58" i="19"/>
  <c r="T49" i="19"/>
  <c r="AK48" i="19"/>
  <c r="AK58" i="19"/>
  <c r="AK49" i="19"/>
  <c r="K48" i="19"/>
  <c r="K49" i="19"/>
  <c r="K58" i="19"/>
  <c r="K57" i="19"/>
  <c r="AB40" i="19"/>
  <c r="M133" i="9"/>
  <c r="D14" i="9"/>
  <c r="M78" i="9"/>
  <c r="AF49" i="19" l="1"/>
  <c r="AF57" i="19"/>
  <c r="AF58" i="19"/>
  <c r="AF48" i="19"/>
  <c r="M79" i="9"/>
  <c r="M134" i="9"/>
  <c r="D15" i="9"/>
  <c r="M135" i="9" l="1"/>
  <c r="D16" i="9"/>
  <c r="M80" i="9"/>
  <c r="M81" i="9" l="1"/>
  <c r="M136" i="9"/>
  <c r="D17" i="9"/>
  <c r="M137" i="9" l="1"/>
  <c r="D18" i="9"/>
  <c r="M82" i="9"/>
  <c r="M138" i="9" l="1"/>
  <c r="D19" i="9"/>
  <c r="M83" i="9"/>
  <c r="M84" i="9" l="1"/>
  <c r="M139" i="9"/>
  <c r="D20" i="9"/>
  <c r="M140" i="9" l="1"/>
  <c r="D21" i="9"/>
  <c r="M85" i="9"/>
  <c r="M86" i="9" l="1"/>
  <c r="M141" i="9"/>
  <c r="D22" i="9"/>
  <c r="M142" i="9" l="1"/>
  <c r="D23" i="9"/>
  <c r="M87" i="9"/>
  <c r="M88" i="9" l="1"/>
  <c r="M143" i="9"/>
  <c r="D24" i="9"/>
  <c r="M144" i="9" l="1"/>
  <c r="D25" i="9"/>
  <c r="M89" i="9"/>
  <c r="M90" i="9" l="1"/>
  <c r="M145" i="9"/>
  <c r="D26" i="9"/>
  <c r="M146" i="9" l="1"/>
  <c r="D27" i="9"/>
  <c r="M91" i="9"/>
  <c r="M92" i="9" l="1"/>
  <c r="M147" i="9"/>
  <c r="D28" i="9"/>
  <c r="M148" i="9" l="1"/>
  <c r="D29" i="9"/>
  <c r="M93" i="9"/>
  <c r="M94" i="9" l="1"/>
  <c r="M149" i="9"/>
  <c r="D30" i="9"/>
  <c r="M150" i="9" l="1"/>
  <c r="D31" i="9"/>
  <c r="M95" i="9"/>
  <c r="M96" i="9" l="1"/>
  <c r="M151" i="9"/>
  <c r="D32" i="9"/>
  <c r="M152" i="9" l="1"/>
  <c r="D33" i="9"/>
  <c r="M97" i="9"/>
  <c r="M99" i="9" l="1"/>
  <c r="M153" i="9"/>
  <c r="D34" i="9"/>
  <c r="M154" i="9" l="1"/>
  <c r="D35" i="9"/>
  <c r="N86" i="9"/>
  <c r="N84" i="9"/>
  <c r="N82" i="9"/>
  <c r="N72" i="9"/>
  <c r="N74" i="9"/>
  <c r="N95" i="9"/>
  <c r="N78" i="9"/>
  <c r="N91" i="9"/>
  <c r="N93" i="9"/>
  <c r="N87" i="9"/>
  <c r="N75" i="9"/>
  <c r="N69" i="9"/>
  <c r="N77" i="9"/>
  <c r="N92" i="9"/>
  <c r="N88" i="9"/>
  <c r="N79" i="9"/>
  <c r="N68" i="9"/>
  <c r="N70" i="9"/>
  <c r="N85" i="9"/>
  <c r="N73" i="9"/>
  <c r="N76" i="9"/>
  <c r="N80" i="9"/>
  <c r="N96" i="9"/>
  <c r="N90" i="9"/>
  <c r="N83" i="9"/>
  <c r="N89" i="9"/>
  <c r="N94" i="9"/>
  <c r="N97" i="9"/>
  <c r="N71" i="9"/>
  <c r="N81" i="9"/>
  <c r="N67" i="9"/>
  <c r="N99" i="9" l="1"/>
  <c r="M155" i="9"/>
  <c r="D36" i="9"/>
  <c r="M157" i="9" l="1"/>
  <c r="D37" i="9"/>
  <c r="D39" i="9" s="1"/>
  <c r="N130" i="9" l="1"/>
  <c r="E12" i="9" s="1"/>
  <c r="N136" i="9"/>
  <c r="E18" i="9" s="1"/>
  <c r="N133" i="9"/>
  <c r="E15" i="9" s="1"/>
  <c r="N142" i="9"/>
  <c r="E24" i="9" s="1"/>
  <c r="N128" i="9"/>
  <c r="E10" i="9" s="1"/>
  <c r="N135" i="9"/>
  <c r="E17" i="9" s="1"/>
  <c r="N141" i="9"/>
  <c r="E23" i="9" s="1"/>
  <c r="N125" i="9"/>
  <c r="N138" i="9"/>
  <c r="E20" i="9" s="1"/>
  <c r="N149" i="9"/>
  <c r="E31" i="9" s="1"/>
  <c r="N154" i="9"/>
  <c r="E36" i="9" s="1"/>
  <c r="N151" i="9"/>
  <c r="E33" i="9" s="1"/>
  <c r="N155" i="9"/>
  <c r="E37" i="9" s="1"/>
  <c r="N139" i="9"/>
  <c r="E21" i="9" s="1"/>
  <c r="N140" i="9"/>
  <c r="E22" i="9" s="1"/>
  <c r="N132" i="9"/>
  <c r="E14" i="9" s="1"/>
  <c r="N144" i="9"/>
  <c r="E26" i="9" s="1"/>
  <c r="N129" i="9"/>
  <c r="E11" i="9" s="1"/>
  <c r="N143" i="9"/>
  <c r="E25" i="9" s="1"/>
  <c r="N134" i="9"/>
  <c r="E16" i="9" s="1"/>
  <c r="N126" i="9"/>
  <c r="E8" i="9" s="1"/>
  <c r="N148" i="9"/>
  <c r="E30" i="9" s="1"/>
  <c r="N152" i="9"/>
  <c r="E34" i="9" s="1"/>
  <c r="N153" i="9"/>
  <c r="E35" i="9" s="1"/>
  <c r="N131" i="9"/>
  <c r="E13" i="9" s="1"/>
  <c r="N137" i="9"/>
  <c r="E19" i="9" s="1"/>
  <c r="N145" i="9"/>
  <c r="E27" i="9" s="1"/>
  <c r="N146" i="9"/>
  <c r="E28" i="9" s="1"/>
  <c r="N127" i="9"/>
  <c r="E9" i="9" s="1"/>
  <c r="N147" i="9"/>
  <c r="E29" i="9" s="1"/>
  <c r="N150" i="9"/>
  <c r="E32" i="9" s="1"/>
  <c r="N157" i="9" l="1"/>
  <c r="E7" i="9"/>
  <c r="E39" i="9" s="1"/>
  <c r="BM40" i="1"/>
  <c r="BL40" i="1"/>
  <c r="BK39" i="19"/>
  <c r="BJ39" i="19"/>
  <c r="BM40" i="19" l="1"/>
  <c r="BM39" i="19" s="1"/>
  <c r="BL40" i="19"/>
  <c r="BL39" i="19" s="1"/>
  <c r="BN54" i="19" l="1"/>
  <c r="BI39" i="18"/>
  <c r="AV7" i="17"/>
  <c r="AV39" i="17" s="1"/>
  <c r="BI7" i="17"/>
  <c r="BH41" i="17" s="1"/>
  <c r="AP7" i="17"/>
  <c r="AP39" i="17" s="1"/>
  <c r="BN7" i="17"/>
  <c r="BM41" i="17" s="1"/>
  <c r="BM41" i="19" s="1"/>
  <c r="AO39" i="17"/>
  <c r="BN39" i="17" s="1"/>
  <c r="AO39" i="1"/>
  <c r="AP7" i="1"/>
  <c r="AP39" i="1" s="1"/>
  <c r="AV7" i="1"/>
  <c r="AV39" i="1" s="1"/>
  <c r="O67" i="9" l="1"/>
  <c r="F7" i="9" s="1"/>
  <c r="F39" i="9" s="1"/>
  <c r="AW7" i="17"/>
  <c r="AW7" i="1"/>
  <c r="AO40" i="18"/>
  <c r="AO48" i="18" s="1"/>
  <c r="BN7" i="18"/>
  <c r="AO7" i="19"/>
  <c r="AO40" i="19" s="1"/>
  <c r="AO48" i="19" s="1"/>
  <c r="AP7" i="18"/>
  <c r="AP39" i="18" s="1"/>
  <c r="BI7" i="18"/>
  <c r="BH41" i="18" s="1"/>
  <c r="BH41" i="19" s="1"/>
  <c r="AO39" i="18"/>
  <c r="BN39" i="18" s="1"/>
  <c r="AV7" i="18"/>
  <c r="AV39" i="18" s="1"/>
  <c r="O99" i="9" l="1"/>
  <c r="AO58" i="19"/>
  <c r="AO57" i="19"/>
  <c r="AP40" i="19"/>
  <c r="AO49" i="19"/>
  <c r="AO57" i="18"/>
  <c r="AO58" i="18"/>
  <c r="AP40" i="18"/>
  <c r="AV7" i="19"/>
  <c r="AP7" i="19"/>
  <c r="AO39" i="19"/>
  <c r="AW7" i="18"/>
  <c r="AO49" i="18"/>
  <c r="BJ7" i="19" l="1"/>
  <c r="AV39" i="19"/>
  <c r="AW7" i="19"/>
  <c r="AV40" i="19"/>
  <c r="AV49" i="19" l="1"/>
  <c r="AV58" i="19"/>
  <c r="AV48" i="19"/>
  <c r="AW40" i="19"/>
  <c r="AV57" i="19"/>
</calcChain>
</file>

<file path=xl/sharedStrings.xml><?xml version="1.0" encoding="utf-8"?>
<sst xmlns="http://schemas.openxmlformats.org/spreadsheetml/2006/main" count="758" uniqueCount="138">
  <si>
    <t>Consolidated Income</t>
  </si>
  <si>
    <t xml:space="preserve">       </t>
  </si>
  <si>
    <t xml:space="preserve">        </t>
  </si>
  <si>
    <t xml:space="preserve">          </t>
  </si>
  <si>
    <t xml:space="preserve"> </t>
  </si>
  <si>
    <t xml:space="preserve">      </t>
  </si>
  <si>
    <t xml:space="preserve">   Total  </t>
  </si>
  <si>
    <t xml:space="preserve"> Day   </t>
  </si>
  <si>
    <t xml:space="preserve"> Fecha  </t>
  </si>
  <si>
    <t>/Cust.</t>
  </si>
  <si>
    <t xml:space="preserve">      Win </t>
  </si>
  <si>
    <t>Units</t>
  </si>
  <si>
    <t>/Units.</t>
  </si>
  <si>
    <t xml:space="preserve">/Seat </t>
  </si>
  <si>
    <t xml:space="preserve">   Gaming </t>
  </si>
  <si>
    <t xml:space="preserve">Total final     </t>
  </si>
  <si>
    <t>SLOTS</t>
  </si>
  <si>
    <t>Coin in</t>
  </si>
  <si>
    <t>BINGO</t>
  </si>
  <si>
    <t>Cards</t>
  </si>
  <si>
    <t>nº</t>
  </si>
  <si>
    <t>Win</t>
  </si>
  <si>
    <t>Net</t>
  </si>
  <si>
    <t>win</t>
  </si>
  <si>
    <t>Sales</t>
  </si>
  <si>
    <t>REVENUES</t>
  </si>
  <si>
    <t>MTD Average</t>
  </si>
  <si>
    <t>Seats</t>
  </si>
  <si>
    <t>Custom.</t>
  </si>
  <si>
    <t>Drop</t>
  </si>
  <si>
    <t>coin in</t>
  </si>
  <si>
    <t>% win/</t>
  </si>
  <si>
    <t>BIYEMAS S.A.</t>
  </si>
  <si>
    <t>KANDIKO S.A.</t>
  </si>
  <si>
    <t>REBISCO S.A.</t>
  </si>
  <si>
    <t>(Slot + RE)</t>
  </si>
  <si>
    <t>/ Stand</t>
  </si>
  <si>
    <t>electronic</t>
  </si>
  <si>
    <t>positions</t>
  </si>
  <si>
    <t>Total</t>
  </si>
  <si>
    <t>vs. Budget</t>
  </si>
  <si>
    <t>Positions</t>
  </si>
  <si>
    <t>Electronic</t>
  </si>
  <si>
    <t>Bingo</t>
  </si>
  <si>
    <t>F&amp;B</t>
  </si>
  <si>
    <t>TOTAL NET</t>
  </si>
  <si>
    <t>Deviation</t>
  </si>
  <si>
    <t>Customers</t>
  </si>
  <si>
    <t>MTD average:</t>
  </si>
  <si>
    <t>Dev from budget:</t>
  </si>
  <si>
    <t>Budget</t>
  </si>
  <si>
    <t>Daily budget (w/seasonality)</t>
  </si>
  <si>
    <t>Weekly seasonality factor</t>
  </si>
  <si>
    <t>Weekday / month</t>
  </si>
  <si>
    <t>Week number</t>
  </si>
  <si>
    <t>Weekday / week</t>
  </si>
  <si>
    <t>Estacionalidad por mes del año</t>
  </si>
  <si>
    <t>Estacionalidad por semana del mes</t>
  </si>
  <si>
    <t>Estacionalidad por día de la semana</t>
  </si>
  <si>
    <t>Coin-in</t>
  </si>
  <si>
    <t>Month #</t>
  </si>
  <si>
    <t># Days</t>
  </si>
  <si>
    <t>Average coin in</t>
  </si>
  <si>
    <t>Seasonality index</t>
  </si>
  <si>
    <t>Week #</t>
  </si>
  <si>
    <t>Days / year</t>
  </si>
  <si>
    <t>Weeks / year</t>
  </si>
  <si>
    <t>Day</t>
  </si>
  <si>
    <t>Days/year 2007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</si>
  <si>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</si>
  <si>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</si>
  <si>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</si>
  <si>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</si>
  <si>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</si>
  <si>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</si>
  <si>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</si>
  <si>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</si>
  <si>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Daily budget (average)</t>
  </si>
  <si>
    <t>Combined factor</t>
  </si>
  <si>
    <t>Actual daily net revenues</t>
  </si>
  <si>
    <t>Daily seasonality factor</t>
  </si>
  <si>
    <t xml:space="preserve">Revenues </t>
  </si>
  <si>
    <t>▲ Prom diario %</t>
  </si>
  <si>
    <t>▲ Prom diario $</t>
  </si>
  <si>
    <t>on line</t>
  </si>
  <si>
    <t>FOOD &amp; BEVERAGE</t>
  </si>
  <si>
    <t>MAQUINA POKER</t>
  </si>
  <si>
    <t xml:space="preserve">  Electronic</t>
  </si>
  <si>
    <t>Consolidado</t>
  </si>
  <si>
    <t>Biyemas</t>
  </si>
  <si>
    <t>Kandiko</t>
  </si>
  <si>
    <t>Rebisco</t>
  </si>
  <si>
    <t>Recaudacion</t>
  </si>
  <si>
    <t>Acumulado</t>
  </si>
  <si>
    <t>On line</t>
  </si>
  <si>
    <t>Financial</t>
  </si>
  <si>
    <t>Difference</t>
  </si>
  <si>
    <t xml:space="preserve">    Total </t>
  </si>
  <si>
    <t xml:space="preserve">    Bingo </t>
  </si>
  <si>
    <t xml:space="preserve">     F&amp;B  </t>
  </si>
  <si>
    <t xml:space="preserve">      F&amp;B </t>
  </si>
  <si>
    <t xml:space="preserve">Lun/Mon    </t>
  </si>
  <si>
    <t xml:space="preserve">Mar/Tue    </t>
  </si>
  <si>
    <t xml:space="preserve">Mie/Wed    </t>
  </si>
  <si>
    <t xml:space="preserve">Jue/Thu    </t>
  </si>
  <si>
    <t xml:space="preserve">Vie/Fri    </t>
  </si>
  <si>
    <t xml:space="preserve">Total final mes ant.  </t>
  </si>
  <si>
    <t xml:space="preserve">MTD average mes ant.  </t>
  </si>
  <si>
    <t xml:space="preserve">Total final anio ant. </t>
  </si>
  <si>
    <t xml:space="preserve">MTD average anio ant. </t>
  </si>
  <si>
    <t>Revenues vs. Budget (w/seasonality)</t>
  </si>
  <si>
    <t xml:space="preserve">Sab/Sat    </t>
  </si>
  <si>
    <t xml:space="preserve">Dom/Sun    </t>
  </si>
  <si>
    <t>ON LINE</t>
  </si>
  <si>
    <t>ELECTRONIC ROULLETTE - ON LINE</t>
  </si>
  <si>
    <t>DIA</t>
  </si>
  <si>
    <t xml:space="preserve">Dev from budget mes ant.       </t>
  </si>
  <si>
    <t xml:space="preserve">Dev from budget anio ant.      </t>
  </si>
  <si>
    <t>vs mes ant</t>
  </si>
  <si>
    <t>vs año ant</t>
  </si>
  <si>
    <t xml:space="preserve">  Parking </t>
  </si>
  <si>
    <t>PARKING</t>
  </si>
  <si>
    <t>Parking</t>
  </si>
  <si>
    <t>Vehicles</t>
  </si>
  <si>
    <t>/Vehic</t>
  </si>
  <si>
    <t>Desviation</t>
  </si>
  <si>
    <t xml:space="preserve">    Simulador </t>
  </si>
  <si>
    <t xml:space="preserve">  PlayStation </t>
  </si>
  <si>
    <t xml:space="preserve">       Arcade </t>
  </si>
  <si>
    <t xml:space="preserve">    Total EGA </t>
  </si>
  <si>
    <t xml:space="preserve">  Total PRM </t>
  </si>
  <si>
    <t>EGA</t>
  </si>
  <si>
    <t>Reporte Flash Agosto 26</t>
  </si>
  <si>
    <t>Reporte Flash Julio 2026</t>
  </si>
  <si>
    <t>Reporte Flash Agosto 25</t>
  </si>
  <si>
    <t>Slots</t>
  </si>
  <si>
    <t>Ruletas</t>
  </si>
  <si>
    <t>Total 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</si>
</sst>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 * #,##0.00_ ;_ * \-#,##0.00_ ;_ * &quot;-&quot;??_ ;_ @_ "/>
    <numFmt numFmtId="165" formatCode="mm\-dd\-yy"/>
    <numFmt numFmtId="166" formatCode="0.0%"/>
    <numFmt numFmtId="167" formatCode="0.0"/>
    <numFmt numFmtId="168" formatCode="#,##0.0"/>
    <numFmt numFmtId="169" formatCode="dd\-mm\-yy;@"/>
    <numFmt numFmtId="170" formatCode="0.00%;[Red]\-0.00%"/>
    <numFmt numFmtId="171" formatCode="[$$-2C0A]\ #,##0"/>
    <numFmt numFmtId="172" formatCode="0_ ;[Red]\-0\ "/>
    <numFmt numFmtId="173" formatCode="0.0_ ;[Red]\-0.0\ "/>
    <numFmt numFmtId="174" formatCode="_ * #,##0_ ;_ * \-#,##0_ ;_ * &quot;-&quot;??_ ;_ @_ "/>
    <numFmt numFmtId="175" formatCode="#,##0_ ;[Red]\-#,##0\ "/>
    <numFmt numFmtId="176" formatCode="[$$-2C0A]\ #,##0.00"/>
    <numFmt numFmtId="177" formatCode="0.0000"/>
    <numFmt numFmtId="178" formatCode="0.00_ ;[Red]\-0.00\ "/>
    <numFmt numFmtId="179" formatCode="#,##0.0000"/>
    <numFmt numFmtId="180" formatCode="#,##0.000"/>
    <numFmt numFmtId="181" formatCode="0.0%;[Red]\-0.0%"/>
    <numFmt numFmtId="182" formatCode="0.0000%"/>
    <numFmt numFmtId="183" formatCode="#,##0.000000"/>
    <numFmt numFmtId="184" formatCode="0.000000%"/>
    <numFmt numFmtId="185" formatCode="#,##0.0000000000000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color indexed="9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top"/>
    </xf>
    <xf numFmtId="164" fontId="2" fillId="0" borderId="0" applyFont="0" applyFill="0" applyBorder="0" applyAlignment="0" applyProtection="0"/>
    <xf numFmtId="0" fontId="14" fillId="0" borderId="0"/>
    <xf numFmtId="0" fontId="2" fillId="0" borderId="0">
      <alignment vertical="top"/>
    </xf>
    <xf numFmtId="9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38" applyNumberFormat="0" applyFill="0" applyAlignment="0" applyProtection="0"/>
    <xf numFmtId="0" fontId="17" fillId="0" borderId="39" applyNumberFormat="0" applyFill="0" applyAlignment="0" applyProtection="0"/>
    <xf numFmtId="0" fontId="18" fillId="0" borderId="40" applyNumberFormat="0" applyFill="0" applyAlignment="0" applyProtection="0"/>
    <xf numFmtId="0" fontId="18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41" applyNumberFormat="0" applyAlignment="0" applyProtection="0"/>
    <xf numFmtId="0" fontId="23" fillId="13" borderId="42" applyNumberFormat="0" applyAlignment="0" applyProtection="0"/>
    <xf numFmtId="0" fontId="24" fillId="13" borderId="41" applyNumberFormat="0" applyAlignment="0" applyProtection="0"/>
    <xf numFmtId="0" fontId="25" fillId="0" borderId="43" applyNumberFormat="0" applyFill="0" applyAlignment="0" applyProtection="0"/>
    <xf numFmtId="0" fontId="26" fillId="14" borderId="44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46" applyNumberFormat="0" applyFill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0" fillId="39" borderId="0" applyNumberFormat="0" applyBorder="0" applyAlignment="0" applyProtection="0"/>
    <xf numFmtId="0" fontId="1" fillId="0" borderId="0"/>
    <xf numFmtId="0" fontId="1" fillId="15" borderId="45" applyNumberFormat="0" applyFont="0" applyAlignment="0" applyProtection="0"/>
  </cellStyleXfs>
  <cellXfs count="339"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169" fontId="6" fillId="0" borderId="0" xfId="0" applyNumberFormat="1" applyFont="1" applyAlignment="1">
      <alignment horizontal="centerContinuous" vertical="center"/>
    </xf>
    <xf numFmtId="0" fontId="6" fillId="0" borderId="0" xfId="3" applyFont="1" applyAlignment="1"/>
    <xf numFmtId="3" fontId="6" fillId="0" borderId="0" xfId="4" applyNumberFormat="1" applyFont="1"/>
    <xf numFmtId="3" fontId="6" fillId="0" borderId="0" xfId="3" applyNumberFormat="1" applyFont="1" applyAlignment="1"/>
    <xf numFmtId="177" fontId="6" fillId="0" borderId="0" xfId="3" applyNumberFormat="1" applyFont="1" applyAlignment="1"/>
    <xf numFmtId="0" fontId="5" fillId="0" borderId="0" xfId="0" applyFont="1" applyAlignment="1">
      <alignment horizontal="centerContinuous" vertical="center"/>
    </xf>
    <xf numFmtId="165" fontId="5" fillId="0" borderId="0" xfId="0" applyNumberFormat="1" applyFont="1" applyAlignment="1">
      <alignment horizontal="centerContinuous" vertical="center"/>
    </xf>
    <xf numFmtId="166" fontId="6" fillId="0" borderId="0" xfId="4" applyNumberFormat="1" applyFont="1"/>
    <xf numFmtId="9" fontId="6" fillId="0" borderId="0" xfId="4" applyFont="1"/>
    <xf numFmtId="4" fontId="5" fillId="0" borderId="1" xfId="3" applyNumberFormat="1" applyFont="1" applyBorder="1" applyAlignment="1"/>
    <xf numFmtId="3" fontId="5" fillId="0" borderId="1" xfId="3" applyNumberFormat="1" applyFont="1" applyBorder="1" applyAlignment="1"/>
    <xf numFmtId="165" fontId="6" fillId="0" borderId="0" xfId="0" applyNumberFormat="1" applyFont="1" applyAlignment="1">
      <alignment horizontal="centerContinuous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0" fontId="6" fillId="0" borderId="13" xfId="4" applyNumberFormat="1" applyFont="1" applyBorder="1"/>
    <xf numFmtId="170" fontId="6" fillId="0" borderId="14" xfId="4" applyNumberFormat="1" applyFont="1" applyBorder="1"/>
    <xf numFmtId="170" fontId="6" fillId="0" borderId="0" xfId="4" applyNumberFormat="1" applyFont="1" applyBorder="1"/>
    <xf numFmtId="0" fontId="9" fillId="0" borderId="0" xfId="0" applyFont="1" applyAlignment="1"/>
    <xf numFmtId="3" fontId="3" fillId="0" borderId="7" xfId="0" applyNumberFormat="1" applyFont="1" applyBorder="1" applyAlignment="1"/>
    <xf numFmtId="3" fontId="3" fillId="0" borderId="0" xfId="0" applyNumberFormat="1" applyFont="1" applyAlignment="1"/>
    <xf numFmtId="166" fontId="3" fillId="0" borderId="0" xfId="4" applyNumberFormat="1" applyFont="1" applyBorder="1"/>
    <xf numFmtId="167" fontId="3" fillId="0" borderId="0" xfId="0" applyNumberFormat="1" applyFont="1" applyAlignment="1"/>
    <xf numFmtId="3" fontId="3" fillId="0" borderId="5" xfId="0" applyNumberFormat="1" applyFont="1" applyBorder="1" applyAlignment="1"/>
    <xf numFmtId="168" fontId="3" fillId="0" borderId="7" xfId="0" applyNumberFormat="1" applyFont="1" applyBorder="1" applyAlignment="1"/>
    <xf numFmtId="3" fontId="3" fillId="0" borderId="6" xfId="0" applyNumberFormat="1" applyFont="1" applyBorder="1" applyAlignment="1"/>
    <xf numFmtId="167" fontId="3" fillId="0" borderId="7" xfId="0" applyNumberFormat="1" applyFont="1" applyBorder="1" applyAlignment="1"/>
    <xf numFmtId="0" fontId="3" fillId="0" borderId="0" xfId="0" applyFont="1" applyAlignment="1"/>
    <xf numFmtId="0" fontId="3" fillId="0" borderId="1" xfId="0" applyFont="1" applyBorder="1" applyAlignment="1"/>
    <xf numFmtId="3" fontId="3" fillId="0" borderId="1" xfId="0" applyNumberFormat="1" applyFont="1" applyBorder="1" applyAlignment="1"/>
    <xf numFmtId="4" fontId="3" fillId="0" borderId="1" xfId="0" applyNumberFormat="1" applyFont="1" applyBorder="1" applyAlignment="1"/>
    <xf numFmtId="179" fontId="3" fillId="0" borderId="1" xfId="0" applyNumberFormat="1" applyFont="1" applyBorder="1" applyAlignment="1"/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16" xfId="4" applyNumberFormat="1" applyFont="1" applyBorder="1"/>
    <xf numFmtId="3" fontId="5" fillId="0" borderId="16" xfId="0" applyNumberFormat="1" applyFont="1" applyBorder="1" applyAlignment="1"/>
    <xf numFmtId="167" fontId="5" fillId="0" borderId="17" xfId="0" applyNumberFormat="1" applyFont="1" applyBorder="1" applyAlignment="1"/>
    <xf numFmtId="3" fontId="5" fillId="0" borderId="17" xfId="0" applyNumberFormat="1" applyFont="1" applyBorder="1" applyAlignment="1"/>
    <xf numFmtId="3" fontId="5" fillId="0" borderId="18" xfId="0" applyNumberFormat="1" applyFont="1" applyBorder="1" applyAlignment="1"/>
    <xf numFmtId="168" fontId="5" fillId="0" borderId="17" xfId="0" applyNumberFormat="1" applyFont="1" applyBorder="1" applyAlignment="1"/>
    <xf numFmtId="0" fontId="5" fillId="0" borderId="4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Continuous" vertical="center"/>
    </xf>
    <xf numFmtId="165" fontId="3" fillId="0" borderId="0" xfId="0" applyNumberFormat="1" applyFont="1" applyAlignment="1">
      <alignment horizontal="centerContinuous" vertical="center"/>
    </xf>
    <xf numFmtId="166" fontId="3" fillId="0" borderId="0" xfId="4" applyNumberFormat="1" applyFont="1"/>
    <xf numFmtId="1" fontId="3" fillId="0" borderId="0" xfId="0" applyNumberFormat="1" applyFont="1" applyAlignment="1"/>
    <xf numFmtId="168" fontId="3" fillId="0" borderId="0" xfId="0" applyNumberFormat="1" applyFont="1" applyAlignment="1"/>
    <xf numFmtId="10" fontId="3" fillId="0" borderId="0" xfId="4" applyNumberFormat="1" applyFont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71" fontId="3" fillId="0" borderId="0" xfId="0" applyNumberFormat="1" applyFont="1" applyAlignment="1">
      <alignment horizontal="right"/>
    </xf>
    <xf numFmtId="174" fontId="3" fillId="0" borderId="0" xfId="1" applyNumberFormat="1" applyFont="1" applyFill="1" applyBorder="1"/>
    <xf numFmtId="3" fontId="3" fillId="0" borderId="15" xfId="0" applyNumberFormat="1" applyFont="1" applyBorder="1" applyAlignment="1">
      <alignment horizontal="right"/>
    </xf>
    <xf numFmtId="174" fontId="3" fillId="0" borderId="15" xfId="0" applyNumberFormat="1" applyFont="1" applyBorder="1" applyAlignment="1"/>
    <xf numFmtId="0" fontId="3" fillId="2" borderId="18" xfId="0" applyFont="1" applyFill="1" applyBorder="1" applyAlignment="1"/>
    <xf numFmtId="0" fontId="3" fillId="2" borderId="16" xfId="0" applyFont="1" applyFill="1" applyBorder="1" applyAlignment="1"/>
    <xf numFmtId="10" fontId="3" fillId="2" borderId="16" xfId="0" applyNumberFormat="1" applyFont="1" applyFill="1" applyBorder="1" applyAlignment="1"/>
    <xf numFmtId="10" fontId="3" fillId="2" borderId="17" xfId="0" applyNumberFormat="1" applyFont="1" applyFill="1" applyBorder="1" applyAlignment="1"/>
    <xf numFmtId="10" fontId="3" fillId="2" borderId="19" xfId="0" applyNumberFormat="1" applyFont="1" applyFill="1" applyBorder="1" applyAlignment="1"/>
    <xf numFmtId="0" fontId="3" fillId="2" borderId="17" xfId="0" applyFont="1" applyFill="1" applyBorder="1" applyAlignment="1"/>
    <xf numFmtId="0" fontId="3" fillId="2" borderId="9" xfId="0" applyFont="1" applyFill="1" applyBorder="1" applyAlignment="1"/>
    <xf numFmtId="0" fontId="3" fillId="2" borderId="8" xfId="0" applyFont="1" applyFill="1" applyBorder="1" applyAlignment="1"/>
    <xf numFmtId="3" fontId="3" fillId="2" borderId="8" xfId="0" applyNumberFormat="1" applyFont="1" applyFill="1" applyBorder="1" applyAlignment="1"/>
    <xf numFmtId="3" fontId="3" fillId="2" borderId="11" xfId="0" applyNumberFormat="1" applyFont="1" applyFill="1" applyBorder="1" applyAlignment="1"/>
    <xf numFmtId="3" fontId="3" fillId="2" borderId="10" xfId="0" applyNumberFormat="1" applyFont="1" applyFill="1" applyBorder="1" applyAlignment="1"/>
    <xf numFmtId="0" fontId="3" fillId="2" borderId="11" xfId="0" applyFont="1" applyFill="1" applyBorder="1" applyAlignment="1"/>
    <xf numFmtId="166" fontId="3" fillId="2" borderId="16" xfId="4" applyNumberFormat="1" applyFont="1" applyFill="1" applyBorder="1"/>
    <xf numFmtId="3" fontId="3" fillId="2" borderId="17" xfId="0" applyNumberFormat="1" applyFont="1" applyFill="1" applyBorder="1" applyAlignment="1"/>
    <xf numFmtId="3" fontId="3" fillId="2" borderId="16" xfId="0" applyNumberFormat="1" applyFont="1" applyFill="1" applyBorder="1" applyAlignment="1"/>
    <xf numFmtId="3" fontId="3" fillId="2" borderId="18" xfId="0" applyNumberFormat="1" applyFont="1" applyFill="1" applyBorder="1" applyAlignment="1"/>
    <xf numFmtId="167" fontId="3" fillId="2" borderId="17" xfId="0" applyNumberFormat="1" applyFont="1" applyFill="1" applyBorder="1" applyAlignment="1"/>
    <xf numFmtId="165" fontId="3" fillId="2" borderId="16" xfId="0" applyNumberFormat="1" applyFont="1" applyFill="1" applyBorder="1" applyAlignment="1">
      <alignment horizontal="centerContinuous" vertical="center"/>
    </xf>
    <xf numFmtId="3" fontId="3" fillId="2" borderId="16" xfId="0" applyNumberFormat="1" applyFont="1" applyFill="1" applyBorder="1" applyAlignment="1">
      <alignment vertical="center"/>
    </xf>
    <xf numFmtId="166" fontId="3" fillId="2" borderId="16" xfId="4" applyNumberFormat="1" applyFont="1" applyFill="1" applyBorder="1" applyAlignment="1">
      <alignment vertical="center"/>
    </xf>
    <xf numFmtId="167" fontId="3" fillId="2" borderId="16" xfId="0" applyNumberFormat="1" applyFont="1" applyFill="1" applyBorder="1" applyAlignment="1">
      <alignment vertical="center"/>
    </xf>
    <xf numFmtId="167" fontId="3" fillId="2" borderId="16" xfId="0" applyNumberFormat="1" applyFont="1" applyFill="1" applyBorder="1" applyAlignment="1"/>
    <xf numFmtId="0" fontId="3" fillId="2" borderId="18" xfId="0" applyFont="1" applyFill="1" applyBorder="1" applyAlignment="1">
      <alignment horizontal="left" vertical="center"/>
    </xf>
    <xf numFmtId="3" fontId="3" fillId="2" borderId="18" xfId="0" applyNumberFormat="1" applyFont="1" applyFill="1" applyBorder="1" applyAlignment="1">
      <alignment vertical="center"/>
    </xf>
    <xf numFmtId="3" fontId="3" fillId="2" borderId="19" xfId="0" applyNumberFormat="1" applyFont="1" applyFill="1" applyBorder="1" applyAlignment="1"/>
    <xf numFmtId="3" fontId="3" fillId="2" borderId="17" xfId="0" applyNumberFormat="1" applyFont="1" applyFill="1" applyBorder="1" applyAlignment="1">
      <alignment vertical="center"/>
    </xf>
    <xf numFmtId="0" fontId="3" fillId="0" borderId="18" xfId="0" applyFont="1" applyBorder="1" applyAlignment="1">
      <alignment horizontal="centerContinuous" vertical="center"/>
    </xf>
    <xf numFmtId="165" fontId="3" fillId="0" borderId="16" xfId="0" applyNumberFormat="1" applyFont="1" applyBorder="1" applyAlignment="1">
      <alignment horizontal="centerContinuous" vertical="center"/>
    </xf>
    <xf numFmtId="3" fontId="3" fillId="0" borderId="16" xfId="0" applyNumberFormat="1" applyFont="1" applyBorder="1" applyAlignment="1">
      <alignment vertical="center"/>
    </xf>
    <xf numFmtId="166" fontId="3" fillId="0" borderId="16" xfId="4" applyNumberFormat="1" applyFont="1" applyFill="1" applyBorder="1" applyAlignment="1">
      <alignment vertical="center"/>
    </xf>
    <xf numFmtId="166" fontId="3" fillId="0" borderId="16" xfId="4" applyNumberFormat="1" applyFont="1" applyFill="1" applyBorder="1"/>
    <xf numFmtId="167" fontId="3" fillId="0" borderId="16" xfId="0" applyNumberFormat="1" applyFont="1" applyBorder="1" applyAlignment="1">
      <alignment vertical="center"/>
    </xf>
    <xf numFmtId="3" fontId="3" fillId="0" borderId="18" xfId="0" applyNumberFormat="1" applyFont="1" applyBorder="1" applyAlignment="1">
      <alignment vertical="center"/>
    </xf>
    <xf numFmtId="167" fontId="3" fillId="0" borderId="16" xfId="0" applyNumberFormat="1" applyFont="1" applyBorder="1" applyAlignment="1"/>
    <xf numFmtId="3" fontId="3" fillId="0" borderId="16" xfId="0" applyNumberFormat="1" applyFont="1" applyBorder="1" applyAlignment="1"/>
    <xf numFmtId="3" fontId="3" fillId="0" borderId="19" xfId="0" applyNumberFormat="1" applyFont="1" applyBorder="1" applyAlignment="1"/>
    <xf numFmtId="3" fontId="3" fillId="0" borderId="17" xfId="0" applyNumberFormat="1" applyFont="1" applyBorder="1" applyAlignment="1"/>
    <xf numFmtId="167" fontId="3" fillId="0" borderId="17" xfId="0" applyNumberFormat="1" applyFont="1" applyBorder="1" applyAlignment="1"/>
    <xf numFmtId="176" fontId="3" fillId="0" borderId="0" xfId="0" applyNumberFormat="1" applyFont="1" applyAlignment="1"/>
    <xf numFmtId="0" fontId="3" fillId="0" borderId="4" xfId="0" applyFont="1" applyBorder="1" applyAlignment="1"/>
    <xf numFmtId="3" fontId="3" fillId="0" borderId="4" xfId="0" applyNumberFormat="1" applyFont="1" applyBorder="1" applyAlignment="1"/>
    <xf numFmtId="3" fontId="3" fillId="0" borderId="12" xfId="0" applyNumberFormat="1" applyFont="1" applyBorder="1" applyAlignment="1"/>
    <xf numFmtId="166" fontId="3" fillId="0" borderId="12" xfId="4" applyNumberFormat="1" applyFont="1" applyBorder="1"/>
    <xf numFmtId="167" fontId="3" fillId="0" borderId="12" xfId="0" applyNumberFormat="1" applyFont="1" applyBorder="1" applyAlignment="1"/>
    <xf numFmtId="3" fontId="3" fillId="0" borderId="3" xfId="0" applyNumberFormat="1" applyFont="1" applyBorder="1" applyAlignment="1"/>
    <xf numFmtId="3" fontId="3" fillId="0" borderId="2" xfId="0" applyNumberFormat="1" applyFont="1" applyBorder="1" applyAlignment="1"/>
    <xf numFmtId="168" fontId="3" fillId="0" borderId="4" xfId="0" applyNumberFormat="1" applyFont="1" applyBorder="1" applyAlignment="1"/>
    <xf numFmtId="3" fontId="6" fillId="0" borderId="0" xfId="0" applyNumberFormat="1" applyFont="1" applyAlignment="1">
      <alignment horizontal="right"/>
    </xf>
    <xf numFmtId="174" fontId="3" fillId="0" borderId="0" xfId="0" applyNumberFormat="1" applyFont="1" applyAlignment="1"/>
    <xf numFmtId="3" fontId="7" fillId="0" borderId="0" xfId="0" applyNumberFormat="1" applyFont="1" applyAlignment="1"/>
    <xf numFmtId="3" fontId="7" fillId="0" borderId="0" xfId="0" applyNumberFormat="1" applyFont="1" applyAlignment="1">
      <alignment horizontal="center"/>
    </xf>
    <xf numFmtId="3" fontId="3" fillId="0" borderId="20" xfId="0" applyNumberFormat="1" applyFont="1" applyBorder="1" applyAlignment="1">
      <alignment horizontal="right"/>
    </xf>
    <xf numFmtId="174" fontId="3" fillId="0" borderId="20" xfId="0" applyNumberFormat="1" applyFont="1" applyBorder="1" applyAlignment="1"/>
    <xf numFmtId="174" fontId="6" fillId="0" borderId="0" xfId="0" applyNumberFormat="1" applyFont="1" applyAlignment="1"/>
    <xf numFmtId="180" fontId="3" fillId="0" borderId="1" xfId="0" applyNumberFormat="1" applyFont="1" applyBorder="1" applyAlignment="1"/>
    <xf numFmtId="179" fontId="5" fillId="0" borderId="1" xfId="3" applyNumberFormat="1" applyFont="1" applyBorder="1" applyAlignment="1"/>
    <xf numFmtId="0" fontId="8" fillId="5" borderId="0" xfId="0" applyFont="1" applyFill="1" applyAlignment="1">
      <alignment horizontal="center" vertical="top"/>
    </xf>
    <xf numFmtId="0" fontId="8" fillId="5" borderId="0" xfId="0" applyFont="1" applyFill="1" applyAlignment="1">
      <alignment horizontal="center" vertical="top" wrapText="1"/>
    </xf>
    <xf numFmtId="0" fontId="3" fillId="6" borderId="0" xfId="0" applyFont="1" applyFill="1" applyAlignment="1"/>
    <xf numFmtId="174" fontId="3" fillId="6" borderId="0" xfId="0" applyNumberFormat="1" applyFont="1" applyFill="1" applyAlignment="1">
      <alignment horizontal="center" vertical="top"/>
    </xf>
    <xf numFmtId="3" fontId="3" fillId="6" borderId="0" xfId="0" applyNumberFormat="1" applyFont="1" applyFill="1" applyAlignment="1"/>
    <xf numFmtId="177" fontId="3" fillId="6" borderId="0" xfId="0" applyNumberFormat="1" applyFont="1" applyFill="1" applyAlignment="1"/>
    <xf numFmtId="2" fontId="3" fillId="6" borderId="0" xfId="0" applyNumberFormat="1" applyFont="1" applyFill="1" applyAlignment="1"/>
    <xf numFmtId="165" fontId="5" fillId="0" borderId="16" xfId="0" applyNumberFormat="1" applyFont="1" applyBorder="1" applyAlignment="1">
      <alignment horizontal="centerContinuous" vertical="center"/>
    </xf>
    <xf numFmtId="3" fontId="5" fillId="0" borderId="17" xfId="0" applyNumberFormat="1" applyFont="1" applyBorder="1" applyAlignment="1">
      <alignment vertical="center"/>
    </xf>
    <xf numFmtId="0" fontId="5" fillId="0" borderId="18" xfId="0" applyFont="1" applyBorder="1" applyAlignment="1">
      <alignment horizontal="left" vertical="center"/>
    </xf>
    <xf numFmtId="3" fontId="5" fillId="0" borderId="18" xfId="0" applyNumberFormat="1" applyFont="1" applyBorder="1" applyAlignment="1">
      <alignment vertical="center"/>
    </xf>
    <xf numFmtId="3" fontId="5" fillId="0" borderId="16" xfId="0" applyNumberFormat="1" applyFont="1" applyBorder="1" applyAlignment="1">
      <alignment vertical="center"/>
    </xf>
    <xf numFmtId="166" fontId="5" fillId="0" borderId="16" xfId="4" applyNumberFormat="1" applyFont="1" applyBorder="1" applyAlignment="1">
      <alignment vertical="center"/>
    </xf>
    <xf numFmtId="167" fontId="5" fillId="0" borderId="16" xfId="0" applyNumberFormat="1" applyFont="1" applyBorder="1" applyAlignment="1">
      <alignment vertical="center"/>
    </xf>
    <xf numFmtId="167" fontId="5" fillId="0" borderId="16" xfId="0" applyNumberFormat="1" applyFont="1" applyBorder="1" applyAlignment="1"/>
    <xf numFmtId="3" fontId="3" fillId="2" borderId="19" xfId="0" applyNumberFormat="1" applyFont="1" applyFill="1" applyBorder="1" applyAlignment="1">
      <alignment vertical="center"/>
    </xf>
    <xf numFmtId="3" fontId="3" fillId="0" borderId="19" xfId="0" applyNumberFormat="1" applyFont="1" applyBorder="1" applyAlignment="1">
      <alignment vertical="center"/>
    </xf>
    <xf numFmtId="10" fontId="3" fillId="2" borderId="18" xfId="0" applyNumberFormat="1" applyFont="1" applyFill="1" applyBorder="1" applyAlignment="1"/>
    <xf numFmtId="3" fontId="3" fillId="2" borderId="9" xfId="0" applyNumberFormat="1" applyFont="1" applyFill="1" applyBorder="1" applyAlignment="1"/>
    <xf numFmtId="3" fontId="3" fillId="0" borderId="17" xfId="0" applyNumberFormat="1" applyFont="1" applyBorder="1" applyAlignment="1">
      <alignment vertical="center"/>
    </xf>
    <xf numFmtId="168" fontId="3" fillId="0" borderId="17" xfId="0" applyNumberFormat="1" applyFont="1" applyBorder="1" applyAlignment="1"/>
    <xf numFmtId="168" fontId="3" fillId="2" borderId="17" xfId="0" applyNumberFormat="1" applyFont="1" applyFill="1" applyBorder="1" applyAlignment="1"/>
    <xf numFmtId="0" fontId="3" fillId="0" borderId="8" xfId="0" applyFont="1" applyBorder="1" applyAlignment="1"/>
    <xf numFmtId="0" fontId="10" fillId="0" borderId="0" xfId="0" applyFont="1" applyAlignment="1"/>
    <xf numFmtId="0" fontId="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181" fontId="12" fillId="0" borderId="0" xfId="4" applyNumberFormat="1" applyFont="1" applyBorder="1"/>
    <xf numFmtId="0" fontId="12" fillId="0" borderId="0" xfId="0" applyFont="1" applyAlignment="1"/>
    <xf numFmtId="166" fontId="12" fillId="0" borderId="0" xfId="4" applyNumberFormat="1" applyFont="1" applyFill="1" applyBorder="1" applyAlignment="1"/>
    <xf numFmtId="166" fontId="12" fillId="0" borderId="0" xfId="4" applyNumberFormat="1" applyFont="1" applyFill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166" fontId="13" fillId="0" borderId="0" xfId="4" applyNumberFormat="1" applyFont="1" applyFill="1" applyBorder="1" applyAlignment="1">
      <alignment horizontal="right"/>
    </xf>
    <xf numFmtId="166" fontId="11" fillId="0" borderId="0" xfId="4" applyNumberFormat="1" applyFont="1" applyFill="1" applyBorder="1" applyAlignment="1">
      <alignment horizontal="right" vertical="center"/>
    </xf>
    <xf numFmtId="0" fontId="5" fillId="0" borderId="5" xfId="0" applyFont="1" applyBorder="1" applyAlignment="1">
      <alignment horizontal="center"/>
    </xf>
    <xf numFmtId="4" fontId="2" fillId="0" borderId="0" xfId="0" applyNumberFormat="1" applyFont="1" applyAlignment="1"/>
    <xf numFmtId="3" fontId="0" fillId="0" borderId="0" xfId="0" applyNumberFormat="1" applyAlignment="1"/>
    <xf numFmtId="10" fontId="0" fillId="0" borderId="0" xfId="0" applyNumberFormat="1" applyAlignment="1"/>
    <xf numFmtId="170" fontId="5" fillId="3" borderId="23" xfId="4" applyNumberFormat="1" applyFont="1" applyFill="1" applyBorder="1"/>
    <xf numFmtId="170" fontId="5" fillId="3" borderId="24" xfId="4" applyNumberFormat="1" applyFont="1" applyFill="1" applyBorder="1"/>
    <xf numFmtId="170" fontId="5" fillId="3" borderId="25" xfId="4" applyNumberFormat="1" applyFont="1" applyFill="1" applyBorder="1"/>
    <xf numFmtId="170" fontId="5" fillId="4" borderId="23" xfId="4" applyNumberFormat="1" applyFont="1" applyFill="1" applyBorder="1"/>
    <xf numFmtId="170" fontId="5" fillId="4" borderId="24" xfId="4" applyNumberFormat="1" applyFont="1" applyFill="1" applyBorder="1"/>
    <xf numFmtId="170" fontId="5" fillId="4" borderId="25" xfId="4" applyNumberFormat="1" applyFont="1" applyFill="1" applyBorder="1"/>
    <xf numFmtId="175" fontId="5" fillId="3" borderId="23" xfId="4" applyNumberFormat="1" applyFont="1" applyFill="1" applyBorder="1"/>
    <xf numFmtId="3" fontId="3" fillId="0" borderId="26" xfId="0" applyNumberFormat="1" applyFont="1" applyBorder="1" applyAlignment="1"/>
    <xf numFmtId="170" fontId="6" fillId="0" borderId="27" xfId="4" applyNumberFormat="1" applyFont="1" applyBorder="1"/>
    <xf numFmtId="170" fontId="6" fillId="0" borderId="12" xfId="4" applyNumberFormat="1" applyFont="1" applyBorder="1"/>
    <xf numFmtId="170" fontId="6" fillId="0" borderId="29" xfId="4" applyNumberFormat="1" applyFont="1" applyBorder="1"/>
    <xf numFmtId="3" fontId="3" fillId="0" borderId="30" xfId="0" applyNumberFormat="1" applyFont="1" applyBorder="1" applyAlignment="1"/>
    <xf numFmtId="170" fontId="6" fillId="0" borderId="31" xfId="4" applyNumberFormat="1" applyFont="1" applyBorder="1"/>
    <xf numFmtId="0" fontId="3" fillId="3" borderId="32" xfId="0" applyFont="1" applyFill="1" applyBorder="1" applyAlignment="1">
      <alignment horizontal="center"/>
    </xf>
    <xf numFmtId="171" fontId="6" fillId="3" borderId="22" xfId="0" applyNumberFormat="1" applyFont="1" applyFill="1" applyBorder="1" applyAlignment="1">
      <alignment horizontal="center"/>
    </xf>
    <xf numFmtId="171" fontId="6" fillId="3" borderId="33" xfId="0" applyNumberFormat="1" applyFont="1" applyFill="1" applyBorder="1" applyAlignment="1">
      <alignment horizontal="center"/>
    </xf>
    <xf numFmtId="169" fontId="3" fillId="0" borderId="0" xfId="0" applyNumberFormat="1" applyFont="1" applyAlignment="1">
      <alignment horizontal="center" vertical="center"/>
    </xf>
    <xf numFmtId="3" fontId="3" fillId="0" borderId="7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1" fontId="3" fillId="7" borderId="0" xfId="0" applyNumberFormat="1" applyFont="1" applyFill="1" applyAlignment="1"/>
    <xf numFmtId="0" fontId="3" fillId="8" borderId="0" xfId="0" applyFont="1" applyFill="1" applyAlignment="1"/>
    <xf numFmtId="0" fontId="5" fillId="0" borderId="0" xfId="0" applyFont="1" applyAlignment="1">
      <alignment horizontal="right"/>
    </xf>
    <xf numFmtId="3" fontId="5" fillId="0" borderId="19" xfId="0" applyNumberFormat="1" applyFont="1" applyBorder="1" applyAlignment="1">
      <alignment vertical="center"/>
    </xf>
    <xf numFmtId="167" fontId="3" fillId="2" borderId="11" xfId="0" applyNumberFormat="1" applyFont="1" applyFill="1" applyBorder="1" applyAlignment="1"/>
    <xf numFmtId="168" fontId="3" fillId="2" borderId="11" xfId="0" applyNumberFormat="1" applyFont="1" applyFill="1" applyBorder="1" applyAlignment="1"/>
    <xf numFmtId="3" fontId="3" fillId="0" borderId="2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170" fontId="5" fillId="3" borderId="35" xfId="4" applyNumberFormat="1" applyFont="1" applyFill="1" applyBorder="1"/>
    <xf numFmtId="10" fontId="3" fillId="0" borderId="0" xfId="4" applyNumberFormat="1" applyFont="1" applyBorder="1"/>
    <xf numFmtId="10" fontId="5" fillId="0" borderId="0" xfId="4" applyNumberFormat="1" applyFont="1" applyBorder="1"/>
    <xf numFmtId="169" fontId="3" fillId="0" borderId="0" xfId="0" applyNumberFormat="1" applyFont="1" applyAlignment="1">
      <alignment horizontal="centerContinuous" vertical="center"/>
    </xf>
    <xf numFmtId="0" fontId="3" fillId="0" borderId="2" xfId="0" applyFont="1" applyBorder="1" applyAlignment="1">
      <alignment horizontal="left"/>
    </xf>
    <xf numFmtId="169" fontId="3" fillId="0" borderId="12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0" fontId="3" fillId="0" borderId="6" xfId="0" applyFont="1" applyBorder="1" applyAlignment="1"/>
    <xf numFmtId="0" fontId="5" fillId="0" borderId="18" xfId="0" applyFont="1" applyBorder="1" applyAlignment="1">
      <alignment horizontal="centerContinuous" vertical="center"/>
    </xf>
    <xf numFmtId="168" fontId="5" fillId="0" borderId="16" xfId="0" applyNumberFormat="1" applyFont="1" applyBorder="1" applyAlignment="1"/>
    <xf numFmtId="167" fontId="3" fillId="0" borderId="5" xfId="0" applyNumberFormat="1" applyFont="1" applyBorder="1" applyAlignment="1"/>
    <xf numFmtId="3" fontId="5" fillId="0" borderId="19" xfId="0" applyNumberFormat="1" applyFont="1" applyBorder="1" applyAlignment="1"/>
    <xf numFmtId="167" fontId="3" fillId="0" borderId="4" xfId="0" applyNumberFormat="1" applyFont="1" applyBorder="1" applyAlignment="1"/>
    <xf numFmtId="170" fontId="6" fillId="0" borderId="26" xfId="4" applyNumberFormat="1" applyFont="1" applyBorder="1"/>
    <xf numFmtId="170" fontId="6" fillId="0" borderId="30" xfId="4" applyNumberFormat="1" applyFont="1" applyBorder="1"/>
    <xf numFmtId="170" fontId="6" fillId="0" borderId="32" xfId="4" applyNumberFormat="1" applyFont="1" applyBorder="1"/>
    <xf numFmtId="170" fontId="6" fillId="0" borderId="21" xfId="4" applyNumberFormat="1" applyFont="1" applyBorder="1"/>
    <xf numFmtId="170" fontId="6" fillId="0" borderId="8" xfId="4" applyNumberFormat="1" applyFont="1" applyBorder="1"/>
    <xf numFmtId="170" fontId="6" fillId="0" borderId="33" xfId="4" applyNumberFormat="1" applyFont="1" applyBorder="1"/>
    <xf numFmtId="171" fontId="6" fillId="3" borderId="9" xfId="0" applyNumberFormat="1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170" fontId="5" fillId="4" borderId="37" xfId="4" applyNumberFormat="1" applyFont="1" applyFill="1" applyBorder="1"/>
    <xf numFmtId="170" fontId="5" fillId="4" borderId="35" xfId="4" applyNumberFormat="1" applyFont="1" applyFill="1" applyBorder="1"/>
    <xf numFmtId="3" fontId="3" fillId="0" borderId="32" xfId="0" applyNumberFormat="1" applyFont="1" applyBorder="1" applyAlignment="1"/>
    <xf numFmtId="170" fontId="6" fillId="0" borderId="22" xfId="4" applyNumberFormat="1" applyFont="1" applyBorder="1"/>
    <xf numFmtId="0" fontId="6" fillId="3" borderId="26" xfId="0" applyFont="1" applyFill="1" applyBorder="1" applyAlignment="1">
      <alignment horizontal="center"/>
    </xf>
    <xf numFmtId="171" fontId="6" fillId="3" borderId="32" xfId="0" applyNumberFormat="1" applyFont="1" applyFill="1" applyBorder="1" applyAlignment="1">
      <alignment horizontal="center"/>
    </xf>
    <xf numFmtId="171" fontId="6" fillId="3" borderId="21" xfId="0" applyNumberFormat="1" applyFont="1" applyFill="1" applyBorder="1" applyAlignment="1">
      <alignment horizontal="center"/>
    </xf>
    <xf numFmtId="182" fontId="6" fillId="0" borderId="0" xfId="4" applyNumberFormat="1" applyFont="1" applyBorder="1" applyAlignment="1"/>
    <xf numFmtId="183" fontId="6" fillId="0" borderId="0" xfId="0" applyNumberFormat="1" applyFont="1" applyAlignment="1">
      <alignment horizontal="right"/>
    </xf>
    <xf numFmtId="171" fontId="3" fillId="0" borderId="0" xfId="0" applyNumberFormat="1" applyFont="1" applyAlignment="1"/>
    <xf numFmtId="2" fontId="3" fillId="0" borderId="0" xfId="4" applyNumberFormat="1" applyFont="1" applyAlignment="1"/>
    <xf numFmtId="184" fontId="3" fillId="0" borderId="0" xfId="4" applyNumberFormat="1" applyFont="1" applyAlignment="1"/>
    <xf numFmtId="0" fontId="5" fillId="7" borderId="0" xfId="0" applyFont="1" applyFill="1" applyAlignment="1"/>
    <xf numFmtId="0" fontId="3" fillId="7" borderId="0" xfId="0" applyFont="1" applyFill="1" applyAlignment="1"/>
    <xf numFmtId="0" fontId="3" fillId="7" borderId="8" xfId="0" applyFont="1" applyFill="1" applyBorder="1" applyAlignment="1"/>
    <xf numFmtId="171" fontId="6" fillId="0" borderId="0" xfId="0" applyNumberFormat="1" applyFont="1" applyAlignment="1"/>
    <xf numFmtId="176" fontId="6" fillId="0" borderId="0" xfId="0" applyNumberFormat="1" applyFont="1" applyAlignment="1"/>
    <xf numFmtId="0" fontId="6" fillId="3" borderId="36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170" fontId="6" fillId="0" borderId="36" xfId="4" applyNumberFormat="1" applyFont="1" applyBorder="1"/>
    <xf numFmtId="3" fontId="3" fillId="0" borderId="9" xfId="0" applyNumberFormat="1" applyFont="1" applyBorder="1" applyAlignment="1"/>
    <xf numFmtId="168" fontId="3" fillId="0" borderId="11" xfId="0" applyNumberFormat="1" applyFont="1" applyBorder="1" applyAlignment="1"/>
    <xf numFmtId="168" fontId="3" fillId="0" borderId="12" xfId="0" applyNumberFormat="1" applyFont="1" applyBorder="1" applyAlignment="1"/>
    <xf numFmtId="168" fontId="3" fillId="2" borderId="16" xfId="0" applyNumberFormat="1" applyFont="1" applyFill="1" applyBorder="1" applyAlignment="1"/>
    <xf numFmtId="168" fontId="3" fillId="0" borderId="8" xfId="0" applyNumberFormat="1" applyFont="1" applyBorder="1" applyAlignment="1"/>
    <xf numFmtId="3" fontId="5" fillId="0" borderId="0" xfId="0" applyNumberFormat="1" applyFont="1" applyAlignment="1"/>
    <xf numFmtId="3" fontId="5" fillId="0" borderId="12" xfId="0" applyNumberFormat="1" applyFont="1" applyBorder="1" applyAlignment="1"/>
    <xf numFmtId="168" fontId="5" fillId="0" borderId="4" xfId="0" applyNumberFormat="1" applyFont="1" applyBorder="1" applyAlignment="1"/>
    <xf numFmtId="0" fontId="3" fillId="3" borderId="36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172" fontId="6" fillId="0" borderId="14" xfId="4" applyNumberFormat="1" applyFont="1" applyBorder="1"/>
    <xf numFmtId="178" fontId="5" fillId="3" borderId="35" xfId="4" applyNumberFormat="1" applyFont="1" applyFill="1" applyBorder="1"/>
    <xf numFmtId="172" fontId="6" fillId="0" borderId="26" xfId="4" applyNumberFormat="1" applyFont="1" applyBorder="1"/>
    <xf numFmtId="172" fontId="6" fillId="0" borderId="30" xfId="4" applyNumberFormat="1" applyFont="1" applyBorder="1"/>
    <xf numFmtId="172" fontId="6" fillId="0" borderId="32" xfId="4" applyNumberFormat="1" applyFont="1" applyBorder="1"/>
    <xf numFmtId="0" fontId="3" fillId="3" borderId="33" xfId="0" applyFont="1" applyFill="1" applyBorder="1" applyAlignment="1">
      <alignment horizontal="center"/>
    </xf>
    <xf numFmtId="172" fontId="6" fillId="0" borderId="31" xfId="4" applyNumberFormat="1" applyFont="1" applyBorder="1"/>
    <xf numFmtId="178" fontId="5" fillId="3" borderId="25" xfId="4" applyNumberFormat="1" applyFont="1" applyFill="1" applyBorder="1"/>
    <xf numFmtId="3" fontId="3" fillId="0" borderId="8" xfId="0" applyNumberFormat="1" applyFont="1" applyBorder="1" applyAlignment="1"/>
    <xf numFmtId="3" fontId="3" fillId="0" borderId="2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167" fontId="3" fillId="0" borderId="11" xfId="0" applyNumberFormat="1" applyFont="1" applyBorder="1" applyAlignment="1"/>
    <xf numFmtId="0" fontId="3" fillId="3" borderId="4" xfId="0" applyFont="1" applyFill="1" applyBorder="1" applyAlignment="1">
      <alignment horizontal="center"/>
    </xf>
    <xf numFmtId="171" fontId="6" fillId="3" borderId="11" xfId="0" applyNumberFormat="1" applyFont="1" applyFill="1" applyBorder="1" applyAlignment="1">
      <alignment horizontal="center"/>
    </xf>
    <xf numFmtId="170" fontId="6" fillId="0" borderId="7" xfId="4" applyNumberFormat="1" applyFont="1" applyBorder="1"/>
    <xf numFmtId="170" fontId="6" fillId="0" borderId="11" xfId="4" applyNumberFormat="1" applyFont="1" applyBorder="1"/>
    <xf numFmtId="170" fontId="3" fillId="3" borderId="17" xfId="4" applyNumberFormat="1" applyFont="1" applyFill="1" applyBorder="1" applyAlignment="1"/>
    <xf numFmtId="0" fontId="5" fillId="4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70" fontId="5" fillId="3" borderId="17" xfId="4" applyNumberFormat="1" applyFont="1" applyFill="1" applyBorder="1"/>
    <xf numFmtId="170" fontId="5" fillId="3" borderId="37" xfId="4" applyNumberFormat="1" applyFont="1" applyFill="1" applyBorder="1"/>
    <xf numFmtId="3" fontId="3" fillId="0" borderId="1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5" fillId="0" borderId="9" xfId="0" applyNumberFormat="1" applyFont="1" applyBorder="1" applyAlignment="1"/>
    <xf numFmtId="168" fontId="5" fillId="0" borderId="11" xfId="0" applyNumberFormat="1" applyFont="1" applyBorder="1" applyAlignment="1"/>
    <xf numFmtId="171" fontId="3" fillId="2" borderId="16" xfId="0" applyNumberFormat="1" applyFont="1" applyFill="1" applyBorder="1" applyAlignment="1"/>
    <xf numFmtId="9" fontId="3" fillId="0" borderId="0" xfId="4" applyFont="1" applyAlignment="1"/>
    <xf numFmtId="185" fontId="3" fillId="2" borderId="8" xfId="0" applyNumberFormat="1" applyFont="1" applyFill="1" applyBorder="1" applyAlignment="1"/>
    <xf numFmtId="0" fontId="3" fillId="0" borderId="0" xfId="1" applyNumberFormat="1" applyFont="1" applyFill="1" applyBorder="1"/>
    <xf numFmtId="168" fontId="5" fillId="0" borderId="0" xfId="0" applyNumberFormat="1" applyFont="1" applyAlignment="1"/>
    <xf numFmtId="168" fontId="5" fillId="0" borderId="12" xfId="0" applyNumberFormat="1" applyFont="1" applyBorder="1" applyAlignment="1"/>
    <xf numFmtId="168" fontId="3" fillId="2" borderId="8" xfId="0" applyNumberFormat="1" applyFont="1" applyFill="1" applyBorder="1" applyAlignment="1"/>
    <xf numFmtId="168" fontId="5" fillId="0" borderId="18" xfId="0" applyNumberFormat="1" applyFont="1" applyBorder="1" applyAlignment="1"/>
    <xf numFmtId="4" fontId="0" fillId="0" borderId="0" xfId="0" applyNumberFormat="1" applyAlignment="1"/>
    <xf numFmtId="0" fontId="5" fillId="0" borderId="2" xfId="0" applyFont="1" applyBorder="1" applyAlignment="1">
      <alignment horizontal="center"/>
    </xf>
    <xf numFmtId="0" fontId="0" fillId="0" borderId="12" xfId="0" applyBorder="1" applyAlignment="1"/>
    <xf numFmtId="0" fontId="0" fillId="0" borderId="4" xfId="0" applyBorder="1" applyAlignment="1"/>
    <xf numFmtId="0" fontId="6" fillId="4" borderId="28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170" fontId="3" fillId="3" borderId="2" xfId="4" applyNumberFormat="1" applyFont="1" applyFill="1" applyBorder="1" applyAlignment="1">
      <alignment horizontal="center"/>
    </xf>
    <xf numFmtId="170" fontId="3" fillId="3" borderId="12" xfId="4" applyNumberFormat="1" applyFont="1" applyFill="1" applyBorder="1" applyAlignment="1">
      <alignment horizontal="center"/>
    </xf>
    <xf numFmtId="170" fontId="3" fillId="3" borderId="4" xfId="4" applyNumberFormat="1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170" fontId="3" fillId="4" borderId="18" xfId="4" applyNumberFormat="1" applyFont="1" applyFill="1" applyBorder="1" applyAlignment="1">
      <alignment horizontal="center"/>
    </xf>
    <xf numFmtId="170" fontId="3" fillId="4" borderId="16" xfId="4" applyNumberFormat="1" applyFont="1" applyFill="1" applyBorder="1" applyAlignment="1">
      <alignment horizontal="center"/>
    </xf>
    <xf numFmtId="170" fontId="3" fillId="4" borderId="17" xfId="4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173" fontId="3" fillId="3" borderId="12" xfId="4" applyNumberFormat="1" applyFont="1" applyFill="1" applyBorder="1" applyAlignment="1">
      <alignment horizontal="center"/>
    </xf>
    <xf numFmtId="173" fontId="3" fillId="3" borderId="4" xfId="4" applyNumberFormat="1" applyFont="1" applyFill="1" applyBorder="1" applyAlignment="1">
      <alignment horizontal="center"/>
    </xf>
    <xf numFmtId="173" fontId="3" fillId="3" borderId="2" xfId="4" applyNumberFormat="1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center"/>
    </xf>
    <xf numFmtId="170" fontId="3" fillId="4" borderId="12" xfId="4" applyNumberFormat="1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173" fontId="3" fillId="3" borderId="18" xfId="4" applyNumberFormat="1" applyFont="1" applyFill="1" applyBorder="1" applyAlignment="1">
      <alignment horizontal="center"/>
    </xf>
    <xf numFmtId="173" fontId="3" fillId="3" borderId="17" xfId="4" applyNumberFormat="1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170" fontId="3" fillId="3" borderId="18" xfId="4" applyNumberFormat="1" applyFont="1" applyFill="1" applyBorder="1" applyAlignment="1">
      <alignment horizontal="center"/>
    </xf>
    <xf numFmtId="170" fontId="3" fillId="3" borderId="16" xfId="4" applyNumberFormat="1" applyFont="1" applyFill="1" applyBorder="1" applyAlignment="1">
      <alignment horizontal="center"/>
    </xf>
    <xf numFmtId="170" fontId="3" fillId="3" borderId="17" xfId="4" applyNumberFormat="1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top" wrapText="1"/>
    </xf>
    <xf numFmtId="171" fontId="12" fillId="0" borderId="0" xfId="4" applyNumberFormat="1" applyFont="1" applyBorder="1"/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2" xr:uid="{00000000-0005-0000-0000-000023000000}"/>
    <cellStyle name="Normal 3" xfId="45" xr:uid="{00000000-0005-0000-0000-000024000000}"/>
    <cellStyle name="Normal_2008-06-30 Flash Report" xfId="3" xr:uid="{00000000-0005-0000-0000-000025000000}"/>
    <cellStyle name="Note 2" xfId="46" xr:uid="{00000000-0005-0000-0000-000026000000}"/>
    <cellStyle name="Output" xfId="14" builtinId="21" customBuiltin="1"/>
    <cellStyle name="Per cent" xfId="4" builtinId="5"/>
    <cellStyle name="Title" xfId="5" builtinId="15" customBuiltin="1"/>
    <cellStyle name="Total" xfId="20" builtinId="25" customBuiltin="1"/>
    <cellStyle name="Warning Text" xfId="18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742221542697123E-2"/>
          <c:y val="4.6709129511677279E-2"/>
          <c:w val="0.87872171941832933"/>
          <c:h val="0.75727535650423738"/>
        </c:manualLayout>
      </c:layout>
      <c:lineChart>
        <c:grouping val="standard"/>
        <c:varyColors val="0"/>
        <c:ser>
          <c:idx val="0"/>
          <c:order val="0"/>
          <c:tx>
            <c:v>Daily budget (average)</c:v>
          </c:tx>
          <c:spPr>
            <a:ln w="25400">
              <a:solidFill>
                <a:srgbClr val="969696"/>
              </a:solidFill>
              <a:prstDash val="solid"/>
            </a:ln>
          </c:spPr>
          <c:val>
            <c:numRef>
              <c:f>Seasonality!$M$67:$M$96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1-463D-BD6B-ACA3B9286BB2}"/>
            </c:ext>
          </c:extLst>
        </c:ser>
        <c:ser>
          <c:idx val="1"/>
          <c:order val="1"/>
          <c:tx>
            <c:v>Daily budget (w/seasonality)</c:v>
          </c:tx>
          <c:val>
            <c:numRef>
              <c:f>Seasonality!$N$67:$N$96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1-463D-BD6B-ACA3B9286BB2}"/>
            </c:ext>
          </c:extLst>
        </c:ser>
        <c:ser>
          <c:idx val="2"/>
          <c:order val="2"/>
          <c:tx>
            <c:v>Actual daily net revenues</c:v>
          </c:tx>
          <c:spPr>
            <a:ln w="25400">
              <a:solidFill>
                <a:srgbClr val="FFCC00"/>
              </a:solidFill>
              <a:prstDash val="solid"/>
            </a:ln>
          </c:spPr>
          <c:val>
            <c:numRef>
              <c:f>Seasonality!$O$67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01-463D-BD6B-ACA3B9286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558464"/>
        <c:axId val="96576640"/>
      </c:lineChart>
      <c:catAx>
        <c:axId val="9655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6576640"/>
        <c:crosses val="autoZero"/>
        <c:auto val="1"/>
        <c:lblAlgn val="ctr"/>
        <c:lblOffset val="100"/>
        <c:noMultiLvlLbl val="0"/>
      </c:catAx>
      <c:valAx>
        <c:axId val="965766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655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18741808650072439"/>
          <c:y val="0.9140127388535032"/>
          <c:w val="0.78505897771952815"/>
          <c:h val="0.9713375796178344"/>
        </c:manualLayout>
      </c:layout>
      <c:overlay val="0"/>
      <c:txPr>
        <a:bodyPr/>
        <a:lstStyle/>
        <a:p>
          <a:pPr>
            <a:defRPr lang="es-E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681577379514681E-2"/>
          <c:y val="4.6267087276550975E-2"/>
          <c:w val="0.88012825573584308"/>
          <c:h val="0.75957243514911565"/>
        </c:manualLayout>
      </c:layout>
      <c:lineChart>
        <c:grouping val="standard"/>
        <c:varyColors val="0"/>
        <c:ser>
          <c:idx val="0"/>
          <c:order val="0"/>
          <c:tx>
            <c:v>Daily budget (average)</c:v>
          </c:tx>
          <c:spPr>
            <a:ln w="25400">
              <a:solidFill>
                <a:srgbClr val="969696"/>
              </a:solidFill>
              <a:prstDash val="solid"/>
            </a:ln>
          </c:spPr>
          <c:val>
            <c:numRef>
              <c:f>Seasonality!$M$182:$M$211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C-4189-B985-A1FD6FB00B0F}"/>
            </c:ext>
          </c:extLst>
        </c:ser>
        <c:ser>
          <c:idx val="1"/>
          <c:order val="1"/>
          <c:tx>
            <c:v>Daily budget (w/seasonality)</c:v>
          </c:tx>
          <c:val>
            <c:numRef>
              <c:f>Seasonality!$N$182:$N$211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C-4189-B985-A1FD6FB00B0F}"/>
            </c:ext>
          </c:extLst>
        </c:ser>
        <c:ser>
          <c:idx val="2"/>
          <c:order val="2"/>
          <c:tx>
            <c:v>Actual daily net revenues</c:v>
          </c:tx>
          <c:spPr>
            <a:ln w="25400">
              <a:solidFill>
                <a:srgbClr val="FFCC00"/>
              </a:solidFill>
              <a:prstDash val="solid"/>
            </a:ln>
          </c:spPr>
          <c:val>
            <c:numRef>
              <c:f>Seasonality!$O$182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C-4189-B985-A1FD6FB00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41248"/>
        <c:axId val="96742784"/>
      </c:lineChart>
      <c:catAx>
        <c:axId val="9674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6742784"/>
        <c:crosses val="autoZero"/>
        <c:auto val="1"/>
        <c:lblAlgn val="ctr"/>
        <c:lblOffset val="100"/>
        <c:noMultiLvlLbl val="0"/>
      </c:catAx>
      <c:valAx>
        <c:axId val="967427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674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17678100263852242"/>
          <c:y val="0.91482649842271291"/>
          <c:w val="0.78232189973614752"/>
          <c:h val="0.97160883280764065"/>
        </c:manualLayout>
      </c:layout>
      <c:overlay val="0"/>
      <c:txPr>
        <a:bodyPr/>
        <a:lstStyle/>
        <a:p>
          <a:pPr>
            <a:defRPr lang="es-E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062762227714433E-2"/>
          <c:y val="4.2145593869731802E-2"/>
          <c:w val="0.88171591454294018"/>
          <c:h val="0.78865266841644799"/>
        </c:manualLayout>
      </c:layout>
      <c:lineChart>
        <c:grouping val="standard"/>
        <c:varyColors val="0"/>
        <c:ser>
          <c:idx val="0"/>
          <c:order val="0"/>
          <c:tx>
            <c:v>Daily budget (average)</c:v>
          </c:tx>
          <c:spPr>
            <a:ln w="25400">
              <a:solidFill>
                <a:srgbClr val="969696"/>
              </a:solidFill>
              <a:prstDash val="solid"/>
            </a:ln>
          </c:spPr>
          <c:val>
            <c:numRef>
              <c:f>Seasonality!$M$125:$M$154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5-4099-BCDD-7DC75178B949}"/>
            </c:ext>
          </c:extLst>
        </c:ser>
        <c:ser>
          <c:idx val="1"/>
          <c:order val="1"/>
          <c:tx>
            <c:v>Daily budget (w/seasonality)</c:v>
          </c:tx>
          <c:val>
            <c:numRef>
              <c:f>Seasonality!$N$125:$N$154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5-4099-BCDD-7DC75178B949}"/>
            </c:ext>
          </c:extLst>
        </c:ser>
        <c:ser>
          <c:idx val="2"/>
          <c:order val="2"/>
          <c:tx>
            <c:v>Actual daily net revenues</c:v>
          </c:tx>
          <c:spPr>
            <a:ln w="25400">
              <a:solidFill>
                <a:srgbClr val="FFCC00"/>
              </a:solidFill>
              <a:prstDash val="solid"/>
            </a:ln>
          </c:spPr>
          <c:val>
            <c:numRef>
              <c:f>Seasonality!$O$125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35-4099-BCDD-7DC75178B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68384"/>
        <c:axId val="96769920"/>
      </c:lineChart>
      <c:catAx>
        <c:axId val="9676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6769920"/>
        <c:crosses val="autoZero"/>
        <c:auto val="1"/>
        <c:lblAlgn val="ctr"/>
        <c:lblOffset val="100"/>
        <c:noMultiLvlLbl val="0"/>
      </c:catAx>
      <c:valAx>
        <c:axId val="967699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676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18145161290322581"/>
          <c:y val="0.91666666666666652"/>
          <c:w val="0.782258064516129"/>
          <c:h val="0.97413793103448365"/>
        </c:manualLayout>
      </c:layout>
      <c:overlay val="0"/>
      <c:txPr>
        <a:bodyPr/>
        <a:lstStyle/>
        <a:p>
          <a:pPr>
            <a:defRPr lang="es-E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179487179487175E-2"/>
          <c:y val="2.6548672566372652E-2"/>
          <c:w val="0.82948717948717954"/>
          <c:h val="0.79056047197640056"/>
        </c:manualLayout>
      </c:layout>
      <c:lineChart>
        <c:grouping val="standard"/>
        <c:varyColors val="0"/>
        <c:ser>
          <c:idx val="0"/>
          <c:order val="0"/>
          <c:tx>
            <c:v>Daily budget (average)</c:v>
          </c:tx>
          <c:spPr>
            <a:ln w="25400">
              <a:solidFill>
                <a:srgbClr val="969696"/>
              </a:solidFill>
              <a:prstDash val="solid"/>
            </a:ln>
          </c:spPr>
          <c:val>
            <c:numRef>
              <c:f>Seasonality!$D$7:$D$36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4-4230-B462-A3CA4CE36FD4}"/>
            </c:ext>
          </c:extLst>
        </c:ser>
        <c:ser>
          <c:idx val="1"/>
          <c:order val="1"/>
          <c:tx>
            <c:v>Daily budget (w/seasonality)</c:v>
          </c:tx>
          <c:val>
            <c:numRef>
              <c:f>Seasonality!$E$7:$E$36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4-4230-B462-A3CA4CE36FD4}"/>
            </c:ext>
          </c:extLst>
        </c:ser>
        <c:ser>
          <c:idx val="2"/>
          <c:order val="2"/>
          <c:tx>
            <c:v>Actual daily net revenues</c:v>
          </c:tx>
          <c:spPr>
            <a:ln w="25400">
              <a:solidFill>
                <a:srgbClr val="FFCC00"/>
              </a:solidFill>
              <a:prstDash val="solid"/>
            </a:ln>
          </c:spPr>
          <c:val>
            <c:numRef>
              <c:f>Seasonality!$F$7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E4-4230-B462-A3CA4CE36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91296"/>
        <c:axId val="98005376"/>
      </c:lineChart>
      <c:catAx>
        <c:axId val="9799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005376"/>
        <c:crosses val="autoZero"/>
        <c:auto val="1"/>
        <c:lblAlgn val="ctr"/>
        <c:lblOffset val="100"/>
        <c:noMultiLvlLbl val="0"/>
      </c:catAx>
      <c:valAx>
        <c:axId val="98005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799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17692307692307688"/>
          <c:y val="0.91150442477876059"/>
          <c:w val="0.77564102564124604"/>
          <c:h val="0.97050147492625349"/>
        </c:manualLayout>
      </c:layout>
      <c:overlay val="0"/>
      <c:txPr>
        <a:bodyPr/>
        <a:lstStyle/>
        <a:p>
          <a:pPr>
            <a:defRPr lang="es-E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742221542697123E-2"/>
          <c:y val="4.6709129511677279E-2"/>
          <c:w val="0.87872171941832933"/>
          <c:h val="0.75727535650423738"/>
        </c:manualLayout>
      </c:layout>
      <c:lineChart>
        <c:grouping val="standard"/>
        <c:varyColors val="0"/>
        <c:ser>
          <c:idx val="0"/>
          <c:order val="0"/>
          <c:tx>
            <c:v>Daily budget (average)</c:v>
          </c:tx>
          <c:spPr>
            <a:ln w="25400">
              <a:solidFill>
                <a:srgbClr val="969696"/>
              </a:solidFill>
              <a:prstDash val="solid"/>
            </a:ln>
          </c:spPr>
          <c:val>
            <c:numRef>
              <c:f>Seasonality!$M$67:$M$96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3-4C32-90EE-D1572204EED1}"/>
            </c:ext>
          </c:extLst>
        </c:ser>
        <c:ser>
          <c:idx val="1"/>
          <c:order val="1"/>
          <c:tx>
            <c:v>Daily budget (w/seasonality)</c:v>
          </c:tx>
          <c:val>
            <c:numRef>
              <c:f>Seasonality!$N$67:$N$96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3-4C32-90EE-D1572204EED1}"/>
            </c:ext>
          </c:extLst>
        </c:ser>
        <c:ser>
          <c:idx val="2"/>
          <c:order val="2"/>
          <c:tx>
            <c:v>Actual daily net revenues</c:v>
          </c:tx>
          <c:spPr>
            <a:ln w="25400">
              <a:solidFill>
                <a:srgbClr val="FFCC00"/>
              </a:solidFill>
              <a:prstDash val="solid"/>
            </a:ln>
          </c:spPr>
          <c:val>
            <c:numRef>
              <c:f>Seasonality!$O$67:$O$88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83-4C32-90EE-D1572204E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35200"/>
        <c:axId val="98036736"/>
      </c:lineChart>
      <c:catAx>
        <c:axId val="9803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036736"/>
        <c:crosses val="autoZero"/>
        <c:auto val="1"/>
        <c:lblAlgn val="ctr"/>
        <c:lblOffset val="100"/>
        <c:noMultiLvlLbl val="0"/>
      </c:catAx>
      <c:valAx>
        <c:axId val="980367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03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18872870249018694"/>
          <c:y val="0.9140127388535032"/>
          <c:w val="0.78636959370904258"/>
          <c:h val="0.9713375796178344"/>
        </c:manualLayout>
      </c:layout>
      <c:overlay val="0"/>
      <c:txPr>
        <a:bodyPr/>
        <a:lstStyle/>
        <a:p>
          <a:pPr>
            <a:defRPr lang="es-E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681577379514681E-2"/>
          <c:y val="4.6267087276550975E-2"/>
          <c:w val="0.88012825573584308"/>
          <c:h val="0.75957243514911565"/>
        </c:manualLayout>
      </c:layout>
      <c:lineChart>
        <c:grouping val="standard"/>
        <c:varyColors val="0"/>
        <c:ser>
          <c:idx val="0"/>
          <c:order val="0"/>
          <c:tx>
            <c:v>Daily budget (average)</c:v>
          </c:tx>
          <c:spPr>
            <a:ln w="25400">
              <a:solidFill>
                <a:srgbClr val="969696"/>
              </a:solidFill>
              <a:prstDash val="solid"/>
            </a:ln>
          </c:spPr>
          <c:val>
            <c:numRef>
              <c:f>Seasonality!$M$182:$M$211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2-4825-BBFC-77C0AE1CD385}"/>
            </c:ext>
          </c:extLst>
        </c:ser>
        <c:ser>
          <c:idx val="1"/>
          <c:order val="1"/>
          <c:tx>
            <c:v>Daily budget (w/seasonality)</c:v>
          </c:tx>
          <c:val>
            <c:numRef>
              <c:f>Seasonality!$N$182:$N$211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D2-4825-BBFC-77C0AE1CD385}"/>
            </c:ext>
          </c:extLst>
        </c:ser>
        <c:ser>
          <c:idx val="2"/>
          <c:order val="2"/>
          <c:tx>
            <c:v>Actual daily net revenues</c:v>
          </c:tx>
          <c:spPr>
            <a:ln w="25400">
              <a:solidFill>
                <a:srgbClr val="FFCC00"/>
              </a:solidFill>
              <a:prstDash val="solid"/>
            </a:ln>
          </c:spPr>
          <c:val>
            <c:numRef>
              <c:f>Seasonality!$O$182:$O$203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2-4825-BBFC-77C0AE1CD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82816"/>
        <c:axId val="98084352"/>
      </c:lineChart>
      <c:catAx>
        <c:axId val="9808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084352"/>
        <c:crosses val="autoZero"/>
        <c:auto val="1"/>
        <c:lblAlgn val="ctr"/>
        <c:lblOffset val="100"/>
        <c:noMultiLvlLbl val="0"/>
      </c:catAx>
      <c:valAx>
        <c:axId val="980843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08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17678100263852242"/>
          <c:y val="0.91482649842271291"/>
          <c:w val="0.78232189973614752"/>
          <c:h val="0.97160883280764065"/>
        </c:manualLayout>
      </c:layout>
      <c:overlay val="0"/>
      <c:txPr>
        <a:bodyPr/>
        <a:lstStyle/>
        <a:p>
          <a:pPr>
            <a:defRPr lang="es-E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062762227714433E-2"/>
          <c:y val="4.2145593869731802E-2"/>
          <c:w val="0.88171591454294018"/>
          <c:h val="0.78865266841644799"/>
        </c:manualLayout>
      </c:layout>
      <c:lineChart>
        <c:grouping val="standard"/>
        <c:varyColors val="0"/>
        <c:ser>
          <c:idx val="0"/>
          <c:order val="0"/>
          <c:tx>
            <c:v>Daily budget (average)</c:v>
          </c:tx>
          <c:spPr>
            <a:ln w="25400">
              <a:solidFill>
                <a:srgbClr val="969696"/>
              </a:solidFill>
              <a:prstDash val="solid"/>
            </a:ln>
          </c:spPr>
          <c:val>
            <c:numRef>
              <c:f>Seasonality!$M$125:$M$154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F-499A-A45D-052B26098BA4}"/>
            </c:ext>
          </c:extLst>
        </c:ser>
        <c:ser>
          <c:idx val="1"/>
          <c:order val="1"/>
          <c:tx>
            <c:v>Daily budget (w/seasonality)</c:v>
          </c:tx>
          <c:val>
            <c:numRef>
              <c:f>Seasonality!$N$125:$N$154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F-499A-A45D-052B26098BA4}"/>
            </c:ext>
          </c:extLst>
        </c:ser>
        <c:ser>
          <c:idx val="2"/>
          <c:order val="2"/>
          <c:tx>
            <c:v>Actual daily net revenues</c:v>
          </c:tx>
          <c:spPr>
            <a:ln w="25400">
              <a:solidFill>
                <a:srgbClr val="FFCC00"/>
              </a:solidFill>
              <a:prstDash val="solid"/>
            </a:ln>
          </c:spPr>
          <c:val>
            <c:numRef>
              <c:f>Seasonality!$O$125:$O$146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0F-499A-A45D-052B2609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15904"/>
        <c:axId val="98725888"/>
      </c:lineChart>
      <c:catAx>
        <c:axId val="9871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725888"/>
        <c:crosses val="autoZero"/>
        <c:auto val="1"/>
        <c:lblAlgn val="ctr"/>
        <c:lblOffset val="100"/>
        <c:noMultiLvlLbl val="0"/>
      </c:catAx>
      <c:valAx>
        <c:axId val="987258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7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18145161290322581"/>
          <c:y val="0.91666666666666652"/>
          <c:w val="0.782258064516129"/>
          <c:h val="0.97413793103448365"/>
        </c:manualLayout>
      </c:layout>
      <c:overlay val="0"/>
      <c:txPr>
        <a:bodyPr/>
        <a:lstStyle/>
        <a:p>
          <a:pPr>
            <a:defRPr lang="es-E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179487179487175E-2"/>
          <c:y val="2.6548672566372652E-2"/>
          <c:w val="0.82948717948717954"/>
          <c:h val="0.79056047197640056"/>
        </c:manualLayout>
      </c:layout>
      <c:lineChart>
        <c:grouping val="standard"/>
        <c:varyColors val="0"/>
        <c:ser>
          <c:idx val="0"/>
          <c:order val="0"/>
          <c:tx>
            <c:v>Daily budget (average)</c:v>
          </c:tx>
          <c:spPr>
            <a:ln w="25400">
              <a:solidFill>
                <a:srgbClr val="969696"/>
              </a:solidFill>
              <a:prstDash val="solid"/>
            </a:ln>
          </c:spPr>
          <c:val>
            <c:numRef>
              <c:f>Seasonality!$D$7:$D$36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13-4E08-A58B-52113DC838A7}"/>
            </c:ext>
          </c:extLst>
        </c:ser>
        <c:ser>
          <c:idx val="1"/>
          <c:order val="1"/>
          <c:tx>
            <c:v>Daily budget (w/seasonality)</c:v>
          </c:tx>
          <c:val>
            <c:numRef>
              <c:f>Seasonality!$E$7:$E$36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13-4E08-A58B-52113DC838A7}"/>
            </c:ext>
          </c:extLst>
        </c:ser>
        <c:ser>
          <c:idx val="2"/>
          <c:order val="2"/>
          <c:tx>
            <c:v>Actual daily net revenues</c:v>
          </c:tx>
          <c:spPr>
            <a:ln w="25400">
              <a:solidFill>
                <a:srgbClr val="FFCC00"/>
              </a:solidFill>
              <a:prstDash val="solid"/>
            </a:ln>
          </c:spPr>
          <c:val>
            <c:numRef>
              <c:f>Seasonality!$F$7:$F$28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13-4E08-A58B-52113DC83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70304"/>
        <c:axId val="98371840"/>
      </c:lineChart>
      <c:catAx>
        <c:axId val="9837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371840"/>
        <c:crosses val="autoZero"/>
        <c:auto val="1"/>
        <c:lblAlgn val="ctr"/>
        <c:lblOffset val="100"/>
        <c:noMultiLvlLbl val="0"/>
      </c:catAx>
      <c:valAx>
        <c:axId val="983718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9837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17692307692307688"/>
          <c:y val="0.91150442477876059"/>
          <c:w val="0.77564102564124604"/>
          <c:h val="0.97050147492625349"/>
        </c:manualLayout>
      </c:layout>
      <c:overlay val="0"/>
      <c:txPr>
        <a:bodyPr/>
        <a:lstStyle/>
        <a:p>
          <a:pPr>
            <a:defRPr lang="es-ES"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704850</xdr:colOff>
      <xdr:row>65</xdr:row>
      <xdr:rowOff>123825</xdr:rowOff>
    </xdr:from>
    <xdr:to>
      <xdr:col>25</xdr:col>
      <xdr:colOff>200025</xdr:colOff>
      <xdr:row>86</xdr:row>
      <xdr:rowOff>114300</xdr:rowOff>
    </xdr:to>
    <xdr:graphicFrame macro="">
      <xdr:nvGraphicFramePr>
        <xdr:cNvPr id="39238104" name="1 Gráfico">
          <a:extLst>
            <a:ext uri="{FF2B5EF4-FFF2-40B4-BE49-F238E27FC236}">
              <a16:creationId xmlns:a16="http://schemas.microsoft.com/office/drawing/2014/main" id="{00000000-0008-0000-0500-0000D8B9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723900</xdr:colOff>
      <xdr:row>181</xdr:row>
      <xdr:rowOff>123825</xdr:rowOff>
    </xdr:from>
    <xdr:to>
      <xdr:col>25</xdr:col>
      <xdr:colOff>171450</xdr:colOff>
      <xdr:row>203</xdr:row>
      <xdr:rowOff>0</xdr:rowOff>
    </xdr:to>
    <xdr:graphicFrame macro="">
      <xdr:nvGraphicFramePr>
        <xdr:cNvPr id="39238105" name="1 Gráfico">
          <a:extLst>
            <a:ext uri="{FF2B5EF4-FFF2-40B4-BE49-F238E27FC236}">
              <a16:creationId xmlns:a16="http://schemas.microsoft.com/office/drawing/2014/main" id="{00000000-0008-0000-0500-0000D9B9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695325</xdr:colOff>
      <xdr:row>124</xdr:row>
      <xdr:rowOff>95250</xdr:rowOff>
    </xdr:from>
    <xdr:to>
      <xdr:col>25</xdr:col>
      <xdr:colOff>9525</xdr:colOff>
      <xdr:row>147</xdr:row>
      <xdr:rowOff>123825</xdr:rowOff>
    </xdr:to>
    <xdr:graphicFrame macro="">
      <xdr:nvGraphicFramePr>
        <xdr:cNvPr id="39238106" name="1 Gráfico">
          <a:extLst>
            <a:ext uri="{FF2B5EF4-FFF2-40B4-BE49-F238E27FC236}">
              <a16:creationId xmlns:a16="http://schemas.microsoft.com/office/drawing/2014/main" id="{00000000-0008-0000-0500-0000DAB9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647700</xdr:colOff>
      <xdr:row>6</xdr:row>
      <xdr:rowOff>85725</xdr:rowOff>
    </xdr:from>
    <xdr:to>
      <xdr:col>16</xdr:col>
      <xdr:colOff>123825</xdr:colOff>
      <xdr:row>29</xdr:row>
      <xdr:rowOff>28575</xdr:rowOff>
    </xdr:to>
    <xdr:graphicFrame macro="">
      <xdr:nvGraphicFramePr>
        <xdr:cNvPr id="39238107" name="5 Gráfico">
          <a:extLst>
            <a:ext uri="{FF2B5EF4-FFF2-40B4-BE49-F238E27FC236}">
              <a16:creationId xmlns:a16="http://schemas.microsoft.com/office/drawing/2014/main" id="{00000000-0008-0000-0500-0000DBB9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704850</xdr:colOff>
      <xdr:row>65</xdr:row>
      <xdr:rowOff>123825</xdr:rowOff>
    </xdr:from>
    <xdr:to>
      <xdr:col>25</xdr:col>
      <xdr:colOff>200025</xdr:colOff>
      <xdr:row>86</xdr:row>
      <xdr:rowOff>114300</xdr:rowOff>
    </xdr:to>
    <xdr:graphicFrame macro="">
      <xdr:nvGraphicFramePr>
        <xdr:cNvPr id="39238108" name="1 Gráfico">
          <a:extLst>
            <a:ext uri="{FF2B5EF4-FFF2-40B4-BE49-F238E27FC236}">
              <a16:creationId xmlns:a16="http://schemas.microsoft.com/office/drawing/2014/main" id="{00000000-0008-0000-0500-0000DCB9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695325</xdr:colOff>
      <xdr:row>181</xdr:row>
      <xdr:rowOff>133350</xdr:rowOff>
    </xdr:from>
    <xdr:to>
      <xdr:col>25</xdr:col>
      <xdr:colOff>142875</xdr:colOff>
      <xdr:row>203</xdr:row>
      <xdr:rowOff>9525</xdr:rowOff>
    </xdr:to>
    <xdr:graphicFrame macro="">
      <xdr:nvGraphicFramePr>
        <xdr:cNvPr id="39238109" name="1 Gráfico">
          <a:extLst>
            <a:ext uri="{FF2B5EF4-FFF2-40B4-BE49-F238E27FC236}">
              <a16:creationId xmlns:a16="http://schemas.microsoft.com/office/drawing/2014/main" id="{00000000-0008-0000-0500-0000DDB9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695325</xdr:colOff>
      <xdr:row>124</xdr:row>
      <xdr:rowOff>95250</xdr:rowOff>
    </xdr:from>
    <xdr:to>
      <xdr:col>25</xdr:col>
      <xdr:colOff>9525</xdr:colOff>
      <xdr:row>147</xdr:row>
      <xdr:rowOff>123825</xdr:rowOff>
    </xdr:to>
    <xdr:graphicFrame macro="">
      <xdr:nvGraphicFramePr>
        <xdr:cNvPr id="39238110" name="1 Gráfico">
          <a:extLst>
            <a:ext uri="{FF2B5EF4-FFF2-40B4-BE49-F238E27FC236}">
              <a16:creationId xmlns:a16="http://schemas.microsoft.com/office/drawing/2014/main" id="{00000000-0008-0000-0500-0000DEB9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647700</xdr:colOff>
      <xdr:row>6</xdr:row>
      <xdr:rowOff>85725</xdr:rowOff>
    </xdr:from>
    <xdr:to>
      <xdr:col>16</xdr:col>
      <xdr:colOff>123825</xdr:colOff>
      <xdr:row>29</xdr:row>
      <xdr:rowOff>28575</xdr:rowOff>
    </xdr:to>
    <xdr:graphicFrame macro="">
      <xdr:nvGraphicFramePr>
        <xdr:cNvPr id="39238111" name="5 Gráfico">
          <a:extLst>
            <a:ext uri="{FF2B5EF4-FFF2-40B4-BE49-F238E27FC236}">
              <a16:creationId xmlns:a16="http://schemas.microsoft.com/office/drawing/2014/main" id="{00000000-0008-0000-0500-0000DFB9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9"/>
  <sheetViews>
    <sheetView showGridLines="0" showZeros="0" workbookViewId="0">
      <pane xSplit="3" ySplit="6" topLeftCell="D7" activePane="bottomRight" state="frozen"/>
      <selection activeCell="AK32" sqref="AK32:AL32"/>
      <selection pane="topRight" activeCell="AK32" sqref="AK32:AL32"/>
      <selection pane="bottomLeft" activeCell="AK32" sqref="AK32:AL32"/>
      <selection pane="bottomRight" activeCell="B11" sqref="B11"/>
    </sheetView>
  </sheetViews>
  <sheetFormatPr defaultColWidth="11.42578125" defaultRowHeight="11.25" x14ac:dyDescent="0.2"/>
  <cols>
    <col min="1" max="1" width="11.88671875" style="39" customWidth="1"/>
    <col min="2" max="2" width="9.6640625" style="39" bestFit="1" customWidth="1"/>
    <col min="3" max="3" width="9" style="39" customWidth="1"/>
    <col min="4" max="4" width="5" style="39" bestFit="1" customWidth="1"/>
    <col min="5" max="5" width="11.6640625" style="39" bestFit="1" customWidth="1"/>
    <col min="6" max="6" width="10.88671875" style="39" bestFit="1" customWidth="1"/>
    <col min="7" max="7" width="10" style="39" customWidth="1"/>
    <col min="8" max="8" width="7.109375" style="39" customWidth="1"/>
    <col min="9" max="9" width="6.33203125" style="39" customWidth="1"/>
    <col min="10" max="10" width="6.5546875" style="39" bestFit="1" customWidth="1"/>
    <col min="11" max="11" width="8" style="39" bestFit="1" customWidth="1"/>
    <col min="12" max="12" width="6.33203125" style="39" customWidth="1"/>
    <col min="13" max="13" width="11.33203125" style="39" bestFit="1" customWidth="1"/>
    <col min="14" max="14" width="10.109375" style="39" bestFit="1" customWidth="1"/>
    <col min="15" max="15" width="10" style="39" bestFit="1" customWidth="1"/>
    <col min="16" max="16" width="7.44140625" style="39" bestFit="1" customWidth="1"/>
    <col min="17" max="17" width="6.5546875" style="39" customWidth="1"/>
    <col min="18" max="18" width="7.44140625" style="39" bestFit="1" customWidth="1"/>
    <col min="19" max="19" width="8" style="39" customWidth="1"/>
    <col min="20" max="20" width="10.44140625" style="39" bestFit="1" customWidth="1"/>
    <col min="21" max="21" width="10.44140625" style="39" customWidth="1"/>
    <col min="22" max="22" width="6.5546875" style="39" hidden="1" customWidth="1"/>
    <col min="23" max="23" width="11.109375" style="39" hidden="1" customWidth="1"/>
    <col min="24" max="25" width="10.109375" style="39" hidden="1" customWidth="1"/>
    <col min="26" max="26" width="8.88671875" style="39" hidden="1" customWidth="1"/>
    <col min="27" max="29" width="6.5546875" style="39" hidden="1" customWidth="1"/>
    <col min="30" max="32" width="10.6640625" style="39" customWidth="1"/>
    <col min="33" max="33" width="9.109375" style="39" bestFit="1" customWidth="1"/>
    <col min="34" max="34" width="9.109375" style="39" customWidth="1"/>
    <col min="35" max="35" width="9.109375" style="39" bestFit="1" customWidth="1"/>
    <col min="36" max="36" width="6.33203125" style="39" customWidth="1"/>
    <col min="37" max="37" width="10.88671875" style="39" bestFit="1" customWidth="1"/>
    <col min="38" max="39" width="9.44140625" style="39" customWidth="1"/>
    <col min="40" max="41" width="9.109375" style="39" customWidth="1"/>
    <col min="42" max="42" width="7.33203125" style="39" customWidth="1"/>
    <col min="43" max="43" width="11.109375" style="39" bestFit="1" customWidth="1"/>
    <col min="44" max="44" width="10.88671875" style="39" bestFit="1" customWidth="1"/>
    <col min="45" max="45" width="10" style="39" bestFit="1" customWidth="1"/>
    <col min="46" max="46" width="10.5546875" style="39" bestFit="1" customWidth="1"/>
    <col min="47" max="47" width="10" style="39" bestFit="1" customWidth="1"/>
    <col min="48" max="48" width="12.5546875" style="39" bestFit="1" customWidth="1"/>
    <col min="49" max="49" width="7.33203125" style="39" customWidth="1"/>
    <col min="50" max="50" width="4.5546875" style="39" customWidth="1"/>
    <col min="51" max="56" width="8.6640625" style="39" customWidth="1"/>
    <col min="57" max="57" width="10.5546875" style="39" customWidth="1"/>
    <col min="58" max="61" width="10.6640625" style="39" customWidth="1"/>
    <col min="62" max="62" width="10.5546875" style="39" customWidth="1"/>
    <col min="63" max="66" width="10.6640625" style="39" customWidth="1"/>
    <col min="67" max="75" width="11.44140625" style="39" customWidth="1"/>
    <col min="76" max="16384" width="11.44140625" style="39"/>
  </cols>
  <sheetData>
    <row r="1" spans="1:68" x14ac:dyDescent="0.2">
      <c r="A1" s="2" t="s">
        <v>0</v>
      </c>
      <c r="C1" s="191" t="s">
        <v>115</v>
      </c>
      <c r="D1" s="146">
        <f>COUNT(C7:C37)</f>
        <v>0</v>
      </c>
      <c r="F1" s="189"/>
      <c r="X1" s="57"/>
    </row>
    <row r="2" spans="1:68" ht="10.5" customHeight="1" x14ac:dyDescent="0.2">
      <c r="A2" s="2"/>
      <c r="E2" s="61"/>
      <c r="N2" s="32"/>
      <c r="W2" s="61"/>
      <c r="X2" s="32"/>
      <c r="Y2" s="32"/>
      <c r="BE2" s="104"/>
      <c r="BF2" s="104"/>
      <c r="BG2" s="104"/>
      <c r="BH2" s="104"/>
      <c r="BI2" s="104"/>
    </row>
    <row r="3" spans="1:68" ht="12" customHeight="1" thickBot="1" x14ac:dyDescent="0.25">
      <c r="A3" s="2" t="str">
        <f>+'Biyemas S.A.'!A3</f>
        <v>Reporte Flash Agosto 26</v>
      </c>
      <c r="D3" s="144"/>
      <c r="E3" s="144"/>
      <c r="F3" s="144"/>
      <c r="G3" s="144"/>
      <c r="H3" s="144"/>
      <c r="I3" s="144"/>
      <c r="J3" s="144"/>
      <c r="K3" s="144"/>
      <c r="L3" s="32"/>
      <c r="M3" s="32"/>
    </row>
    <row r="4" spans="1:68" ht="14.25" customHeight="1" thickBot="1" x14ac:dyDescent="0.25">
      <c r="A4" s="17" t="s">
        <v>1</v>
      </c>
      <c r="B4" s="44" t="s">
        <v>2</v>
      </c>
      <c r="C4" s="53" t="s">
        <v>2</v>
      </c>
      <c r="D4" s="299" t="s">
        <v>16</v>
      </c>
      <c r="E4" s="300"/>
      <c r="F4" s="300"/>
      <c r="G4" s="300"/>
      <c r="H4" s="300"/>
      <c r="I4" s="300"/>
      <c r="J4" s="300"/>
      <c r="K4" s="301"/>
      <c r="L4" s="286" t="s">
        <v>114</v>
      </c>
      <c r="M4" s="302"/>
      <c r="N4" s="302"/>
      <c r="O4" s="302"/>
      <c r="P4" s="302"/>
      <c r="Q4" s="302"/>
      <c r="R4" s="302"/>
      <c r="S4" s="303"/>
      <c r="T4" s="18" t="s">
        <v>21</v>
      </c>
      <c r="U4" s="18" t="s">
        <v>39</v>
      </c>
      <c r="V4" s="299" t="s">
        <v>86</v>
      </c>
      <c r="W4" s="300"/>
      <c r="X4" s="300"/>
      <c r="Y4" s="300"/>
      <c r="Z4" s="300"/>
      <c r="AA4" s="300"/>
      <c r="AB4" s="300"/>
      <c r="AC4" s="301"/>
      <c r="AD4" s="147" t="s">
        <v>94</v>
      </c>
      <c r="AE4" s="148" t="s">
        <v>21</v>
      </c>
      <c r="AF4" s="148"/>
      <c r="AG4" s="286" t="s">
        <v>18</v>
      </c>
      <c r="AH4" s="302"/>
      <c r="AI4" s="302"/>
      <c r="AJ4" s="303"/>
      <c r="AK4" s="2"/>
      <c r="AL4" s="286" t="s">
        <v>85</v>
      </c>
      <c r="AM4" s="303"/>
      <c r="AN4" s="286" t="s">
        <v>121</v>
      </c>
      <c r="AO4" s="302"/>
      <c r="AP4" s="303"/>
      <c r="AQ4" s="286" t="s">
        <v>131</v>
      </c>
      <c r="AR4" s="287"/>
      <c r="AS4" s="287"/>
      <c r="AT4" s="287"/>
      <c r="AU4" s="288"/>
      <c r="AV4" s="2"/>
      <c r="AW4" s="2"/>
      <c r="AY4" s="316" t="s">
        <v>41</v>
      </c>
      <c r="AZ4" s="314"/>
      <c r="BA4" s="316" t="s">
        <v>47</v>
      </c>
      <c r="BB4" s="315"/>
      <c r="BC4" s="323" t="s">
        <v>123</v>
      </c>
      <c r="BD4" s="324"/>
      <c r="BE4" s="318" t="s">
        <v>110</v>
      </c>
      <c r="BF4" s="318"/>
      <c r="BG4" s="318"/>
      <c r="BH4" s="318"/>
      <c r="BI4" s="318"/>
      <c r="BJ4" s="291" t="s">
        <v>81</v>
      </c>
      <c r="BK4" s="292"/>
      <c r="BL4" s="292"/>
      <c r="BM4" s="292"/>
      <c r="BN4" s="293"/>
    </row>
    <row r="5" spans="1:68" ht="14.25" customHeight="1" x14ac:dyDescent="0.2">
      <c r="A5" s="20" t="s">
        <v>1</v>
      </c>
      <c r="B5" s="21" t="s">
        <v>2</v>
      </c>
      <c r="C5" s="54" t="s">
        <v>2</v>
      </c>
      <c r="D5" s="304" t="s">
        <v>113</v>
      </c>
      <c r="E5" s="305"/>
      <c r="F5" s="305"/>
      <c r="G5" s="305"/>
      <c r="H5" s="305"/>
      <c r="I5" s="305"/>
      <c r="J5" s="305"/>
      <c r="K5" s="306"/>
      <c r="L5" s="45"/>
      <c r="M5" s="46"/>
      <c r="N5" s="46"/>
      <c r="O5" s="146" t="s">
        <v>84</v>
      </c>
      <c r="P5" s="21" t="s">
        <v>31</v>
      </c>
      <c r="Q5" s="21" t="s">
        <v>31</v>
      </c>
      <c r="R5" s="21" t="s">
        <v>5</v>
      </c>
      <c r="S5" s="22" t="s">
        <v>5</v>
      </c>
      <c r="T5" s="165" t="s">
        <v>35</v>
      </c>
      <c r="U5" s="19" t="s">
        <v>37</v>
      </c>
      <c r="V5" s="307" t="s">
        <v>113</v>
      </c>
      <c r="W5" s="308"/>
      <c r="X5" s="308"/>
      <c r="Y5" s="308"/>
      <c r="Z5" s="308"/>
      <c r="AA5" s="308"/>
      <c r="AB5" s="308"/>
      <c r="AC5" s="309"/>
      <c r="AD5" s="152" t="s">
        <v>42</v>
      </c>
      <c r="AE5" s="153" t="s">
        <v>95</v>
      </c>
      <c r="AF5" s="153" t="s">
        <v>96</v>
      </c>
      <c r="AG5" s="20" t="s">
        <v>20</v>
      </c>
      <c r="AH5" s="21"/>
      <c r="AI5" s="21" t="s">
        <v>22</v>
      </c>
      <c r="AJ5" s="22"/>
      <c r="AK5" s="44" t="s">
        <v>6</v>
      </c>
      <c r="AL5" s="20" t="s">
        <v>3</v>
      </c>
      <c r="AM5" s="22"/>
      <c r="AN5" s="20"/>
      <c r="AO5" s="21"/>
      <c r="AP5" s="22"/>
      <c r="AQ5" s="20"/>
      <c r="AR5" s="21"/>
      <c r="AS5" s="21"/>
      <c r="AT5" s="21"/>
      <c r="AU5" s="22"/>
      <c r="AV5" s="44" t="s">
        <v>45</v>
      </c>
      <c r="AW5" s="105" t="s">
        <v>5</v>
      </c>
      <c r="AY5" s="217" t="s">
        <v>84</v>
      </c>
      <c r="AZ5" s="250" t="s">
        <v>40</v>
      </c>
      <c r="BA5" s="310" t="s">
        <v>50</v>
      </c>
      <c r="BB5" s="326" t="s">
        <v>46</v>
      </c>
      <c r="BC5" s="310" t="s">
        <v>50</v>
      </c>
      <c r="BD5" s="325" t="s">
        <v>125</v>
      </c>
      <c r="BE5" s="289" t="s">
        <v>39</v>
      </c>
      <c r="BF5" s="289" t="s">
        <v>42</v>
      </c>
      <c r="BG5" s="289" t="s">
        <v>43</v>
      </c>
      <c r="BH5" s="321" t="s">
        <v>44</v>
      </c>
      <c r="BI5" s="319" t="s">
        <v>122</v>
      </c>
      <c r="BJ5" s="226" t="s">
        <v>39</v>
      </c>
      <c r="BK5" s="219" t="s">
        <v>42</v>
      </c>
      <c r="BL5" s="219" t="s">
        <v>43</v>
      </c>
      <c r="BM5" s="239" t="s">
        <v>44</v>
      </c>
      <c r="BN5" s="221" t="s">
        <v>122</v>
      </c>
    </row>
    <row r="6" spans="1:68" ht="14.25" customHeight="1" thickBot="1" x14ac:dyDescent="0.25">
      <c r="A6" s="187" t="s">
        <v>7</v>
      </c>
      <c r="B6" s="23" t="s">
        <v>8</v>
      </c>
      <c r="C6" s="26" t="s">
        <v>28</v>
      </c>
      <c r="D6" s="24" t="s">
        <v>11</v>
      </c>
      <c r="E6" s="23" t="s">
        <v>17</v>
      </c>
      <c r="F6" s="23" t="s">
        <v>29</v>
      </c>
      <c r="G6" s="23" t="s">
        <v>10</v>
      </c>
      <c r="H6" s="23" t="s">
        <v>30</v>
      </c>
      <c r="I6" s="23" t="s">
        <v>29</v>
      </c>
      <c r="J6" s="23" t="s">
        <v>9</v>
      </c>
      <c r="K6" s="26" t="s">
        <v>12</v>
      </c>
      <c r="L6" s="24" t="s">
        <v>27</v>
      </c>
      <c r="M6" s="23" t="s">
        <v>17</v>
      </c>
      <c r="N6" s="23" t="s">
        <v>29</v>
      </c>
      <c r="O6" s="23" t="s">
        <v>21</v>
      </c>
      <c r="P6" s="23" t="s">
        <v>30</v>
      </c>
      <c r="Q6" s="23" t="s">
        <v>29</v>
      </c>
      <c r="R6" s="23" t="s">
        <v>9</v>
      </c>
      <c r="S6" s="26" t="s">
        <v>13</v>
      </c>
      <c r="T6" s="25" t="s">
        <v>36</v>
      </c>
      <c r="U6" s="25" t="s">
        <v>38</v>
      </c>
      <c r="V6" s="24" t="s">
        <v>11</v>
      </c>
      <c r="W6" s="23" t="s">
        <v>17</v>
      </c>
      <c r="X6" s="23" t="s">
        <v>29</v>
      </c>
      <c r="Y6" s="23" t="s">
        <v>10</v>
      </c>
      <c r="Z6" s="23" t="s">
        <v>30</v>
      </c>
      <c r="AA6" s="23" t="s">
        <v>29</v>
      </c>
      <c r="AB6" s="23" t="s">
        <v>9</v>
      </c>
      <c r="AC6" s="26" t="s">
        <v>12</v>
      </c>
      <c r="AD6" s="149" t="s">
        <v>21</v>
      </c>
      <c r="AE6" s="150" t="s">
        <v>21</v>
      </c>
      <c r="AF6" s="151"/>
      <c r="AG6" s="24" t="s">
        <v>19</v>
      </c>
      <c r="AH6" s="23" t="s">
        <v>24</v>
      </c>
      <c r="AI6" s="23" t="s">
        <v>23</v>
      </c>
      <c r="AJ6" s="26" t="s">
        <v>9</v>
      </c>
      <c r="AK6" s="23" t="s">
        <v>14</v>
      </c>
      <c r="AL6" s="24" t="s">
        <v>24</v>
      </c>
      <c r="AM6" s="26" t="s">
        <v>9</v>
      </c>
      <c r="AN6" s="20" t="s">
        <v>123</v>
      </c>
      <c r="AO6" s="21" t="s">
        <v>24</v>
      </c>
      <c r="AP6" s="22" t="s">
        <v>124</v>
      </c>
      <c r="AQ6" s="24" t="s">
        <v>126</v>
      </c>
      <c r="AR6" s="23" t="s">
        <v>127</v>
      </c>
      <c r="AS6" s="23" t="s">
        <v>128</v>
      </c>
      <c r="AT6" s="23" t="s">
        <v>129</v>
      </c>
      <c r="AU6" s="26" t="s">
        <v>130</v>
      </c>
      <c r="AV6" s="23" t="s">
        <v>25</v>
      </c>
      <c r="AW6" s="26" t="s">
        <v>9</v>
      </c>
      <c r="AY6" s="182"/>
      <c r="AZ6" s="251">
        <f>+'Biyemas S.A.'!AZ6+'Kandiko S.A'!AZ6+'Rebisco S.A.'!AZ6</f>
        <v>0</v>
      </c>
      <c r="BA6" s="311"/>
      <c r="BB6" s="327"/>
      <c r="BC6" s="311"/>
      <c r="BD6" s="313"/>
      <c r="BE6" s="290"/>
      <c r="BF6" s="290"/>
      <c r="BG6" s="290"/>
      <c r="BH6" s="322"/>
      <c r="BI6" s="320"/>
      <c r="BJ6" s="227">
        <f>+'Biyemas S.A.'!BJ6+'Kandiko S.A'!BJ6+'Rebisco S.A.'!BJ6</f>
        <v>0</v>
      </c>
      <c r="BK6" s="228">
        <f>+'Biyemas S.A.'!BK6+'Kandiko S.A'!BK6+'Rebisco S.A.'!BK6</f>
        <v>0</v>
      </c>
      <c r="BL6" s="228">
        <f>+'Biyemas S.A.'!BL6+'Kandiko S.A'!BL6+'Rebisco S.A.'!BL6</f>
        <v>0</v>
      </c>
      <c r="BM6" s="183">
        <f>+'Biyemas S.A.'!BM6+'Kandiko S.A'!BM6+'Rebisco S.A.'!BM6</f>
        <v>0</v>
      </c>
      <c r="BN6" s="184">
        <f>+'Biyemas S.A.'!BN6+'Kandiko S.A'!BN6+'Rebisco S.A.'!BN6</f>
        <v>0</v>
      </c>
    </row>
    <row r="7" spans="1:68" ht="11.25" customHeight="1" x14ac:dyDescent="0.2">
      <c r="A7" s="201" t="str">
        <f>IF(BP7='Datos Biyemas'!A9,'Datos Biyemas'!A9,"")</f>
        <v/>
      </c>
      <c r="B7" s="202" t="str">
        <f>IF(BP7=A7,'Datos Biyemas'!B9,"")</f>
        <v/>
      </c>
      <c r="C7" s="186" t="str">
        <f>IF(A7=BP7,+'Biyemas S.A.'!C7+'Kandiko S.A'!C7+'Rebisco S.A.'!C7,"")</f>
        <v/>
      </c>
      <c r="D7" s="32" t="str">
        <f>IF(A7=BP7,+'Biyemas S.A.'!D7+'Kandiko S.A'!D7+'Rebisco S.A.'!D7,"")</f>
        <v/>
      </c>
      <c r="E7" s="32" t="str">
        <f>IF(A7=BP7,+'Biyemas S.A.'!E7+'Kandiko S.A'!E7+'Rebisco S.A.'!E7,"")</f>
        <v/>
      </c>
      <c r="F7" s="32" t="str">
        <f>IF(A7=BP7,+'Biyemas S.A.'!F7+'Kandiko S.A'!F7+'Rebisco S.A.'!F7,"")</f>
        <v/>
      </c>
      <c r="G7" s="32" t="str">
        <f>IF(A7=BP7,+'Biyemas S.A.'!G7+'Kandiko S.A'!G7+'Rebisco S.A.'!G7,"")</f>
        <v/>
      </c>
      <c r="H7" s="33" t="str">
        <f t="shared" ref="H7:H37" si="0">IF(BP7=A7,IF(E7&gt;0,+G7/E7,0),"")</f>
        <v/>
      </c>
      <c r="I7" s="33" t="str">
        <f>IF(A7="","",IF(F7&gt;0,+G7/F7,0))</f>
        <v/>
      </c>
      <c r="J7" s="34" t="str">
        <f>IF(A7="","",IF(G7&gt;0,+G7/C7,0))</f>
        <v/>
      </c>
      <c r="K7" s="31" t="str">
        <f>IF(A7="","",IF(G7&gt;0,+G7/D7,0))</f>
        <v/>
      </c>
      <c r="L7" s="111" t="str">
        <f>IF(A7=BP7,+'Biyemas S.A.'!L7+'Kandiko S.A'!L7+'Rebisco S.A.'!L7,"")</f>
        <v/>
      </c>
      <c r="M7" s="32" t="str">
        <f>IF(A7=BP7,+'Biyemas S.A.'!M7+'Kandiko S.A'!M7+'Rebisco S.A.'!M7,"")</f>
        <v/>
      </c>
      <c r="N7" s="107" t="str">
        <f>IF(A7=BP7,+'Biyemas S.A.'!N7+'Kandiko S.A'!N7+'Rebisco S.A.'!N7,"")</f>
        <v/>
      </c>
      <c r="O7" s="107" t="str">
        <f>IF(A7=BP7,+'Biyemas S.A.'!O7+'Kandiko S.A'!O7+'Rebisco S.A.'!O7,"")</f>
        <v/>
      </c>
      <c r="P7" s="108" t="str">
        <f>IF(A7="","",IF(M7&gt;0,+O7/M7,0))</f>
        <v/>
      </c>
      <c r="Q7" s="108" t="str">
        <f>IF(A7="","",IF(N7&gt;0,+O7/N7,0))</f>
        <v/>
      </c>
      <c r="R7" s="109" t="str">
        <f t="shared" ref="R7:R9" si="1">IF(A7="","",IF(C7&gt;0,+O7/C7,0))</f>
        <v/>
      </c>
      <c r="S7" s="106" t="str">
        <f t="shared" ref="S7:S9" si="2">IF(A7="","",IF(C7&gt;0,+O7/L7,0))</f>
        <v/>
      </c>
      <c r="T7" s="107" t="str">
        <f>IF(A7="","",IF(G7&gt;0,(G7+O7)/(D7+L7),0))</f>
        <v/>
      </c>
      <c r="U7" s="110" t="str">
        <f>IF(A7="","",IF(D7&gt;0,+L7+D7,0))</f>
        <v/>
      </c>
      <c r="V7" s="32" t="str">
        <f>+'Biyemas S.A.'!V7</f>
        <v/>
      </c>
      <c r="W7" s="32" t="str">
        <f>+'Biyemas S.A.'!W7</f>
        <v/>
      </c>
      <c r="X7" s="32" t="str">
        <f>+'Biyemas S.A.'!X7</f>
        <v/>
      </c>
      <c r="Y7" s="32" t="str">
        <f>+'Biyemas S.A.'!Y7</f>
        <v/>
      </c>
      <c r="Z7" s="33" t="str">
        <f>IF(A7="","",IF(W7&gt;0,+Y7/W7,0))</f>
        <v/>
      </c>
      <c r="AA7" s="108" t="str">
        <f>IF(A7="","",IF(X7&gt;0,+Y7/X7,0))</f>
        <v/>
      </c>
      <c r="AB7" s="109" t="str">
        <f>IF(A7="","",IF(Y7&gt;0,+Y7/K7,0))</f>
        <v/>
      </c>
      <c r="AC7" s="107" t="str">
        <f>IF(A7="","",IF(Y7&gt;0,+Y7/V7,0))</f>
        <v/>
      </c>
      <c r="AD7" s="37" t="str">
        <f t="shared" ref="AD7:AD37" si="3">IF(A7=BP7,+G7+O7+Y7,"")</f>
        <v/>
      </c>
      <c r="AE7" s="107" t="str">
        <f>IF(A7=BP7,+'Biyemas S.A.'!AE7+'Kandiko S.A'!AE7+'Rebisco S.A.'!AE7,"")</f>
        <v/>
      </c>
      <c r="AF7" s="106" t="str">
        <f t="shared" ref="AF7:AF37" si="4">IF(A7="","",+AD7-AE7)</f>
        <v/>
      </c>
      <c r="AG7" s="32" t="str">
        <f>IF(A7=BP7,+'Biyemas S.A.'!AG7+'Kandiko S.A'!AG7+'Rebisco S.A.'!AG7,"")</f>
        <v/>
      </c>
      <c r="AH7" s="32" t="str">
        <f>IF(A7=BP7,+'Biyemas S.A.'!AH7+'Kandiko S.A'!AH7+'Rebisco S.A.'!AH7,"")</f>
        <v/>
      </c>
      <c r="AI7" s="32" t="str">
        <f>IF(A7=BP7,+'Biyemas S.A.'!AI7+'Kandiko S.A'!AI7+'Rebisco S.A.'!AI7,"")</f>
        <v/>
      </c>
      <c r="AJ7" s="109" t="str">
        <f>IF(A7="","",IF(AI7&gt;0,+AI7/C7,0))</f>
        <v/>
      </c>
      <c r="AK7" s="110" t="str">
        <f>IF(A7="","",+G7+O7+AI7+Y7)</f>
        <v/>
      </c>
      <c r="AL7" s="111" t="str">
        <f>IF(A7=BP7,+'Biyemas S.A.'!AL7+'Kandiko S.A'!AL7+'Rebisco S.A.'!AL7,"")</f>
        <v/>
      </c>
      <c r="AM7" s="244" t="str">
        <f t="shared" ref="AM7:AM37" si="5">IF(A7="","",IF(AL7&gt;0,+AL7/C7,0))</f>
        <v/>
      </c>
      <c r="AN7" s="261" t="str">
        <f>IF(A7=BP7,+'Biyemas S.A.'!AN7+'Kandiko S.A'!AN7+'Rebisco S.A.'!AN7,"")</f>
        <v/>
      </c>
      <c r="AO7" s="107" t="str">
        <f>IF(A7=BP7,+'Biyemas S.A.'!AO7+'Kandiko S.A'!AO7+'Rebisco S.A.'!AO7,"")</f>
        <v/>
      </c>
      <c r="AP7" s="112" t="str">
        <f>IF(A7="","",IF(AN7&gt;0,+AO7/AN7,0))</f>
        <v/>
      </c>
      <c r="AQ7" s="244" t="str">
        <f>IF(A7=BP7,+'Biyemas S.A.'!AQ7+'Kandiko S.A'!AQ7+'Rebisco S.A.'!AQ7,"")</f>
        <v/>
      </c>
      <c r="AR7" s="244" t="str">
        <f>IF(A7=BP7,+'Biyemas S.A.'!AR7+'Kandiko S.A'!AR7+'Rebisco S.A.'!AR7,"")</f>
        <v/>
      </c>
      <c r="AS7" s="244" t="str">
        <f>IF(A7=BP7,+'Biyemas S.A.'!AS7+'Kandiko S.A'!AS7+'Rebisco S.A.'!AS7,"")</f>
        <v/>
      </c>
      <c r="AT7" s="244" t="str">
        <f>IF(A7=BP7,+'Biyemas S.A.'!AT7+'Kandiko S.A'!AT7+'Rebisco S.A.'!AT7,"")</f>
        <v/>
      </c>
      <c r="AU7" s="244">
        <f>IFERROR('Biyemas S.A.'!AU7+'Kandiko S.A'!AU7+'Rebisco S.A.'!AU7,0)</f>
        <v>0</v>
      </c>
      <c r="AV7" s="111" t="str">
        <f t="shared" ref="AV7:AV37" si="6">IF(A7="","",+AD7+AI7+AL7+AO7)</f>
        <v/>
      </c>
      <c r="AW7" s="209" t="str">
        <f t="shared" ref="AW7:AW37" si="7">IF(A7="","",IF(AV7&gt;0,+AV7/C7,0))</f>
        <v/>
      </c>
      <c r="AY7" s="176" t="str">
        <f>IF(A7=BP7,+'Biyemas S.A.'!AY7+'Kandiko S.A'!AY7+'Rebisco S.A.'!AY7,"")</f>
        <v/>
      </c>
      <c r="AZ7" s="252" t="str">
        <f>IF(A7="","",IF($AZ$6&gt;0,+AY7-$AZ$6,))</f>
        <v/>
      </c>
      <c r="BA7" s="254" t="str">
        <f>IF(A7=BP7,+'Biyemas S.A.'!BA7+'Kandiko S.A'!BA7+'Rebisco S.A.'!BA7,"")</f>
        <v/>
      </c>
      <c r="BB7" s="181" t="str">
        <f>IF(A7="","",IF(BA7&gt;0,(C7-BA7)/BA7,100%))</f>
        <v/>
      </c>
      <c r="BC7" s="254" t="str">
        <f>IF(A7=BP7,+'Biyemas S.A.'!BC7+'Kandiko S.A'!BC7+'Rebisco S.A.'!BC7,"")</f>
        <v/>
      </c>
      <c r="BD7" s="181" t="str">
        <f>IF(A7="","",IF(AN7=BC7,0,IF(BC7&gt;0,(AN7-BC7)/BC7,1)))</f>
        <v/>
      </c>
      <c r="BE7" s="29" t="str">
        <f>IF(A7="","",VLOOKUP(B7,'Datos Consolidados'!B9:BF46,53,0))</f>
        <v/>
      </c>
      <c r="BF7" s="28" t="str">
        <f>IF(A7="","",VLOOKUP(B7,'Datos Consolidados'!B9:BF46,54,0))</f>
        <v/>
      </c>
      <c r="BG7" s="28" t="str">
        <f>IF(A7="","",VLOOKUP(B7,'Datos Consolidados'!B9:BF46,55,0))</f>
        <v/>
      </c>
      <c r="BH7" s="28" t="str">
        <f>IF(A7="","",VLOOKUP(B7,'Datos Consolidados'!B9:BF46,51,0))</f>
        <v/>
      </c>
      <c r="BI7" s="28" t="str">
        <f>IF(A7="","",VLOOKUP(B7,'Datos Consolidados'!B9:BF46,52,0))</f>
        <v/>
      </c>
      <c r="BJ7" s="211" t="str">
        <f>IF(A7="","",+AV7/$BJ$6-1)</f>
        <v/>
      </c>
      <c r="BK7" s="27" t="str">
        <f>IF(A7="","",+AD7/$BK$6-1)</f>
        <v/>
      </c>
      <c r="BL7" s="29" t="str">
        <f>IF(A7="","",+AI7/$BL$6-1)</f>
        <v/>
      </c>
      <c r="BM7" s="28" t="str">
        <f t="shared" ref="BM7:BM37" si="8">IF(A7="","",AL7/$BM$6-1)</f>
        <v/>
      </c>
      <c r="BN7" s="181" t="str">
        <f>+'Biyemas S.A.'!BN7</f>
        <v/>
      </c>
      <c r="BO7" s="59"/>
      <c r="BP7" s="39" t="str">
        <f>+'Biyemas S.A.'!BP7</f>
        <v xml:space="preserve">Sab/Sat    </v>
      </c>
    </row>
    <row r="8" spans="1:68" ht="11.25" customHeight="1" x14ac:dyDescent="0.2">
      <c r="A8" s="188" t="str">
        <f>IF(BP8='Datos Biyemas'!A10,'Datos Biyemas'!A10,"")</f>
        <v/>
      </c>
      <c r="B8" s="185" t="str">
        <f>IF(BP8=A8,'Datos Biyemas'!B10,"")</f>
        <v/>
      </c>
      <c r="C8" s="186" t="str">
        <f>IF(A8=BP8,+'Biyemas S.A.'!C8+'Kandiko S.A'!C8+'Rebisco S.A.'!C8,"")</f>
        <v/>
      </c>
      <c r="D8" s="32" t="str">
        <f>IF(A8=BP8,+'Biyemas S.A.'!D8+'Kandiko S.A'!D8+'Rebisco S.A.'!D8,"")</f>
        <v/>
      </c>
      <c r="E8" s="32" t="str">
        <f>IF(A8=BP8,+'Biyemas S.A.'!E8+'Kandiko S.A'!E8+'Rebisco S.A.'!E8,"")</f>
        <v/>
      </c>
      <c r="F8" s="32" t="str">
        <f>IF(A8=BP8,+'Biyemas S.A.'!F8+'Kandiko S.A'!F8+'Rebisco S.A.'!F8,"")</f>
        <v/>
      </c>
      <c r="G8" s="32" t="str">
        <f>IF(A8=BP8,+'Biyemas S.A.'!G8+'Kandiko S.A'!G8+'Rebisco S.A.'!G8,"")</f>
        <v/>
      </c>
      <c r="H8" s="33" t="str">
        <f t="shared" si="0"/>
        <v/>
      </c>
      <c r="I8" s="33" t="str">
        <f t="shared" ref="I8:I37" si="9">IF(A8="","",IF(F8&gt;0,+G8/F8,0))</f>
        <v/>
      </c>
      <c r="J8" s="34" t="str">
        <f t="shared" ref="J8:J37" si="10">IF(A8="","",IF(G8&gt;0,+G8/C8,0))</f>
        <v/>
      </c>
      <c r="K8" s="31" t="str">
        <f t="shared" ref="K8:K37" si="11">IF(A8="","",IF(G8&gt;0,+G8/D8,0))</f>
        <v/>
      </c>
      <c r="L8" s="37" t="str">
        <f>IF(A8=BP8,+'Biyemas S.A.'!L8+'Kandiko S.A'!L8+'Rebisco S.A.'!L8,"")</f>
        <v/>
      </c>
      <c r="M8" s="32" t="str">
        <f>IF(A8=BP8,+'Biyemas S.A.'!M8+'Kandiko S.A'!M8+'Rebisco S.A.'!M8,"")</f>
        <v/>
      </c>
      <c r="N8" s="32" t="str">
        <f>IF(A8=BP8,+'Biyemas S.A.'!N8+'Kandiko S.A'!N8+'Rebisco S.A.'!N8,"")</f>
        <v/>
      </c>
      <c r="O8" s="32" t="str">
        <f>IF(A8=BP8,+'Biyemas S.A.'!O8+'Kandiko S.A'!O8+'Rebisco S.A.'!O8,"")</f>
        <v/>
      </c>
      <c r="P8" s="33" t="str">
        <f t="shared" ref="P8:P9" si="12">IF(A8="","",IF(M8&gt;0,+O8/M8,0))</f>
        <v/>
      </c>
      <c r="Q8" s="33" t="str">
        <f t="shared" ref="Q8:Q9" si="13">IF(A8="","",IF(N8&gt;0,+O8/N8,0))</f>
        <v/>
      </c>
      <c r="R8" s="34" t="str">
        <f t="shared" si="1"/>
        <v/>
      </c>
      <c r="S8" s="31" t="str">
        <f t="shared" si="2"/>
        <v/>
      </c>
      <c r="T8" s="32" t="str">
        <f t="shared" ref="T8" si="14">IF(A8="","",IF(G8&gt;0,(G8+O8)/(D8+L8),0))</f>
        <v/>
      </c>
      <c r="U8" s="35" t="str">
        <f t="shared" ref="U8" si="15">IF(A8="","",IF(D8&gt;0,+L8+D8,0))</f>
        <v/>
      </c>
      <c r="V8" s="32" t="str">
        <f>IF(A8="","",VLOOKUP(B8,'Datos Biyemas'!B10:BB47,21,0))</f>
        <v/>
      </c>
      <c r="W8" s="32" t="str">
        <f>IF(A8="","",VLOOKUP(B8,'Datos Biyemas'!B10:BB47,22,0))</f>
        <v/>
      </c>
      <c r="X8" s="32" t="str">
        <f>IF(A8="","",VLOOKUP(B8,'Datos Biyemas'!B10:BB47,23,0))</f>
        <v/>
      </c>
      <c r="Y8" s="32" t="str">
        <f>IF(A8="","",VLOOKUP(B8,'Datos Biyemas'!B10:BB47,24,0))</f>
        <v/>
      </c>
      <c r="Z8" s="33" t="str">
        <f t="shared" ref="Z8" si="16">IF(A8="","",IF(W8&gt;0,+Y8/W8,0))</f>
        <v/>
      </c>
      <c r="AA8" s="33" t="str">
        <f t="shared" ref="AA8" si="17">IF(A8="","",IF(X8&gt;0,+Y8/X8,0))</f>
        <v/>
      </c>
      <c r="AB8" s="34" t="str">
        <f t="shared" ref="AB8" si="18">IF(A8="","",IF(Y8&gt;0,+Y8/K8,0))</f>
        <v/>
      </c>
      <c r="AC8" s="32" t="str">
        <f t="shared" ref="AC8" si="19">IF(A8="","",IF(Y8&gt;0,+Y8/V8,0))</f>
        <v/>
      </c>
      <c r="AD8" s="37" t="str">
        <f t="shared" si="3"/>
        <v/>
      </c>
      <c r="AE8" s="32" t="str">
        <f>IF(A8=BP8,+'Biyemas S.A.'!AE8+'Kandiko S.A'!AE8+'Rebisco S.A.'!AE8,"")</f>
        <v/>
      </c>
      <c r="AF8" s="31" t="str">
        <f t="shared" si="4"/>
        <v/>
      </c>
      <c r="AG8" s="32" t="str">
        <f>IF(A8=BP8,+'Biyemas S.A.'!AG8+'Kandiko S.A'!AG8+'Rebisco S.A.'!AG8,"")</f>
        <v/>
      </c>
      <c r="AH8" s="32" t="str">
        <f>IF(A8=BP8,+'Biyemas S.A.'!AH8+'Kandiko S.A'!AH8+'Rebisco S.A.'!AH8,"")</f>
        <v/>
      </c>
      <c r="AI8" s="32" t="str">
        <f>IF(A8=BP8,+'Biyemas S.A.'!AI8+'Kandiko S.A'!AI8+'Rebisco S.A.'!AI8,"")</f>
        <v/>
      </c>
      <c r="AJ8" s="34" t="str">
        <f>IF(A8="","",IF(AI8&gt;0,+AI8/C8,0))</f>
        <v/>
      </c>
      <c r="AK8" s="35" t="str">
        <f t="shared" ref="AK8:AK37" si="20">IF(A8="","",+G8+O8+AI8+Y8)</f>
        <v/>
      </c>
      <c r="AL8" s="37" t="str">
        <f>IF(A8=BP8,+'Biyemas S.A.'!AL8+'Kandiko S.A'!AL8+'Rebisco S.A.'!AL8,"")</f>
        <v/>
      </c>
      <c r="AM8" s="58" t="str">
        <f t="shared" si="5"/>
        <v/>
      </c>
      <c r="AN8" s="262" t="str">
        <f>IF(A8=BP8,+'Biyemas S.A.'!AN8+'Kandiko S.A'!AN8+'Rebisco S.A.'!AN8,"")</f>
        <v/>
      </c>
      <c r="AO8" s="32" t="str">
        <f>IF(A8=BP8,+'Biyemas S.A.'!AO8+'Kandiko S.A'!AO8+'Rebisco S.A.'!AO8,"")</f>
        <v/>
      </c>
      <c r="AP8" s="36" t="str">
        <f t="shared" ref="AP8:AP37" si="21">IF(A8="","",IF(AN8&gt;0,+AO8/AN8,0))</f>
        <v/>
      </c>
      <c r="AQ8" s="58" t="str">
        <f>IF(A8=BP8,+'Biyemas S.A.'!AQ8+'Kandiko S.A'!AQ8+'Rebisco S.A.'!AQ8,"")</f>
        <v/>
      </c>
      <c r="AR8" s="58" t="str">
        <f>IF(A8=BP8,+'Biyemas S.A.'!AR8+'Kandiko S.A'!AR8+'Rebisco S.A.'!AR8,"")</f>
        <v/>
      </c>
      <c r="AS8" s="58" t="str">
        <f>IF(A8=BP8,+'Biyemas S.A.'!AS8+'Kandiko S.A'!AS8+'Rebisco S.A.'!AS8,"")</f>
        <v/>
      </c>
      <c r="AT8" s="58" t="str">
        <f>IF(A8=BP8,+'Biyemas S.A.'!AT8+'Kandiko S.A'!AT8+'Rebisco S.A.'!AT8,"")</f>
        <v/>
      </c>
      <c r="AU8" s="58">
        <f>IFERROR('Biyemas S.A.'!AU8+'Kandiko S.A'!AU8+'Rebisco S.A.'!AU8,0)</f>
        <v>0</v>
      </c>
      <c r="AV8" s="37" t="str">
        <f t="shared" si="6"/>
        <v/>
      </c>
      <c r="AW8" s="38" t="str">
        <f t="shared" si="7"/>
        <v/>
      </c>
      <c r="AY8" s="180" t="str">
        <f>IF(A8=BP8,+'Biyemas S.A.'!AY8+'Kandiko S.A'!AY8+'Rebisco S.A.'!AY8,"")</f>
        <v/>
      </c>
      <c r="AZ8" s="252" t="str">
        <f t="shared" ref="AZ8:AZ38" si="22">IF(A8="","",IF($AZ$6&gt;0,+AY8-$AZ$6,))</f>
        <v/>
      </c>
      <c r="BA8" s="255" t="str">
        <f>IF(A8=BP8,+'Biyemas S.A.'!BA8+'Kandiko S.A'!BA8+'Rebisco S.A.'!BA8,"")</f>
        <v/>
      </c>
      <c r="BB8" s="181" t="str">
        <f t="shared" ref="BB8:BB38" si="23">IF(A8="","",IF(BA8&gt;0,(C8-BA8)/BA8,100%))</f>
        <v/>
      </c>
      <c r="BC8" s="255" t="str">
        <f>IF(A8=BP8,+'Biyemas S.A.'!BC8+'Kandiko S.A'!BC8+'Rebisco S.A.'!BC8,"")</f>
        <v/>
      </c>
      <c r="BD8" s="181" t="str">
        <f t="shared" ref="BD8:BD37" si="24">IF(A8="","",IF(AN8=BC8,0,IF(BC8&gt;0,(AN8-BC8)/BC8,1)))</f>
        <v/>
      </c>
      <c r="BE8" s="29" t="str">
        <f>IF(A8="","",VLOOKUP(B8,'Datos Consolidados'!B10:BF47,53,0))</f>
        <v/>
      </c>
      <c r="BF8" s="28" t="str">
        <f>IF(A8="","",VLOOKUP(B8,'Datos Consolidados'!B10:BF47,54,0))</f>
        <v/>
      </c>
      <c r="BG8" s="28" t="str">
        <f>IF(A8="","",VLOOKUP(B8,'Datos Consolidados'!B10:BF47,55,0))</f>
        <v/>
      </c>
      <c r="BH8" s="28" t="str">
        <f>IF(A8="","",VLOOKUP(B8,'Datos Consolidados'!B10:BF47,51,0))</f>
        <v/>
      </c>
      <c r="BI8" s="28" t="str">
        <f>IF(A8="","",VLOOKUP(B8,'Datos Consolidados'!B10:BF47,52,0))</f>
        <v/>
      </c>
      <c r="BJ8" s="211" t="str">
        <f t="shared" ref="BJ8:BJ37" si="25">IF(A8="","",+AV8/$BJ$6-1)</f>
        <v/>
      </c>
      <c r="BK8" s="27" t="str">
        <f t="shared" ref="BK8:BK37" si="26">IF(A8="","",+AD8/$BK$6-1)</f>
        <v/>
      </c>
      <c r="BL8" s="29" t="str">
        <f t="shared" ref="BL8:BL37" si="27">IF(A8="","",+AI8/$BL$6-1)</f>
        <v/>
      </c>
      <c r="BM8" s="28" t="str">
        <f t="shared" si="8"/>
        <v/>
      </c>
      <c r="BN8" s="181" t="str">
        <f>+'Biyemas S.A.'!BN8</f>
        <v/>
      </c>
      <c r="BO8" s="59"/>
      <c r="BP8" s="39" t="str">
        <f>+'Biyemas S.A.'!BP8</f>
        <v xml:space="preserve">Dom/Sun    </v>
      </c>
    </row>
    <row r="9" spans="1:68" s="30" customFormat="1" ht="11.25" customHeight="1" x14ac:dyDescent="0.2">
      <c r="A9" s="188" t="str">
        <f>IF(BP9='Datos Biyemas'!A11,'Datos Biyemas'!A11,"")</f>
        <v/>
      </c>
      <c r="B9" s="185" t="str">
        <f>IF(BP9=A9,'Datos Biyemas'!B11,"")</f>
        <v/>
      </c>
      <c r="C9" s="186" t="str">
        <f>IF(A9=BP9,+'Biyemas S.A.'!C9+'Kandiko S.A'!C9+'Rebisco S.A.'!C9,"")</f>
        <v/>
      </c>
      <c r="D9" s="32" t="str">
        <f>IF(A9=BP9,+'Biyemas S.A.'!D9+'Kandiko S.A'!D9+'Rebisco S.A.'!D9,"")</f>
        <v/>
      </c>
      <c r="E9" s="32" t="str">
        <f>IF(A9=BP9,+'Biyemas S.A.'!E9+'Kandiko S.A'!E9+'Rebisco S.A.'!E9,"")</f>
        <v/>
      </c>
      <c r="F9" s="32" t="str">
        <f>IF(A9=BP9,+'Biyemas S.A.'!F9+'Kandiko S.A'!F9+'Rebisco S.A.'!F9,"")</f>
        <v/>
      </c>
      <c r="G9" s="32" t="str">
        <f>IF(A9=BP9,+'Biyemas S.A.'!G9+'Kandiko S.A'!G9+'Rebisco S.A.'!G9,"")</f>
        <v/>
      </c>
      <c r="H9" s="33" t="str">
        <f t="shared" si="0"/>
        <v/>
      </c>
      <c r="I9" s="33" t="str">
        <f t="shared" si="9"/>
        <v/>
      </c>
      <c r="J9" s="34" t="str">
        <f t="shared" si="10"/>
        <v/>
      </c>
      <c r="K9" s="31" t="str">
        <f t="shared" si="11"/>
        <v/>
      </c>
      <c r="L9" s="37" t="str">
        <f>IF(A9=BP9,+'Biyemas S.A.'!L9+'Kandiko S.A'!L9+'Rebisco S.A.'!L9,"")</f>
        <v/>
      </c>
      <c r="M9" s="32" t="str">
        <f>IF(A9=BP9,+'Biyemas S.A.'!M9+'Kandiko S.A'!M9+'Rebisco S.A.'!M9,"")</f>
        <v/>
      </c>
      <c r="N9" s="32" t="str">
        <f>IF(A9=BP9,+'Biyemas S.A.'!N9+'Kandiko S.A'!N9+'Rebisco S.A.'!N9,"")</f>
        <v/>
      </c>
      <c r="O9" s="32" t="str">
        <f>IF(A9=BP9,+'Biyemas S.A.'!O9+'Kandiko S.A'!O9+'Rebisco S.A.'!O9,"")</f>
        <v/>
      </c>
      <c r="P9" s="33" t="str">
        <f t="shared" si="12"/>
        <v/>
      </c>
      <c r="Q9" s="33" t="str">
        <f t="shared" si="13"/>
        <v/>
      </c>
      <c r="R9" s="34" t="str">
        <f t="shared" si="1"/>
        <v/>
      </c>
      <c r="S9" s="31" t="str">
        <f t="shared" si="2"/>
        <v/>
      </c>
      <c r="T9" s="32" t="str">
        <f t="shared" ref="T9:T37" si="28">IF(A9="","",IF(G9&gt;0,(G9+O9)/(D9+L9),0))</f>
        <v/>
      </c>
      <c r="U9" s="35" t="str">
        <f t="shared" ref="U9:U37" si="29">IF(A9="","",IF(D9&gt;0,+L9+D9,0))</f>
        <v/>
      </c>
      <c r="V9" s="32" t="str">
        <f>IF(A9="","",VLOOKUP(B9,'Datos Biyemas'!B11:BB48,21,0))</f>
        <v/>
      </c>
      <c r="W9" s="32" t="str">
        <f>IF(A9="","",VLOOKUP(B9,'Datos Biyemas'!B11:BB48,22,0))</f>
        <v/>
      </c>
      <c r="X9" s="32" t="str">
        <f>IF(A9="","",VLOOKUP(B9,'Datos Biyemas'!B11:BB48,23,0))</f>
        <v/>
      </c>
      <c r="Y9" s="32" t="str">
        <f>IF(A9="","",VLOOKUP(B9,'Datos Biyemas'!B11:BB48,24,0))</f>
        <v/>
      </c>
      <c r="Z9" s="33" t="str">
        <f t="shared" ref="Z9:Z37" si="30">IF(A9="","",IF(W9&gt;0,+Y9/W9,0))</f>
        <v/>
      </c>
      <c r="AA9" s="33" t="str">
        <f t="shared" ref="AA9:AA37" si="31">IF(A9="","",IF(X9&gt;0,+Y9/X9,0))</f>
        <v/>
      </c>
      <c r="AB9" s="34" t="str">
        <f t="shared" ref="AB9:AB37" si="32">IF(A9="","",IF(Y9&gt;0,+Y9/K9,0))</f>
        <v/>
      </c>
      <c r="AC9" s="32" t="str">
        <f t="shared" ref="AC9:AC37" si="33">IF(A9="","",IF(Y9&gt;0,+Y9/V9,0))</f>
        <v/>
      </c>
      <c r="AD9" s="37" t="str">
        <f t="shared" si="3"/>
        <v/>
      </c>
      <c r="AE9" s="32" t="str">
        <f>IF(A9=BP9,+'Biyemas S.A.'!AE9+'Kandiko S.A'!AE9+'Rebisco S.A.'!AE9,"")</f>
        <v/>
      </c>
      <c r="AF9" s="31" t="str">
        <f t="shared" si="4"/>
        <v/>
      </c>
      <c r="AG9" s="32" t="str">
        <f>IF(A9=BP9,+'Biyemas S.A.'!AG9+'Kandiko S.A'!AG9+'Rebisco S.A.'!AG9,"")</f>
        <v/>
      </c>
      <c r="AH9" s="32" t="str">
        <f>IF(A9=BP9,+'Biyemas S.A.'!AH9+'Kandiko S.A'!AH9+'Rebisco S.A.'!AH9,"")</f>
        <v/>
      </c>
      <c r="AI9" s="32" t="str">
        <f>IF(A9=BP9,+'Biyemas S.A.'!AI9+'Kandiko S.A'!AI9+'Rebisco S.A.'!AI9,"")</f>
        <v/>
      </c>
      <c r="AJ9" s="34" t="str">
        <f t="shared" ref="AJ9:AJ37" si="34">IF(A9="","",IF(AI9&gt;0,+AI9/C9,0))</f>
        <v/>
      </c>
      <c r="AK9" s="35" t="str">
        <f t="shared" si="20"/>
        <v/>
      </c>
      <c r="AL9" s="37" t="str">
        <f>IF(A9=BP9,+'Biyemas S.A.'!AL9+'Kandiko S.A'!AL9+'Rebisco S.A.'!AL9,"")</f>
        <v/>
      </c>
      <c r="AM9" s="58" t="str">
        <f t="shared" si="5"/>
        <v/>
      </c>
      <c r="AN9" s="262" t="str">
        <f>IF(A9=BP9,+'Biyemas S.A.'!AN9+'Kandiko S.A'!AN9+'Rebisco S.A.'!AN9,"")</f>
        <v/>
      </c>
      <c r="AO9" s="32" t="str">
        <f>IF(A9=BP9,+'Biyemas S.A.'!AO9+'Kandiko S.A'!AO9+'Rebisco S.A.'!AO9,"")</f>
        <v/>
      </c>
      <c r="AP9" s="36" t="str">
        <f t="shared" si="21"/>
        <v/>
      </c>
      <c r="AQ9" s="58" t="str">
        <f>IF(A9=BP9,+'Biyemas S.A.'!AQ9+'Kandiko S.A'!AQ9+'Rebisco S.A.'!AQ9,"")</f>
        <v/>
      </c>
      <c r="AR9" s="58" t="str">
        <f>IF(A9=BP9,+'Biyemas S.A.'!AR9+'Kandiko S.A'!AR9+'Rebisco S.A.'!AR9,"")</f>
        <v/>
      </c>
      <c r="AS9" s="58" t="str">
        <f>IF(A9=BP9,+'Biyemas S.A.'!AS9+'Kandiko S.A'!AS9+'Rebisco S.A.'!AS9,"")</f>
        <v/>
      </c>
      <c r="AT9" s="58" t="str">
        <f>IF(A9=BP9,+'Biyemas S.A.'!AT9+'Kandiko S.A'!AT9+'Rebisco S.A.'!AT9,"")</f>
        <v/>
      </c>
      <c r="AU9" s="58">
        <f>IFERROR('Biyemas S.A.'!AU9+'Kandiko S.A'!AU9+'Rebisco S.A.'!AU9,0)</f>
        <v>0</v>
      </c>
      <c r="AV9" s="37" t="str">
        <f t="shared" si="6"/>
        <v/>
      </c>
      <c r="AW9" s="38" t="str">
        <f t="shared" si="7"/>
        <v/>
      </c>
      <c r="AY9" s="180" t="str">
        <f>IF(A9=BP9,+'Biyemas S.A.'!AY9+'Kandiko S.A'!AY9+'Rebisco S.A.'!AY9,"")</f>
        <v/>
      </c>
      <c r="AZ9" s="252" t="str">
        <f t="shared" si="22"/>
        <v/>
      </c>
      <c r="BA9" s="255" t="str">
        <f>IF(A9=BP9,+'Biyemas S.A.'!BA9+'Kandiko S.A'!BA9+'Rebisco S.A.'!BA9,"")</f>
        <v/>
      </c>
      <c r="BB9" s="181" t="str">
        <f t="shared" si="23"/>
        <v/>
      </c>
      <c r="BC9" s="255" t="str">
        <f>IF(A9=BP9,+'Biyemas S.A.'!BC9+'Kandiko S.A'!BC9+'Rebisco S.A.'!BC9,"")</f>
        <v/>
      </c>
      <c r="BD9" s="181" t="str">
        <f t="shared" si="24"/>
        <v/>
      </c>
      <c r="BE9" s="29" t="str">
        <f>IF(A9="","",VLOOKUP(B9,'Datos Consolidados'!B11:BF48,53,0))</f>
        <v/>
      </c>
      <c r="BF9" s="28" t="str">
        <f>IF(A9="","",VLOOKUP(B9,'Datos Consolidados'!B11:BF48,54,0))</f>
        <v/>
      </c>
      <c r="BG9" s="28" t="str">
        <f>IF(A9="","",VLOOKUP(B9,'Datos Consolidados'!B11:BF48,55,0))</f>
        <v/>
      </c>
      <c r="BH9" s="28" t="str">
        <f>IF(A9="","",VLOOKUP(B9,'Datos Consolidados'!B11:BF48,51,0))</f>
        <v/>
      </c>
      <c r="BI9" s="28" t="str">
        <f>IF(A9="","",VLOOKUP(B9,'Datos Consolidados'!B11:BF48,52,0))</f>
        <v/>
      </c>
      <c r="BJ9" s="211" t="str">
        <f t="shared" si="25"/>
        <v/>
      </c>
      <c r="BK9" s="27" t="str">
        <f t="shared" si="26"/>
        <v/>
      </c>
      <c r="BL9" s="29" t="str">
        <f t="shared" si="27"/>
        <v/>
      </c>
      <c r="BM9" s="28" t="str">
        <f t="shared" si="8"/>
        <v/>
      </c>
      <c r="BN9" s="181" t="str">
        <f>+'Biyemas S.A.'!BN9</f>
        <v/>
      </c>
      <c r="BO9" s="59"/>
      <c r="BP9" s="39" t="str">
        <f>+'Biyemas S.A.'!BP9</f>
        <v xml:space="preserve">Lun/Mon    </v>
      </c>
    </row>
    <row r="10" spans="1:68" s="30" customFormat="1" x14ac:dyDescent="0.2">
      <c r="A10" s="188" t="str">
        <f>IF(BP10='Datos Biyemas'!A12,'Datos Biyemas'!A12,"")</f>
        <v/>
      </c>
      <c r="B10" s="185" t="str">
        <f>IF(BP10=A10,'Datos Biyemas'!B12,"")</f>
        <v/>
      </c>
      <c r="C10" s="186" t="str">
        <f>IF(A10=BP10,+'Biyemas S.A.'!C10+'Kandiko S.A'!C10+'Rebisco S.A.'!C10,"")</f>
        <v/>
      </c>
      <c r="D10" s="32" t="str">
        <f>IF(A10=BP10,+'Biyemas S.A.'!D10+'Kandiko S.A'!D10+'Rebisco S.A.'!D10,"")</f>
        <v/>
      </c>
      <c r="E10" s="32" t="str">
        <f>IF(A10=BP10,+'Biyemas S.A.'!E10+'Kandiko S.A'!E10+'Rebisco S.A.'!E10,"")</f>
        <v/>
      </c>
      <c r="F10" s="32" t="str">
        <f>IF(A10=BP10,+'Biyemas S.A.'!F10+'Kandiko S.A'!F10+'Rebisco S.A.'!F10,"")</f>
        <v/>
      </c>
      <c r="G10" s="32" t="str">
        <f>IF(A10=BP10,+'Biyemas S.A.'!G10+'Kandiko S.A'!G10+'Rebisco S.A.'!G10,"")</f>
        <v/>
      </c>
      <c r="H10" s="33" t="str">
        <f t="shared" si="0"/>
        <v/>
      </c>
      <c r="I10" s="33" t="str">
        <f t="shared" si="9"/>
        <v/>
      </c>
      <c r="J10" s="34" t="str">
        <f t="shared" si="10"/>
        <v/>
      </c>
      <c r="K10" s="31" t="str">
        <f t="shared" si="11"/>
        <v/>
      </c>
      <c r="L10" s="37" t="str">
        <f>IF(A10=BP10,+'Biyemas S.A.'!L10+'Kandiko S.A'!L10+'Rebisco S.A.'!L10,"")</f>
        <v/>
      </c>
      <c r="M10" s="32" t="str">
        <f>IF(A10=BP10,+'Biyemas S.A.'!M10+'Kandiko S.A'!M10+'Rebisco S.A.'!M10,"")</f>
        <v/>
      </c>
      <c r="N10" s="32" t="str">
        <f>IF(A10=BP10,+'Biyemas S.A.'!N10+'Kandiko S.A'!N10+'Rebisco S.A.'!N10,"")</f>
        <v/>
      </c>
      <c r="O10" s="32" t="str">
        <f>IF(A10=BP10,+'Biyemas S.A.'!O10+'Kandiko S.A'!O10+'Rebisco S.A.'!O10,"")</f>
        <v/>
      </c>
      <c r="P10" s="33" t="str">
        <f t="shared" ref="P10:P37" si="35">IF(A10="","",IF(M10&gt;0,+O10/M10,0))</f>
        <v/>
      </c>
      <c r="Q10" s="33" t="str">
        <f t="shared" ref="Q10:Q37" si="36">IF(A10="","",IF(N10&gt;0,+O10/N10,0))</f>
        <v/>
      </c>
      <c r="R10" s="34" t="str">
        <f t="shared" ref="R10:R37" si="37">IF(A10="","",IF(C10&gt;0,+O10/C10,0))</f>
        <v/>
      </c>
      <c r="S10" s="31" t="str">
        <f t="shared" ref="S10:S37" si="38">IF(A10="","",IF(C10&gt;0,+O10/L10,0))</f>
        <v/>
      </c>
      <c r="T10" s="32" t="str">
        <f t="shared" si="28"/>
        <v/>
      </c>
      <c r="U10" s="35" t="str">
        <f t="shared" si="29"/>
        <v/>
      </c>
      <c r="V10" s="32" t="str">
        <f>IF(A10="","",VLOOKUP(B10,'Datos Biyemas'!B12:BB49,21,0))</f>
        <v/>
      </c>
      <c r="W10" s="32" t="str">
        <f>IF(A10="","",VLOOKUP(B10,'Datos Biyemas'!B12:BB49,22,0))</f>
        <v/>
      </c>
      <c r="X10" s="32" t="str">
        <f>IF(A10="","",VLOOKUP(B10,'Datos Biyemas'!B12:BB49,23,0))</f>
        <v/>
      </c>
      <c r="Y10" s="32" t="str">
        <f>IF(A10="","",VLOOKUP(B10,'Datos Biyemas'!B12:BB49,24,0))</f>
        <v/>
      </c>
      <c r="Z10" s="33" t="str">
        <f t="shared" si="30"/>
        <v/>
      </c>
      <c r="AA10" s="33" t="str">
        <f t="shared" si="31"/>
        <v/>
      </c>
      <c r="AB10" s="34" t="str">
        <f t="shared" si="32"/>
        <v/>
      </c>
      <c r="AC10" s="32" t="str">
        <f t="shared" si="33"/>
        <v/>
      </c>
      <c r="AD10" s="37" t="str">
        <f t="shared" si="3"/>
        <v/>
      </c>
      <c r="AE10" s="32" t="str">
        <f>IF(A10=BP10,+'Biyemas S.A.'!AE10+'Kandiko S.A'!AE10+'Rebisco S.A.'!AE10,"")</f>
        <v/>
      </c>
      <c r="AF10" s="31" t="str">
        <f t="shared" si="4"/>
        <v/>
      </c>
      <c r="AG10" s="32" t="str">
        <f>IF(A10=BP10,+'Biyemas S.A.'!AG10+'Kandiko S.A'!AG10+'Rebisco S.A.'!AG10,"")</f>
        <v/>
      </c>
      <c r="AH10" s="32" t="str">
        <f>IF(A10=BP10,+'Biyemas S.A.'!AH10+'Kandiko S.A'!AH10+'Rebisco S.A.'!AH10,"")</f>
        <v/>
      </c>
      <c r="AI10" s="32" t="str">
        <f>IF(A10=BP10,+'Biyemas S.A.'!AI10+'Kandiko S.A'!AI10+'Rebisco S.A.'!AI10,"")</f>
        <v/>
      </c>
      <c r="AJ10" s="34" t="str">
        <f t="shared" si="34"/>
        <v/>
      </c>
      <c r="AK10" s="35" t="str">
        <f t="shared" si="20"/>
        <v/>
      </c>
      <c r="AL10" s="37" t="str">
        <f>IF(A10=BP10,+'Biyemas S.A.'!AL10+'Kandiko S.A'!AL10+'Rebisco S.A.'!AL10,"")</f>
        <v/>
      </c>
      <c r="AM10" s="58" t="str">
        <f t="shared" si="5"/>
        <v/>
      </c>
      <c r="AN10" s="262" t="str">
        <f>IF(A10=BP10,+'Biyemas S.A.'!AN10+'Kandiko S.A'!AN10+'Rebisco S.A.'!AN10,"")</f>
        <v/>
      </c>
      <c r="AO10" s="32" t="str">
        <f>IF(A10=BP10,+'Biyemas S.A.'!AO10+'Kandiko S.A'!AO10+'Rebisco S.A.'!AO10,"")</f>
        <v/>
      </c>
      <c r="AP10" s="36" t="str">
        <f t="shared" si="21"/>
        <v/>
      </c>
      <c r="AQ10" s="58" t="str">
        <f>IF(A10=BP10,+'Biyemas S.A.'!AQ10+'Kandiko S.A'!AQ10+'Rebisco S.A.'!AQ10,"")</f>
        <v/>
      </c>
      <c r="AR10" s="58" t="str">
        <f>IF(A10=BP10,+'Biyemas S.A.'!AR10+'Kandiko S.A'!AR10+'Rebisco S.A.'!AR10,"")</f>
        <v/>
      </c>
      <c r="AS10" s="58" t="str">
        <f>IF(A10=BP10,+'Biyemas S.A.'!AS10+'Kandiko S.A'!AS10+'Rebisco S.A.'!AS10,"")</f>
        <v/>
      </c>
      <c r="AT10" s="58" t="str">
        <f>IF(A10=BP10,+'Biyemas S.A.'!AT10+'Kandiko S.A'!AT10+'Rebisco S.A.'!AT10,"")</f>
        <v/>
      </c>
      <c r="AU10" s="58">
        <f>IFERROR('Biyemas S.A.'!AU10+'Kandiko S.A'!AU10+'Rebisco S.A.'!AU10,0)</f>
        <v>0</v>
      </c>
      <c r="AV10" s="37" t="str">
        <f t="shared" si="6"/>
        <v/>
      </c>
      <c r="AW10" s="38" t="str">
        <f t="shared" si="7"/>
        <v/>
      </c>
      <c r="AY10" s="180" t="str">
        <f>IF(A10=BP10,+'Biyemas S.A.'!AY10+'Kandiko S.A'!AY10+'Rebisco S.A.'!AY10,"")</f>
        <v/>
      </c>
      <c r="AZ10" s="252" t="str">
        <f t="shared" si="22"/>
        <v/>
      </c>
      <c r="BA10" s="255" t="str">
        <f>IF(A10=BP10,+'Biyemas S.A.'!BA10+'Kandiko S.A'!BA10+'Rebisco S.A.'!BA10,"")</f>
        <v/>
      </c>
      <c r="BB10" s="181" t="str">
        <f t="shared" si="23"/>
        <v/>
      </c>
      <c r="BC10" s="255" t="str">
        <f>IF(A10=BP10,+'Biyemas S.A.'!BC10+'Kandiko S.A'!BC10+'Rebisco S.A.'!BC10,"")</f>
        <v/>
      </c>
      <c r="BD10" s="181" t="str">
        <f t="shared" si="24"/>
        <v/>
      </c>
      <c r="BE10" s="29" t="str">
        <f>IF(A10="","",VLOOKUP(B10,'Datos Consolidados'!B12:BF49,53,0))</f>
        <v/>
      </c>
      <c r="BF10" s="28" t="str">
        <f>IF(A10="","",VLOOKUP(B10,'Datos Consolidados'!B12:BF49,54,0))</f>
        <v/>
      </c>
      <c r="BG10" s="28" t="str">
        <f>IF(A10="","",VLOOKUP(B10,'Datos Consolidados'!B12:BF49,55,0))</f>
        <v/>
      </c>
      <c r="BH10" s="28" t="str">
        <f>IF(A10="","",VLOOKUP(B10,'Datos Consolidados'!B12:BF49,51,0))</f>
        <v/>
      </c>
      <c r="BI10" s="28" t="str">
        <f>IF(A10="","",VLOOKUP(B10,'Datos Consolidados'!B12:BF49,52,0))</f>
        <v/>
      </c>
      <c r="BJ10" s="211" t="str">
        <f t="shared" si="25"/>
        <v/>
      </c>
      <c r="BK10" s="27" t="str">
        <f t="shared" si="26"/>
        <v/>
      </c>
      <c r="BL10" s="29" t="str">
        <f t="shared" si="27"/>
        <v/>
      </c>
      <c r="BM10" s="28" t="str">
        <f t="shared" si="8"/>
        <v/>
      </c>
      <c r="BN10" s="181" t="str">
        <f>+'Biyemas S.A.'!BN10</f>
        <v/>
      </c>
      <c r="BO10" s="59"/>
      <c r="BP10" s="39" t="str">
        <f>+'Biyemas S.A.'!BP10</f>
        <v xml:space="preserve">Mar/Tue    </v>
      </c>
    </row>
    <row r="11" spans="1:68" s="30" customFormat="1" x14ac:dyDescent="0.2">
      <c r="A11" s="188" t="str">
        <f>IF(BP11='Datos Biyemas'!A13,'Datos Biyemas'!A13,"")</f>
        <v/>
      </c>
      <c r="B11" s="185" t="str">
        <f>IF(BP11=A11,'Datos Biyemas'!B13,"")</f>
        <v/>
      </c>
      <c r="C11" s="186" t="str">
        <f>IF(A11=BP11,+'Biyemas S.A.'!C11+'Kandiko S.A'!C11+'Rebisco S.A.'!C11,"")</f>
        <v/>
      </c>
      <c r="D11" s="32" t="str">
        <f>IF(A11=BP11,+'Biyemas S.A.'!D11+'Kandiko S.A'!D11+'Rebisco S.A.'!D11,"")</f>
        <v/>
      </c>
      <c r="E11" s="32" t="str">
        <f>IF(A11=BP11,+'Biyemas S.A.'!E11+'Kandiko S.A'!E11+'Rebisco S.A.'!E11,"")</f>
        <v/>
      </c>
      <c r="F11" s="32" t="str">
        <f>IF(A11=BP11,+'Biyemas S.A.'!F11+'Kandiko S.A'!F11+'Rebisco S.A.'!F11,"")</f>
        <v/>
      </c>
      <c r="G11" s="32" t="str">
        <f>IF(A11=BP11,+'Biyemas S.A.'!G11+'Kandiko S.A'!G11+'Rebisco S.A.'!G11,"")</f>
        <v/>
      </c>
      <c r="H11" s="33" t="str">
        <f t="shared" si="0"/>
        <v/>
      </c>
      <c r="I11" s="33" t="str">
        <f t="shared" si="9"/>
        <v/>
      </c>
      <c r="J11" s="34" t="str">
        <f t="shared" si="10"/>
        <v/>
      </c>
      <c r="K11" s="31" t="str">
        <f t="shared" si="11"/>
        <v/>
      </c>
      <c r="L11" s="37" t="str">
        <f>IF(A11=BP11,+'Biyemas S.A.'!L11+'Kandiko S.A'!L11+'Rebisco S.A.'!L11,"")</f>
        <v/>
      </c>
      <c r="M11" s="32" t="str">
        <f>IF(A11=BP11,+'Biyemas S.A.'!M11+'Kandiko S.A'!M11+'Rebisco S.A.'!M11,"")</f>
        <v/>
      </c>
      <c r="N11" s="32" t="str">
        <f>IF(A11=BP11,+'Biyemas S.A.'!N11+'Kandiko S.A'!N11+'Rebisco S.A.'!N11,"")</f>
        <v/>
      </c>
      <c r="O11" s="32" t="str">
        <f>IF(A11=BP11,+'Biyemas S.A.'!O11+'Kandiko S.A'!O11+'Rebisco S.A.'!O11,"")</f>
        <v/>
      </c>
      <c r="P11" s="33" t="str">
        <f t="shared" si="35"/>
        <v/>
      </c>
      <c r="Q11" s="33" t="str">
        <f t="shared" si="36"/>
        <v/>
      </c>
      <c r="R11" s="34" t="str">
        <f t="shared" si="37"/>
        <v/>
      </c>
      <c r="S11" s="31" t="str">
        <f t="shared" si="38"/>
        <v/>
      </c>
      <c r="T11" s="32" t="str">
        <f t="shared" si="28"/>
        <v/>
      </c>
      <c r="U11" s="35" t="str">
        <f t="shared" si="29"/>
        <v/>
      </c>
      <c r="V11" s="32" t="str">
        <f>IF(A11="","",VLOOKUP(B11,'Datos Biyemas'!B13:BB50,21,0))</f>
        <v/>
      </c>
      <c r="W11" s="32" t="str">
        <f>IF(A11="","",VLOOKUP(B11,'Datos Biyemas'!B13:BB50,22,0))</f>
        <v/>
      </c>
      <c r="X11" s="32" t="str">
        <f>IF(A11="","",VLOOKUP(B11,'Datos Biyemas'!B13:BB50,23,0))</f>
        <v/>
      </c>
      <c r="Y11" s="32" t="str">
        <f>IF(A11="","",VLOOKUP(B11,'Datos Biyemas'!B13:BB50,24,0))</f>
        <v/>
      </c>
      <c r="Z11" s="33" t="str">
        <f t="shared" si="30"/>
        <v/>
      </c>
      <c r="AA11" s="33" t="str">
        <f t="shared" si="31"/>
        <v/>
      </c>
      <c r="AB11" s="34" t="str">
        <f t="shared" si="32"/>
        <v/>
      </c>
      <c r="AC11" s="32" t="str">
        <f t="shared" si="33"/>
        <v/>
      </c>
      <c r="AD11" s="37" t="str">
        <f t="shared" si="3"/>
        <v/>
      </c>
      <c r="AE11" s="32" t="str">
        <f>IF(A11=BP11,+'Biyemas S.A.'!AE11+'Kandiko S.A'!AE11+'Rebisco S.A.'!AE11,"")</f>
        <v/>
      </c>
      <c r="AF11" s="31" t="str">
        <f t="shared" si="4"/>
        <v/>
      </c>
      <c r="AG11" s="32" t="str">
        <f>IF(A11=BP11,+'Biyemas S.A.'!AG11+'Kandiko S.A'!AG11+'Rebisco S.A.'!AG11,"")</f>
        <v/>
      </c>
      <c r="AH11" s="32" t="str">
        <f>IF(A11=BP11,+'Biyemas S.A.'!AH11+'Kandiko S.A'!AH11+'Rebisco S.A.'!AH11,"")</f>
        <v/>
      </c>
      <c r="AI11" s="32" t="str">
        <f>IF(A11=BP11,+'Biyemas S.A.'!AI11+'Kandiko S.A'!AI11+'Rebisco S.A.'!AI11,"")</f>
        <v/>
      </c>
      <c r="AJ11" s="34" t="str">
        <f t="shared" si="34"/>
        <v/>
      </c>
      <c r="AK11" s="35" t="str">
        <f t="shared" si="20"/>
        <v/>
      </c>
      <c r="AL11" s="37" t="str">
        <f>IF(A11=BP11,+'Biyemas S.A.'!AL11+'Kandiko S.A'!AL11+'Rebisco S.A.'!AL11,"")</f>
        <v/>
      </c>
      <c r="AM11" s="58" t="str">
        <f t="shared" si="5"/>
        <v/>
      </c>
      <c r="AN11" s="262" t="str">
        <f>IF(A11=BP11,+'Biyemas S.A.'!AN11+'Kandiko S.A'!AN11+'Rebisco S.A.'!AN11,"")</f>
        <v/>
      </c>
      <c r="AO11" s="32" t="str">
        <f>IF(A11=BP11,+'Biyemas S.A.'!AO11+'Kandiko S.A'!AO11+'Rebisco S.A.'!AO11,"")</f>
        <v/>
      </c>
      <c r="AP11" s="36" t="str">
        <f t="shared" si="21"/>
        <v/>
      </c>
      <c r="AQ11" s="58" t="str">
        <f>IF(A11=BP11,+'Biyemas S.A.'!AQ11+'Kandiko S.A'!AQ11+'Rebisco S.A.'!AQ11,"")</f>
        <v/>
      </c>
      <c r="AR11" s="58" t="str">
        <f>IF(A11=BP11,+'Biyemas S.A.'!AR11+'Kandiko S.A'!AR11+'Rebisco S.A.'!AR11,"")</f>
        <v/>
      </c>
      <c r="AS11" s="58" t="str">
        <f>IF(A11=BP11,+'Biyemas S.A.'!AS11+'Kandiko S.A'!AS11+'Rebisco S.A.'!AS11,"")</f>
        <v/>
      </c>
      <c r="AT11" s="58" t="str">
        <f>IF(A11=BP11,+'Biyemas S.A.'!AT11+'Kandiko S.A'!AT11+'Rebisco S.A.'!AT11,"")</f>
        <v/>
      </c>
      <c r="AU11" s="58">
        <f>IFERROR('Biyemas S.A.'!AU11+'Kandiko S.A'!AU11+'Rebisco S.A.'!AU11,0)</f>
        <v>0</v>
      </c>
      <c r="AV11" s="37" t="str">
        <f t="shared" si="6"/>
        <v/>
      </c>
      <c r="AW11" s="38" t="str">
        <f t="shared" si="7"/>
        <v/>
      </c>
      <c r="AY11" s="180" t="str">
        <f>IF(A11=BP11,+'Biyemas S.A.'!AY11+'Kandiko S.A'!AY11+'Rebisco S.A.'!AY11,"")</f>
        <v/>
      </c>
      <c r="AZ11" s="252" t="str">
        <f t="shared" si="22"/>
        <v/>
      </c>
      <c r="BA11" s="255" t="str">
        <f>IF(A11=BP11,+'Biyemas S.A.'!BA11+'Kandiko S.A'!BA11+'Rebisco S.A.'!BA11,"")</f>
        <v/>
      </c>
      <c r="BB11" s="181" t="str">
        <f t="shared" si="23"/>
        <v/>
      </c>
      <c r="BC11" s="255" t="str">
        <f>IF(A11=BP11,+'Biyemas S.A.'!BC11+'Kandiko S.A'!BC11+'Rebisco S.A.'!BC11,"")</f>
        <v/>
      </c>
      <c r="BD11" s="181" t="str">
        <f t="shared" si="24"/>
        <v/>
      </c>
      <c r="BE11" s="29" t="str">
        <f>IF(A11="","",VLOOKUP(B11,'Datos Consolidados'!B13:BF50,53,0))</f>
        <v/>
      </c>
      <c r="BF11" s="28" t="str">
        <f>IF(A11="","",VLOOKUP(B11,'Datos Consolidados'!B13:BF50,54,0))</f>
        <v/>
      </c>
      <c r="BG11" s="28" t="str">
        <f>IF(A11="","",VLOOKUP(B11,'Datos Consolidados'!B13:BF50,55,0))</f>
        <v/>
      </c>
      <c r="BH11" s="28" t="str">
        <f>IF(A11="","",VLOOKUP(B11,'Datos Consolidados'!B13:BF50,51,0))</f>
        <v/>
      </c>
      <c r="BI11" s="28" t="str">
        <f>IF(A11="","",VLOOKUP(B11,'Datos Consolidados'!B13:BF50,52,0))</f>
        <v/>
      </c>
      <c r="BJ11" s="211" t="str">
        <f t="shared" si="25"/>
        <v/>
      </c>
      <c r="BK11" s="27" t="str">
        <f t="shared" si="26"/>
        <v/>
      </c>
      <c r="BL11" s="29" t="str">
        <f t="shared" si="27"/>
        <v/>
      </c>
      <c r="BM11" s="28" t="str">
        <f t="shared" si="8"/>
        <v/>
      </c>
      <c r="BN11" s="181" t="str">
        <f>+'Biyemas S.A.'!BN11</f>
        <v/>
      </c>
      <c r="BO11" s="59"/>
      <c r="BP11" s="39" t="str">
        <f>+'Biyemas S.A.'!BP11</f>
        <v xml:space="preserve">Mie/Wed    </v>
      </c>
    </row>
    <row r="12" spans="1:68" s="30" customFormat="1" x14ac:dyDescent="0.2">
      <c r="A12" s="188" t="str">
        <f>IF(BP12='Datos Biyemas'!A14,'Datos Biyemas'!A14,"")</f>
        <v/>
      </c>
      <c r="B12" s="185" t="str">
        <f>IF(BP12=A12,'Datos Biyemas'!B14,"")</f>
        <v/>
      </c>
      <c r="C12" s="186" t="str">
        <f>IF(A12=BP12,+'Biyemas S.A.'!C12+'Kandiko S.A'!C12+'Rebisco S.A.'!C12,"")</f>
        <v/>
      </c>
      <c r="D12" s="32" t="str">
        <f>IF(A12=BP12,+'Biyemas S.A.'!D12+'Kandiko S.A'!D12+'Rebisco S.A.'!D12,"")</f>
        <v/>
      </c>
      <c r="E12" s="32" t="str">
        <f>IF(A12=BP12,+'Biyemas S.A.'!E12+'Kandiko S.A'!E12+'Rebisco S.A.'!E12,"")</f>
        <v/>
      </c>
      <c r="F12" s="32" t="str">
        <f>IF(A12=BP12,+'Biyemas S.A.'!F12+'Kandiko S.A'!F12+'Rebisco S.A.'!F12,"")</f>
        <v/>
      </c>
      <c r="G12" s="32" t="str">
        <f>IF(A12=BP12,+'Biyemas S.A.'!G12+'Kandiko S.A'!G12+'Rebisco S.A.'!G12,"")</f>
        <v/>
      </c>
      <c r="H12" s="33" t="str">
        <f t="shared" si="0"/>
        <v/>
      </c>
      <c r="I12" s="33" t="str">
        <f t="shared" si="9"/>
        <v/>
      </c>
      <c r="J12" s="34" t="str">
        <f t="shared" si="10"/>
        <v/>
      </c>
      <c r="K12" s="31" t="str">
        <f t="shared" si="11"/>
        <v/>
      </c>
      <c r="L12" s="37" t="str">
        <f>IF(A12=BP12,+'Biyemas S.A.'!L12+'Kandiko S.A'!L12+'Rebisco S.A.'!L12,"")</f>
        <v/>
      </c>
      <c r="M12" s="32" t="str">
        <f>IF(A12=BP12,+'Biyemas S.A.'!M12+'Kandiko S.A'!M12+'Rebisco S.A.'!M12,"")</f>
        <v/>
      </c>
      <c r="N12" s="32" t="str">
        <f>IF(A12=BP12,+'Biyemas S.A.'!N12+'Kandiko S.A'!N12+'Rebisco S.A.'!N12,"")</f>
        <v/>
      </c>
      <c r="O12" s="32" t="str">
        <f>IF(A12=BP12,+'Biyemas S.A.'!O12+'Kandiko S.A'!O12+'Rebisco S.A.'!O12,"")</f>
        <v/>
      </c>
      <c r="P12" s="33" t="str">
        <f t="shared" si="35"/>
        <v/>
      </c>
      <c r="Q12" s="33" t="str">
        <f t="shared" si="36"/>
        <v/>
      </c>
      <c r="R12" s="34" t="str">
        <f t="shared" si="37"/>
        <v/>
      </c>
      <c r="S12" s="31" t="str">
        <f t="shared" si="38"/>
        <v/>
      </c>
      <c r="T12" s="32" t="str">
        <f t="shared" si="28"/>
        <v/>
      </c>
      <c r="U12" s="35" t="str">
        <f t="shared" si="29"/>
        <v/>
      </c>
      <c r="V12" s="32" t="str">
        <f>IF(A12="","",VLOOKUP(B12,'Datos Biyemas'!B14:BB51,21,0))</f>
        <v/>
      </c>
      <c r="W12" s="32" t="str">
        <f>IF(A12="","",VLOOKUP(B12,'Datos Biyemas'!B14:BB51,22,0))</f>
        <v/>
      </c>
      <c r="X12" s="32" t="str">
        <f>IF(A12="","",VLOOKUP(B12,'Datos Biyemas'!B14:BB51,23,0))</f>
        <v/>
      </c>
      <c r="Y12" s="32" t="str">
        <f>IF(A12="","",VLOOKUP(B12,'Datos Biyemas'!B14:BB51,24,0))</f>
        <v/>
      </c>
      <c r="Z12" s="33" t="str">
        <f t="shared" si="30"/>
        <v/>
      </c>
      <c r="AA12" s="33" t="str">
        <f t="shared" si="31"/>
        <v/>
      </c>
      <c r="AB12" s="34" t="str">
        <f t="shared" si="32"/>
        <v/>
      </c>
      <c r="AC12" s="32" t="str">
        <f t="shared" si="33"/>
        <v/>
      </c>
      <c r="AD12" s="37" t="str">
        <f t="shared" si="3"/>
        <v/>
      </c>
      <c r="AE12" s="32" t="str">
        <f>IF(A12=BP12,+'Biyemas S.A.'!AE12+'Kandiko S.A'!AE12+'Rebisco S.A.'!AE12,"")</f>
        <v/>
      </c>
      <c r="AF12" s="31" t="str">
        <f t="shared" si="4"/>
        <v/>
      </c>
      <c r="AG12" s="32" t="str">
        <f>IF(A12=BP12,+'Biyemas S.A.'!AG12+'Kandiko S.A'!AG12+'Rebisco S.A.'!AG12,"")</f>
        <v/>
      </c>
      <c r="AH12" s="32" t="str">
        <f>IF(A12=BP12,+'Biyemas S.A.'!AH12+'Kandiko S.A'!AH12+'Rebisco S.A.'!AH12,"")</f>
        <v/>
      </c>
      <c r="AI12" s="32" t="str">
        <f>IF(A12=BP12,+'Biyemas S.A.'!AI12+'Kandiko S.A'!AI12+'Rebisco S.A.'!AI12,"")</f>
        <v/>
      </c>
      <c r="AJ12" s="34" t="str">
        <f t="shared" si="34"/>
        <v/>
      </c>
      <c r="AK12" s="35" t="str">
        <f t="shared" si="20"/>
        <v/>
      </c>
      <c r="AL12" s="37" t="str">
        <f>IF(A12=BP12,+'Biyemas S.A.'!AL12+'Kandiko S.A'!AL12+'Rebisco S.A.'!AL12,"")</f>
        <v/>
      </c>
      <c r="AM12" s="58" t="str">
        <f t="shared" si="5"/>
        <v/>
      </c>
      <c r="AN12" s="262" t="str">
        <f>IF(A12=BP12,+'Biyemas S.A.'!AN12+'Kandiko S.A'!AN12+'Rebisco S.A.'!AN12,"")</f>
        <v/>
      </c>
      <c r="AO12" s="32" t="str">
        <f>IF(A12=BP12,+'Biyemas S.A.'!AO12+'Kandiko S.A'!AO12+'Rebisco S.A.'!AO12,"")</f>
        <v/>
      </c>
      <c r="AP12" s="36" t="str">
        <f t="shared" si="21"/>
        <v/>
      </c>
      <c r="AQ12" s="58" t="str">
        <f>IF(A12=BP12,+'Biyemas S.A.'!AQ12+'Kandiko S.A'!AQ12+'Rebisco S.A.'!AQ12,"")</f>
        <v/>
      </c>
      <c r="AR12" s="58" t="str">
        <f>IF(A12=BP12,+'Biyemas S.A.'!AR12+'Kandiko S.A'!AR12+'Rebisco S.A.'!AR12,"")</f>
        <v/>
      </c>
      <c r="AS12" s="58" t="str">
        <f>IF(A12=BP12,+'Biyemas S.A.'!AS12+'Kandiko S.A'!AS12+'Rebisco S.A.'!AS12,"")</f>
        <v/>
      </c>
      <c r="AT12" s="58" t="str">
        <f>IF(A12=BP12,+'Biyemas S.A.'!AT12+'Kandiko S.A'!AT12+'Rebisco S.A.'!AT12,"")</f>
        <v/>
      </c>
      <c r="AU12" s="58">
        <f>IFERROR('Biyemas S.A.'!AU12+'Kandiko S.A'!AU12+'Rebisco S.A.'!AU12,0)</f>
        <v>0</v>
      </c>
      <c r="AV12" s="37" t="str">
        <f t="shared" si="6"/>
        <v/>
      </c>
      <c r="AW12" s="38" t="str">
        <f t="shared" si="7"/>
        <v/>
      </c>
      <c r="AY12" s="180" t="str">
        <f>IF(A12=BP12,+'Biyemas S.A.'!AY12+'Kandiko S.A'!AY12+'Rebisco S.A.'!AY12,"")</f>
        <v/>
      </c>
      <c r="AZ12" s="252" t="str">
        <f t="shared" si="22"/>
        <v/>
      </c>
      <c r="BA12" s="255" t="str">
        <f>IF(A12=BP12,+'Biyemas S.A.'!BA12+'Kandiko S.A'!BA12+'Rebisco S.A.'!BA12,"")</f>
        <v/>
      </c>
      <c r="BB12" s="181" t="str">
        <f t="shared" si="23"/>
        <v/>
      </c>
      <c r="BC12" s="255" t="str">
        <f>IF(A12=BP12,+'Biyemas S.A.'!BC12+'Kandiko S.A'!BC12+'Rebisco S.A.'!BC12,"")</f>
        <v/>
      </c>
      <c r="BD12" s="181" t="str">
        <f t="shared" si="24"/>
        <v/>
      </c>
      <c r="BE12" s="29" t="str">
        <f>IF(A12="","",VLOOKUP(B12,'Datos Consolidados'!B14:BF51,53,0))</f>
        <v/>
      </c>
      <c r="BF12" s="28" t="str">
        <f>IF(A12="","",VLOOKUP(B12,'Datos Consolidados'!B14:BF51,54,0))</f>
        <v/>
      </c>
      <c r="BG12" s="28" t="str">
        <f>IF(A12="","",VLOOKUP(B12,'Datos Consolidados'!B14:BF51,55,0))</f>
        <v/>
      </c>
      <c r="BH12" s="28" t="str">
        <f>IF(A12="","",VLOOKUP(B12,'Datos Consolidados'!B14:BF51,51,0))</f>
        <v/>
      </c>
      <c r="BI12" s="28" t="str">
        <f>IF(A12="","",VLOOKUP(B12,'Datos Consolidados'!B14:BF51,52,0))</f>
        <v/>
      </c>
      <c r="BJ12" s="211" t="str">
        <f t="shared" si="25"/>
        <v/>
      </c>
      <c r="BK12" s="27" t="str">
        <f t="shared" si="26"/>
        <v/>
      </c>
      <c r="BL12" s="29" t="str">
        <f t="shared" si="27"/>
        <v/>
      </c>
      <c r="BM12" s="28" t="str">
        <f t="shared" si="8"/>
        <v/>
      </c>
      <c r="BN12" s="181" t="str">
        <f>+'Biyemas S.A.'!BN12</f>
        <v/>
      </c>
      <c r="BO12" s="59"/>
      <c r="BP12" s="39" t="str">
        <f>+'Biyemas S.A.'!BP12</f>
        <v xml:space="preserve">Jue/Thu    </v>
      </c>
    </row>
    <row r="13" spans="1:68" s="30" customFormat="1" ht="11.25" customHeight="1" x14ac:dyDescent="0.2">
      <c r="A13" s="188" t="str">
        <f>IF(BP13='Datos Biyemas'!A15,'Datos Biyemas'!A15,"")</f>
        <v/>
      </c>
      <c r="B13" s="185" t="str">
        <f>IF(BP13=A13,'Datos Biyemas'!B15,"")</f>
        <v/>
      </c>
      <c r="C13" s="186" t="str">
        <f>IF(A13=BP13,+'Biyemas S.A.'!C13+'Kandiko S.A'!C13+'Rebisco S.A.'!C13,"")</f>
        <v/>
      </c>
      <c r="D13" s="32" t="str">
        <f>IF(A13=BP13,+'Biyemas S.A.'!D13+'Kandiko S.A'!D13+'Rebisco S.A.'!D13,"")</f>
        <v/>
      </c>
      <c r="E13" s="32" t="str">
        <f>IF(A13=BP13,+'Biyemas S.A.'!E13+'Kandiko S.A'!E13+'Rebisco S.A.'!E13,"")</f>
        <v/>
      </c>
      <c r="F13" s="32" t="str">
        <f>IF(A13=BP13,+'Biyemas S.A.'!F13+'Kandiko S.A'!F13+'Rebisco S.A.'!F13,"")</f>
        <v/>
      </c>
      <c r="G13" s="32" t="str">
        <f>IF(A13=BP13,+'Biyemas S.A.'!G13+'Kandiko S.A'!G13+'Rebisco S.A.'!G13,"")</f>
        <v/>
      </c>
      <c r="H13" s="33" t="str">
        <f t="shared" si="0"/>
        <v/>
      </c>
      <c r="I13" s="33" t="str">
        <f t="shared" si="9"/>
        <v/>
      </c>
      <c r="J13" s="34" t="str">
        <f t="shared" si="10"/>
        <v/>
      </c>
      <c r="K13" s="31" t="str">
        <f t="shared" si="11"/>
        <v/>
      </c>
      <c r="L13" s="37" t="str">
        <f>IF(A13=BP13,+'Biyemas S.A.'!L13+'Kandiko S.A'!L13+'Rebisco S.A.'!L13,"")</f>
        <v/>
      </c>
      <c r="M13" s="32" t="str">
        <f>IF(A13=BP13,+'Biyemas S.A.'!M13+'Kandiko S.A'!M13+'Rebisco S.A.'!M13,"")</f>
        <v/>
      </c>
      <c r="N13" s="32" t="str">
        <f>IF(A13=BP13,+'Biyemas S.A.'!N13+'Kandiko S.A'!N13+'Rebisco S.A.'!N13,"")</f>
        <v/>
      </c>
      <c r="O13" s="32" t="str">
        <f>IF(A13=BP13,+'Biyemas S.A.'!O13+'Kandiko S.A'!O13+'Rebisco S.A.'!O13,"")</f>
        <v/>
      </c>
      <c r="P13" s="33" t="str">
        <f t="shared" si="35"/>
        <v/>
      </c>
      <c r="Q13" s="33" t="str">
        <f t="shared" si="36"/>
        <v/>
      </c>
      <c r="R13" s="34" t="str">
        <f t="shared" si="37"/>
        <v/>
      </c>
      <c r="S13" s="31" t="str">
        <f t="shared" si="38"/>
        <v/>
      </c>
      <c r="T13" s="32" t="str">
        <f t="shared" si="28"/>
        <v/>
      </c>
      <c r="U13" s="35" t="str">
        <f t="shared" si="29"/>
        <v/>
      </c>
      <c r="V13" s="32" t="str">
        <f>IF(A13="","",VLOOKUP(B13,'Datos Biyemas'!B15:BB52,21,0))</f>
        <v/>
      </c>
      <c r="W13" s="32" t="str">
        <f>IF(A13="","",VLOOKUP(B13,'Datos Biyemas'!B15:BB52,22,0))</f>
        <v/>
      </c>
      <c r="X13" s="32" t="str">
        <f>IF(A13="","",VLOOKUP(B13,'Datos Biyemas'!B15:BB52,23,0))</f>
        <v/>
      </c>
      <c r="Y13" s="32" t="str">
        <f>IF(A13="","",VLOOKUP(B13,'Datos Biyemas'!B15:BB52,24,0))</f>
        <v/>
      </c>
      <c r="Z13" s="33" t="str">
        <f t="shared" si="30"/>
        <v/>
      </c>
      <c r="AA13" s="33" t="str">
        <f t="shared" si="31"/>
        <v/>
      </c>
      <c r="AB13" s="34" t="str">
        <f t="shared" si="32"/>
        <v/>
      </c>
      <c r="AC13" s="32" t="str">
        <f t="shared" si="33"/>
        <v/>
      </c>
      <c r="AD13" s="37" t="str">
        <f t="shared" si="3"/>
        <v/>
      </c>
      <c r="AE13" s="32" t="str">
        <f>IF(A13=BP13,+'Biyemas S.A.'!AE13+'Kandiko S.A'!AE13+'Rebisco S.A.'!AE13,"")</f>
        <v/>
      </c>
      <c r="AF13" s="31" t="str">
        <f t="shared" si="4"/>
        <v/>
      </c>
      <c r="AG13" s="32" t="str">
        <f>IF(A13=BP13,+'Biyemas S.A.'!AG13+'Kandiko S.A'!AG13+'Rebisco S.A.'!AG13,"")</f>
        <v/>
      </c>
      <c r="AH13" s="32" t="str">
        <f>IF(A13=BP13,+'Biyemas S.A.'!AH13+'Kandiko S.A'!AH13+'Rebisco S.A.'!AH13,"")</f>
        <v/>
      </c>
      <c r="AI13" s="32" t="str">
        <f>IF(A13=BP13,+'Biyemas S.A.'!AI13+'Kandiko S.A'!AI13+'Rebisco S.A.'!AI13,"")</f>
        <v/>
      </c>
      <c r="AJ13" s="34" t="str">
        <f t="shared" si="34"/>
        <v/>
      </c>
      <c r="AK13" s="35" t="str">
        <f t="shared" si="20"/>
        <v/>
      </c>
      <c r="AL13" s="37" t="str">
        <f>IF(A13=BP13,+'Biyemas S.A.'!AL13+'Kandiko S.A'!AL13+'Rebisco S.A.'!AL13,"")</f>
        <v/>
      </c>
      <c r="AM13" s="58" t="str">
        <f t="shared" si="5"/>
        <v/>
      </c>
      <c r="AN13" s="262" t="str">
        <f>IF(A13=BP13,+'Biyemas S.A.'!AN13+'Kandiko S.A'!AN13+'Rebisco S.A.'!AN13,"")</f>
        <v/>
      </c>
      <c r="AO13" s="32" t="str">
        <f>IF(A13=BP13,+'Biyemas S.A.'!AO13+'Kandiko S.A'!AO13+'Rebisco S.A.'!AO13,"")</f>
        <v/>
      </c>
      <c r="AP13" s="36" t="str">
        <f t="shared" si="21"/>
        <v/>
      </c>
      <c r="AQ13" s="58" t="str">
        <f>IF(A13=BP13,+'Biyemas S.A.'!AQ13+'Kandiko S.A'!AQ13+'Rebisco S.A.'!AQ13,"")</f>
        <v/>
      </c>
      <c r="AR13" s="58" t="str">
        <f>IF(A13=BP13,+'Biyemas S.A.'!AR13+'Kandiko S.A'!AR13+'Rebisco S.A.'!AR13,"")</f>
        <v/>
      </c>
      <c r="AS13" s="58" t="str">
        <f>IF(A13=BP13,+'Biyemas S.A.'!AS13+'Kandiko S.A'!AS13+'Rebisco S.A.'!AS13,"")</f>
        <v/>
      </c>
      <c r="AT13" s="58" t="str">
        <f>IF(A13=BP13,+'Biyemas S.A.'!AT13+'Kandiko S.A'!AT13+'Rebisco S.A.'!AT13,"")</f>
        <v/>
      </c>
      <c r="AU13" s="58">
        <f>IFERROR('Biyemas S.A.'!AU13+'Kandiko S.A'!AU13+'Rebisco S.A.'!AU13,0)</f>
        <v>0</v>
      </c>
      <c r="AV13" s="37" t="str">
        <f t="shared" si="6"/>
        <v/>
      </c>
      <c r="AW13" s="38" t="str">
        <f t="shared" si="7"/>
        <v/>
      </c>
      <c r="AY13" s="180" t="str">
        <f>IF(A13=BP13,+'Biyemas S.A.'!AY13+'Kandiko S.A'!AY13+'Rebisco S.A.'!AY13,"")</f>
        <v/>
      </c>
      <c r="AZ13" s="252" t="str">
        <f t="shared" si="22"/>
        <v/>
      </c>
      <c r="BA13" s="255" t="str">
        <f>IF(A13=BP13,+'Biyemas S.A.'!BA13+'Kandiko S.A'!BA13+'Rebisco S.A.'!BA13,"")</f>
        <v/>
      </c>
      <c r="BB13" s="181" t="str">
        <f t="shared" si="23"/>
        <v/>
      </c>
      <c r="BC13" s="255" t="str">
        <f>IF(A13=BP13,+'Biyemas S.A.'!BC13+'Kandiko S.A'!BC13+'Rebisco S.A.'!BC13,"")</f>
        <v/>
      </c>
      <c r="BD13" s="181" t="str">
        <f t="shared" si="24"/>
        <v/>
      </c>
      <c r="BE13" s="29" t="str">
        <f>IF(A13="","",VLOOKUP(B13,'Datos Consolidados'!B15:BF52,53,0))</f>
        <v/>
      </c>
      <c r="BF13" s="28" t="str">
        <f>IF(A13="","",VLOOKUP(B13,'Datos Consolidados'!B15:BF52,54,0))</f>
        <v/>
      </c>
      <c r="BG13" s="28" t="str">
        <f>IF(A13="","",VLOOKUP(B13,'Datos Consolidados'!B15:BF52,55,0))</f>
        <v/>
      </c>
      <c r="BH13" s="28" t="str">
        <f>IF(A13="","",VLOOKUP(B13,'Datos Consolidados'!B15:BF52,51,0))</f>
        <v/>
      </c>
      <c r="BI13" s="28" t="str">
        <f>IF(A13="","",VLOOKUP(B13,'Datos Consolidados'!B15:BF52,52,0))</f>
        <v/>
      </c>
      <c r="BJ13" s="211" t="str">
        <f t="shared" si="25"/>
        <v/>
      </c>
      <c r="BK13" s="27" t="str">
        <f t="shared" si="26"/>
        <v/>
      </c>
      <c r="BL13" s="29" t="str">
        <f t="shared" si="27"/>
        <v/>
      </c>
      <c r="BM13" s="28" t="str">
        <f t="shared" si="8"/>
        <v/>
      </c>
      <c r="BN13" s="181" t="str">
        <f>+'Biyemas S.A.'!BN13</f>
        <v/>
      </c>
      <c r="BO13" s="59"/>
      <c r="BP13" s="39" t="str">
        <f>+'Biyemas S.A.'!BP13</f>
        <v xml:space="preserve">Vie/Fri    </v>
      </c>
    </row>
    <row r="14" spans="1:68" ht="11.25" customHeight="1" x14ac:dyDescent="0.2">
      <c r="A14" s="188" t="str">
        <f>IF(BP14='Datos Biyemas'!A16,'Datos Biyemas'!A16,"")</f>
        <v/>
      </c>
      <c r="B14" s="185" t="str">
        <f>IF(BP14=A14,'Datos Biyemas'!B16,"")</f>
        <v/>
      </c>
      <c r="C14" s="186" t="str">
        <f>IF(A14=BP14,+'Biyemas S.A.'!C14+'Kandiko S.A'!C14+'Rebisco S.A.'!C14,"")</f>
        <v/>
      </c>
      <c r="D14" s="32" t="str">
        <f>IF(A14=BP14,+'Biyemas S.A.'!D14+'Kandiko S.A'!D14+'Rebisco S.A.'!D14,"")</f>
        <v/>
      </c>
      <c r="E14" s="32" t="str">
        <f>IF(A14=BP14,+'Biyemas S.A.'!E14+'Kandiko S.A'!E14+'Rebisco S.A.'!E14,"")</f>
        <v/>
      </c>
      <c r="F14" s="32" t="str">
        <f>IF(A14=BP14,+'Biyemas S.A.'!F14+'Kandiko S.A'!F14+'Rebisco S.A.'!F14,"")</f>
        <v/>
      </c>
      <c r="G14" s="32" t="str">
        <f>IF(A14=BP14,+'Biyemas S.A.'!G14+'Kandiko S.A'!G14+'Rebisco S.A.'!G14,"")</f>
        <v/>
      </c>
      <c r="H14" s="33" t="str">
        <f t="shared" si="0"/>
        <v/>
      </c>
      <c r="I14" s="33" t="str">
        <f t="shared" si="9"/>
        <v/>
      </c>
      <c r="J14" s="34" t="str">
        <f t="shared" si="10"/>
        <v/>
      </c>
      <c r="K14" s="31" t="str">
        <f t="shared" si="11"/>
        <v/>
      </c>
      <c r="L14" s="37" t="str">
        <f>IF(A14=BP14,+'Biyemas S.A.'!L14+'Kandiko S.A'!L14+'Rebisco S.A.'!L14,"")</f>
        <v/>
      </c>
      <c r="M14" s="32" t="str">
        <f>IF(A14=BP14,+'Biyemas S.A.'!M14+'Kandiko S.A'!M14+'Rebisco S.A.'!M14,"")</f>
        <v/>
      </c>
      <c r="N14" s="32" t="str">
        <f>IF(A14=BP14,+'Biyemas S.A.'!N14+'Kandiko S.A'!N14+'Rebisco S.A.'!N14,"")</f>
        <v/>
      </c>
      <c r="O14" s="32" t="str">
        <f>IF(A14=BP14,+'Biyemas S.A.'!O14+'Kandiko S.A'!O14+'Rebisco S.A.'!O14,"")</f>
        <v/>
      </c>
      <c r="P14" s="33" t="str">
        <f t="shared" si="35"/>
        <v/>
      </c>
      <c r="Q14" s="33" t="str">
        <f t="shared" si="36"/>
        <v/>
      </c>
      <c r="R14" s="34" t="str">
        <f t="shared" si="37"/>
        <v/>
      </c>
      <c r="S14" s="31" t="str">
        <f t="shared" si="38"/>
        <v/>
      </c>
      <c r="T14" s="32" t="str">
        <f t="shared" si="28"/>
        <v/>
      </c>
      <c r="U14" s="35" t="str">
        <f t="shared" si="29"/>
        <v/>
      </c>
      <c r="V14" s="32" t="str">
        <f>IF(A14="","",VLOOKUP(B14,'Datos Biyemas'!B16:BB53,21,0))</f>
        <v/>
      </c>
      <c r="W14" s="32" t="str">
        <f>IF(A14="","",VLOOKUP(B14,'Datos Biyemas'!B16:BB53,22,0))</f>
        <v/>
      </c>
      <c r="X14" s="32" t="str">
        <f>IF(A14="","",VLOOKUP(B14,'Datos Biyemas'!B16:BB53,23,0))</f>
        <v/>
      </c>
      <c r="Y14" s="32" t="str">
        <f>IF(A14="","",VLOOKUP(B14,'Datos Biyemas'!B16:BB53,24,0))</f>
        <v/>
      </c>
      <c r="Z14" s="33" t="str">
        <f t="shared" si="30"/>
        <v/>
      </c>
      <c r="AA14" s="33" t="str">
        <f t="shared" si="31"/>
        <v/>
      </c>
      <c r="AB14" s="34" t="str">
        <f t="shared" si="32"/>
        <v/>
      </c>
      <c r="AC14" s="32" t="str">
        <f t="shared" si="33"/>
        <v/>
      </c>
      <c r="AD14" s="37" t="str">
        <f t="shared" si="3"/>
        <v/>
      </c>
      <c r="AE14" s="32" t="str">
        <f>IF(A14=BP14,+'Biyemas S.A.'!AE14+'Kandiko S.A'!AE14+'Rebisco S.A.'!AE14,"")</f>
        <v/>
      </c>
      <c r="AF14" s="31" t="str">
        <f t="shared" si="4"/>
        <v/>
      </c>
      <c r="AG14" s="32" t="str">
        <f>IF(A14=BP14,+'Biyemas S.A.'!AG14+'Kandiko S.A'!AG14+'Rebisco S.A.'!AG14,"")</f>
        <v/>
      </c>
      <c r="AH14" s="32" t="str">
        <f>IF(A14=BP14,+'Biyemas S.A.'!AH14+'Kandiko S.A'!AH14+'Rebisco S.A.'!AH14,"")</f>
        <v/>
      </c>
      <c r="AI14" s="32" t="str">
        <f>IF(A14=BP14,+'Biyemas S.A.'!AI14+'Kandiko S.A'!AI14+'Rebisco S.A.'!AI14,"")</f>
        <v/>
      </c>
      <c r="AJ14" s="34" t="str">
        <f t="shared" si="34"/>
        <v/>
      </c>
      <c r="AK14" s="35" t="str">
        <f t="shared" si="20"/>
        <v/>
      </c>
      <c r="AL14" s="37" t="str">
        <f>IF(A14=BP14,+'Biyemas S.A.'!AL14+'Kandiko S.A'!AL14+'Rebisco S.A.'!AL14,"")</f>
        <v/>
      </c>
      <c r="AM14" s="58" t="str">
        <f t="shared" si="5"/>
        <v/>
      </c>
      <c r="AN14" s="262" t="str">
        <f>IF(A14=BP14,+'Biyemas S.A.'!AN14+'Kandiko S.A'!AN14+'Rebisco S.A.'!AN14,"")</f>
        <v/>
      </c>
      <c r="AO14" s="32" t="str">
        <f>IF(A14=BP14,+'Biyemas S.A.'!AO14+'Kandiko S.A'!AO14+'Rebisco S.A.'!AO14,"")</f>
        <v/>
      </c>
      <c r="AP14" s="36" t="str">
        <f t="shared" si="21"/>
        <v/>
      </c>
      <c r="AQ14" s="58" t="str">
        <f>IF(A14=BP14,+'Biyemas S.A.'!AQ14+'Kandiko S.A'!AQ14+'Rebisco S.A.'!AQ14,"")</f>
        <v/>
      </c>
      <c r="AR14" s="58" t="str">
        <f>IF(A14=BP14,+'Biyemas S.A.'!AR14+'Kandiko S.A'!AR14+'Rebisco S.A.'!AR14,"")</f>
        <v/>
      </c>
      <c r="AS14" s="58" t="str">
        <f>IF(A14=BP14,+'Biyemas S.A.'!AS14+'Kandiko S.A'!AS14+'Rebisco S.A.'!AS14,"")</f>
        <v/>
      </c>
      <c r="AT14" s="58" t="str">
        <f>IF(A14=BP14,+'Biyemas S.A.'!AT14+'Kandiko S.A'!AT14+'Rebisco S.A.'!AT14,"")</f>
        <v/>
      </c>
      <c r="AU14" s="58">
        <f>IFERROR('Biyemas S.A.'!AU14+'Kandiko S.A'!AU14+'Rebisco S.A.'!AU14,0)</f>
        <v>0</v>
      </c>
      <c r="AV14" s="37" t="str">
        <f t="shared" si="6"/>
        <v/>
      </c>
      <c r="AW14" s="38" t="str">
        <f t="shared" si="7"/>
        <v/>
      </c>
      <c r="AY14" s="180" t="str">
        <f>IF(A14=BP14,+'Biyemas S.A.'!AY14+'Kandiko S.A'!AY14+'Rebisco S.A.'!AY14,"")</f>
        <v/>
      </c>
      <c r="AZ14" s="252" t="str">
        <f t="shared" si="22"/>
        <v/>
      </c>
      <c r="BA14" s="255" t="str">
        <f>IF(A14=BP14,+'Biyemas S.A.'!BA14+'Kandiko S.A'!BA14+'Rebisco S.A.'!BA14,"")</f>
        <v/>
      </c>
      <c r="BB14" s="181" t="str">
        <f t="shared" si="23"/>
        <v/>
      </c>
      <c r="BC14" s="255" t="str">
        <f>IF(A14=BP14,+'Biyemas S.A.'!BC14+'Kandiko S.A'!BC14+'Rebisco S.A.'!BC14,"")</f>
        <v/>
      </c>
      <c r="BD14" s="181" t="str">
        <f t="shared" si="24"/>
        <v/>
      </c>
      <c r="BE14" s="29" t="str">
        <f>IF(A14="","",VLOOKUP(B14,'Datos Consolidados'!B16:BF53,53,0))</f>
        <v/>
      </c>
      <c r="BF14" s="28" t="str">
        <f>IF(A14="","",VLOOKUP(B14,'Datos Consolidados'!B16:BF53,54,0))</f>
        <v/>
      </c>
      <c r="BG14" s="28" t="str">
        <f>IF(A14="","",VLOOKUP(B14,'Datos Consolidados'!B16:BF53,55,0))</f>
        <v/>
      </c>
      <c r="BH14" s="28" t="str">
        <f>IF(A14="","",VLOOKUP(B14,'Datos Consolidados'!B16:BF53,51,0))</f>
        <v/>
      </c>
      <c r="BI14" s="28" t="str">
        <f>IF(A14="","",VLOOKUP(B14,'Datos Consolidados'!B16:BF53,52,0))</f>
        <v/>
      </c>
      <c r="BJ14" s="211" t="str">
        <f t="shared" si="25"/>
        <v/>
      </c>
      <c r="BK14" s="27" t="str">
        <f t="shared" si="26"/>
        <v/>
      </c>
      <c r="BL14" s="29" t="str">
        <f t="shared" si="27"/>
        <v/>
      </c>
      <c r="BM14" s="28" t="str">
        <f t="shared" si="8"/>
        <v/>
      </c>
      <c r="BN14" s="181" t="str">
        <f>+'Biyemas S.A.'!BN14</f>
        <v/>
      </c>
      <c r="BO14" s="59"/>
      <c r="BP14" s="39" t="str">
        <f>+'Biyemas S.A.'!BP14</f>
        <v xml:space="preserve">Sab/Sat    </v>
      </c>
    </row>
    <row r="15" spans="1:68" x14ac:dyDescent="0.2">
      <c r="A15" s="188" t="str">
        <f>IF(BP15='Datos Biyemas'!A17,'Datos Biyemas'!A17,"")</f>
        <v/>
      </c>
      <c r="B15" s="185" t="str">
        <f>IF(BP15=A15,'Datos Biyemas'!B17,"")</f>
        <v/>
      </c>
      <c r="C15" s="186" t="str">
        <f>IF(A15=BP15,+'Biyemas S.A.'!C15+'Kandiko S.A'!C15+'Rebisco S.A.'!C15,"")</f>
        <v/>
      </c>
      <c r="D15" s="32" t="str">
        <f>IF(A15=BP15,+'Biyemas S.A.'!D15+'Kandiko S.A'!D15+'Rebisco S.A.'!D15,"")</f>
        <v/>
      </c>
      <c r="E15" s="32" t="str">
        <f>IF(A15=BP15,+'Biyemas S.A.'!E15+'Kandiko S.A'!E15+'Rebisco S.A.'!E15,"")</f>
        <v/>
      </c>
      <c r="F15" s="32" t="str">
        <f>IF(A15=BP15,+'Biyemas S.A.'!F15+'Kandiko S.A'!F15+'Rebisco S.A.'!F15,"")</f>
        <v/>
      </c>
      <c r="G15" s="32" t="str">
        <f>IF(A15=BP15,+'Biyemas S.A.'!G15+'Kandiko S.A'!G15+'Rebisco S.A.'!G15,"")</f>
        <v/>
      </c>
      <c r="H15" s="33" t="str">
        <f t="shared" si="0"/>
        <v/>
      </c>
      <c r="I15" s="33" t="str">
        <f t="shared" si="9"/>
        <v/>
      </c>
      <c r="J15" s="34" t="str">
        <f t="shared" si="10"/>
        <v/>
      </c>
      <c r="K15" s="31" t="str">
        <f t="shared" si="11"/>
        <v/>
      </c>
      <c r="L15" s="37" t="str">
        <f>IF(A15=BP15,+'Biyemas S.A.'!L15+'Kandiko S.A'!L15+'Rebisco S.A.'!L15,"")</f>
        <v/>
      </c>
      <c r="M15" s="32" t="str">
        <f>IF(A15=BP15,+'Biyemas S.A.'!M15+'Kandiko S.A'!M15+'Rebisco S.A.'!M15,"")</f>
        <v/>
      </c>
      <c r="N15" s="32" t="str">
        <f>IF(A15=BP15,+'Biyemas S.A.'!N15+'Kandiko S.A'!N15+'Rebisco S.A.'!N15,"")</f>
        <v/>
      </c>
      <c r="O15" s="32" t="str">
        <f>IF(A15=BP15,+'Biyemas S.A.'!O15+'Kandiko S.A'!O15+'Rebisco S.A.'!O15,"")</f>
        <v/>
      </c>
      <c r="P15" s="33" t="str">
        <f t="shared" si="35"/>
        <v/>
      </c>
      <c r="Q15" s="33" t="str">
        <f t="shared" si="36"/>
        <v/>
      </c>
      <c r="R15" s="34" t="str">
        <f t="shared" si="37"/>
        <v/>
      </c>
      <c r="S15" s="31" t="str">
        <f t="shared" si="38"/>
        <v/>
      </c>
      <c r="T15" s="32" t="str">
        <f t="shared" si="28"/>
        <v/>
      </c>
      <c r="U15" s="35" t="str">
        <f t="shared" si="29"/>
        <v/>
      </c>
      <c r="V15" s="32" t="str">
        <f>IF(A15="","",VLOOKUP(B15,'Datos Biyemas'!B17:BB54,21,0))</f>
        <v/>
      </c>
      <c r="W15" s="32" t="str">
        <f>IF(A15="","",VLOOKUP(B15,'Datos Biyemas'!B17:BB54,22,0))</f>
        <v/>
      </c>
      <c r="X15" s="32" t="str">
        <f>IF(A15="","",VLOOKUP(B15,'Datos Biyemas'!B17:BB54,23,0))</f>
        <v/>
      </c>
      <c r="Y15" s="32" t="str">
        <f>IF(A15="","",VLOOKUP(B15,'Datos Biyemas'!B17:BB54,24,0))</f>
        <v/>
      </c>
      <c r="Z15" s="33" t="str">
        <f t="shared" si="30"/>
        <v/>
      </c>
      <c r="AA15" s="33" t="str">
        <f t="shared" si="31"/>
        <v/>
      </c>
      <c r="AB15" s="34" t="str">
        <f t="shared" si="32"/>
        <v/>
      </c>
      <c r="AC15" s="32" t="str">
        <f t="shared" si="33"/>
        <v/>
      </c>
      <c r="AD15" s="37" t="str">
        <f t="shared" si="3"/>
        <v/>
      </c>
      <c r="AE15" s="32" t="str">
        <f>IF(A15=BP15,+'Biyemas S.A.'!AE15+'Kandiko S.A'!AE15+'Rebisco S.A.'!AE15,"")</f>
        <v/>
      </c>
      <c r="AF15" s="31" t="str">
        <f t="shared" si="4"/>
        <v/>
      </c>
      <c r="AG15" s="32" t="str">
        <f>IF(A15=BP15,+'Biyemas S.A.'!AG15+'Kandiko S.A'!AG15+'Rebisco S.A.'!AG15,"")</f>
        <v/>
      </c>
      <c r="AH15" s="32" t="str">
        <f>IF(A15=BP15,+'Biyemas S.A.'!AH15+'Kandiko S.A'!AH15+'Rebisco S.A.'!AH15,"")</f>
        <v/>
      </c>
      <c r="AI15" s="32" t="str">
        <f>IF(A15=BP15,+'Biyemas S.A.'!AI15+'Kandiko S.A'!AI15+'Rebisco S.A.'!AI15,"")</f>
        <v/>
      </c>
      <c r="AJ15" s="34" t="str">
        <f t="shared" si="34"/>
        <v/>
      </c>
      <c r="AK15" s="35" t="str">
        <f t="shared" si="20"/>
        <v/>
      </c>
      <c r="AL15" s="37" t="str">
        <f>IF(A15=BP15,+'Biyemas S.A.'!AL15+'Kandiko S.A'!AL15+'Rebisco S.A.'!AL15,"")</f>
        <v/>
      </c>
      <c r="AM15" s="58" t="str">
        <f t="shared" si="5"/>
        <v/>
      </c>
      <c r="AN15" s="262" t="str">
        <f>IF(A15=BP15,+'Biyemas S.A.'!AN15+'Kandiko S.A'!AN15+'Rebisco S.A.'!AN15,"")</f>
        <v/>
      </c>
      <c r="AO15" s="32" t="str">
        <f>IF(A15=BP15,+'Biyemas S.A.'!AO15+'Kandiko S.A'!AO15+'Rebisco S.A.'!AO15,"")</f>
        <v/>
      </c>
      <c r="AP15" s="36" t="str">
        <f t="shared" si="21"/>
        <v/>
      </c>
      <c r="AQ15" s="58" t="str">
        <f>IF(A15=BP15,+'Biyemas S.A.'!AQ15+'Kandiko S.A'!AQ15+'Rebisco S.A.'!AQ15,"")</f>
        <v/>
      </c>
      <c r="AR15" s="58" t="str">
        <f>IF(A15=BP15,+'Biyemas S.A.'!AR15+'Kandiko S.A'!AR15+'Rebisco S.A.'!AR15,"")</f>
        <v/>
      </c>
      <c r="AS15" s="58" t="str">
        <f>IF(A15=BP15,+'Biyemas S.A.'!AS15+'Kandiko S.A'!AS15+'Rebisco S.A.'!AS15,"")</f>
        <v/>
      </c>
      <c r="AT15" s="58" t="str">
        <f>IF(A15=BP15,+'Biyemas S.A.'!AT15+'Kandiko S.A'!AT15+'Rebisco S.A.'!AT15,"")</f>
        <v/>
      </c>
      <c r="AU15" s="58">
        <f>IFERROR('Biyemas S.A.'!AU15+'Kandiko S.A'!AU15+'Rebisco S.A.'!AU15,0)</f>
        <v>0</v>
      </c>
      <c r="AV15" s="37" t="str">
        <f t="shared" si="6"/>
        <v/>
      </c>
      <c r="AW15" s="38" t="str">
        <f t="shared" si="7"/>
        <v/>
      </c>
      <c r="AY15" s="180" t="str">
        <f>IF(A15=BP15,+'Biyemas S.A.'!AY15+'Kandiko S.A'!AY15+'Rebisco S.A.'!AY15,"")</f>
        <v/>
      </c>
      <c r="AZ15" s="252" t="str">
        <f t="shared" si="22"/>
        <v/>
      </c>
      <c r="BA15" s="255" t="str">
        <f>IF(A15=BP15,+'Biyemas S.A.'!BA15+'Kandiko S.A'!BA15+'Rebisco S.A.'!BA15,"")</f>
        <v/>
      </c>
      <c r="BB15" s="181" t="str">
        <f t="shared" si="23"/>
        <v/>
      </c>
      <c r="BC15" s="255" t="str">
        <f>IF(A15=BP15,+'Biyemas S.A.'!BC15+'Kandiko S.A'!BC15+'Rebisco S.A.'!BC15,"")</f>
        <v/>
      </c>
      <c r="BD15" s="181" t="str">
        <f t="shared" si="24"/>
        <v/>
      </c>
      <c r="BE15" s="29" t="str">
        <f>IF(A15="","",VLOOKUP(B15,'Datos Consolidados'!B17:BF54,53,0))</f>
        <v/>
      </c>
      <c r="BF15" s="28" t="str">
        <f>IF(A15="","",VLOOKUP(B15,'Datos Consolidados'!B17:BF54,54,0))</f>
        <v/>
      </c>
      <c r="BG15" s="28" t="str">
        <f>IF(A15="","",VLOOKUP(B15,'Datos Consolidados'!B17:BF54,55,0))</f>
        <v/>
      </c>
      <c r="BH15" s="28" t="str">
        <f>IF(A15="","",VLOOKUP(B15,'Datos Consolidados'!B17:BF54,51,0))</f>
        <v/>
      </c>
      <c r="BI15" s="28" t="str">
        <f>IF(A15="","",VLOOKUP(B15,'Datos Consolidados'!B17:BF54,52,0))</f>
        <v/>
      </c>
      <c r="BJ15" s="211" t="str">
        <f t="shared" si="25"/>
        <v/>
      </c>
      <c r="BK15" s="27" t="str">
        <f t="shared" si="26"/>
        <v/>
      </c>
      <c r="BL15" s="29" t="str">
        <f t="shared" si="27"/>
        <v/>
      </c>
      <c r="BM15" s="28" t="str">
        <f t="shared" si="8"/>
        <v/>
      </c>
      <c r="BN15" s="181" t="str">
        <f>+'Biyemas S.A.'!BN15</f>
        <v/>
      </c>
      <c r="BO15" s="59"/>
      <c r="BP15" s="39" t="str">
        <f>+'Biyemas S.A.'!BP15</f>
        <v xml:space="preserve">Dom/Sun    </v>
      </c>
    </row>
    <row r="16" spans="1:68" s="30" customFormat="1" ht="11.25" customHeight="1" x14ac:dyDescent="0.2">
      <c r="A16" s="188" t="str">
        <f>IF(BP16='Datos Biyemas'!A18,'Datos Biyemas'!A18,"")</f>
        <v/>
      </c>
      <c r="B16" s="185" t="str">
        <f>IF(BP16=A16,'Datos Biyemas'!B18,"")</f>
        <v/>
      </c>
      <c r="C16" s="186" t="str">
        <f>IF(A16=BP16,+'Biyemas S.A.'!C16+'Kandiko S.A'!C16+'Rebisco S.A.'!C16,"")</f>
        <v/>
      </c>
      <c r="D16" s="32" t="str">
        <f>IF(A16=BP16,+'Biyemas S.A.'!D16+'Kandiko S.A'!D16+'Rebisco S.A.'!D16,"")</f>
        <v/>
      </c>
      <c r="E16" s="32" t="str">
        <f>IF(A16=BP16,+'Biyemas S.A.'!E16+'Kandiko S.A'!E16+'Rebisco S.A.'!E16,"")</f>
        <v/>
      </c>
      <c r="F16" s="32" t="str">
        <f>IF(A16=BP16,+'Biyemas S.A.'!F16+'Kandiko S.A'!F16+'Rebisco S.A.'!F16,"")</f>
        <v/>
      </c>
      <c r="G16" s="32" t="str">
        <f>IF(A16=BP16,+'Biyemas S.A.'!G16+'Kandiko S.A'!G16+'Rebisco S.A.'!G16,"")</f>
        <v/>
      </c>
      <c r="H16" s="33" t="str">
        <f t="shared" si="0"/>
        <v/>
      </c>
      <c r="I16" s="33" t="str">
        <f t="shared" si="9"/>
        <v/>
      </c>
      <c r="J16" s="34" t="str">
        <f t="shared" si="10"/>
        <v/>
      </c>
      <c r="K16" s="31" t="str">
        <f t="shared" si="11"/>
        <v/>
      </c>
      <c r="L16" s="37" t="str">
        <f>IF(A16=BP16,+'Biyemas S.A.'!L16+'Kandiko S.A'!L16+'Rebisco S.A.'!L16,"")</f>
        <v/>
      </c>
      <c r="M16" s="32" t="str">
        <f>IF(A16=BP16,+'Biyemas S.A.'!M16+'Kandiko S.A'!M16+'Rebisco S.A.'!M16,"")</f>
        <v/>
      </c>
      <c r="N16" s="32" t="str">
        <f>IF(A16=BP16,+'Biyemas S.A.'!N16+'Kandiko S.A'!N16+'Rebisco S.A.'!N16,"")</f>
        <v/>
      </c>
      <c r="O16" s="32" t="str">
        <f>IF(A16=BP16,+'Biyemas S.A.'!O16+'Kandiko S.A'!O16+'Rebisco S.A.'!O16,"")</f>
        <v/>
      </c>
      <c r="P16" s="33" t="str">
        <f t="shared" si="35"/>
        <v/>
      </c>
      <c r="Q16" s="33" t="str">
        <f t="shared" si="36"/>
        <v/>
      </c>
      <c r="R16" s="34" t="str">
        <f t="shared" si="37"/>
        <v/>
      </c>
      <c r="S16" s="31" t="str">
        <f t="shared" si="38"/>
        <v/>
      </c>
      <c r="T16" s="32" t="str">
        <f t="shared" si="28"/>
        <v/>
      </c>
      <c r="U16" s="35" t="str">
        <f t="shared" si="29"/>
        <v/>
      </c>
      <c r="V16" s="32" t="str">
        <f>IF(A16="","",VLOOKUP(B16,'Datos Biyemas'!B18:BB55,21,0))</f>
        <v/>
      </c>
      <c r="W16" s="32" t="str">
        <f>IF(A16="","",VLOOKUP(B16,'Datos Biyemas'!B18:BB55,22,0))</f>
        <v/>
      </c>
      <c r="X16" s="32" t="str">
        <f>IF(A16="","",VLOOKUP(B16,'Datos Biyemas'!B18:BB55,23,0))</f>
        <v/>
      </c>
      <c r="Y16" s="32" t="str">
        <f>IF(A16="","",VLOOKUP(B16,'Datos Biyemas'!B18:BB55,24,0))</f>
        <v/>
      </c>
      <c r="Z16" s="33" t="str">
        <f t="shared" si="30"/>
        <v/>
      </c>
      <c r="AA16" s="33" t="str">
        <f t="shared" si="31"/>
        <v/>
      </c>
      <c r="AB16" s="34" t="str">
        <f t="shared" si="32"/>
        <v/>
      </c>
      <c r="AC16" s="32" t="str">
        <f t="shared" si="33"/>
        <v/>
      </c>
      <c r="AD16" s="37" t="str">
        <f t="shared" si="3"/>
        <v/>
      </c>
      <c r="AE16" s="32" t="str">
        <f>IF(A16=BP16,+'Biyemas S.A.'!AE16+'Kandiko S.A'!AE16+'Rebisco S.A.'!AE16,"")</f>
        <v/>
      </c>
      <c r="AF16" s="31" t="str">
        <f t="shared" si="4"/>
        <v/>
      </c>
      <c r="AG16" s="32" t="str">
        <f>IF(A16=BP16,+'Biyemas S.A.'!AG16+'Kandiko S.A'!AG16+'Rebisco S.A.'!AG16,"")</f>
        <v/>
      </c>
      <c r="AH16" s="32" t="str">
        <f>IF(A16=BP16,+'Biyemas S.A.'!AH16+'Kandiko S.A'!AH16+'Rebisco S.A.'!AH16,"")</f>
        <v/>
      </c>
      <c r="AI16" s="32" t="str">
        <f>IF(A16=BP16,+'Biyemas S.A.'!AI16+'Kandiko S.A'!AI16+'Rebisco S.A.'!AI16,"")</f>
        <v/>
      </c>
      <c r="AJ16" s="34" t="str">
        <f t="shared" si="34"/>
        <v/>
      </c>
      <c r="AK16" s="35" t="str">
        <f t="shared" si="20"/>
        <v/>
      </c>
      <c r="AL16" s="37" t="str">
        <f>IF(A16=BP16,+'Biyemas S.A.'!AL16+'Kandiko S.A'!AL16+'Rebisco S.A.'!AL16,"")</f>
        <v/>
      </c>
      <c r="AM16" s="58" t="str">
        <f t="shared" si="5"/>
        <v/>
      </c>
      <c r="AN16" s="262" t="str">
        <f>IF(A16=BP16,+'Biyemas S.A.'!AN16+'Kandiko S.A'!AN16+'Rebisco S.A.'!AN16,"")</f>
        <v/>
      </c>
      <c r="AO16" s="32" t="str">
        <f>IF(A16=BP16,+'Biyemas S.A.'!AO16+'Kandiko S.A'!AO16+'Rebisco S.A.'!AO16,"")</f>
        <v/>
      </c>
      <c r="AP16" s="36" t="str">
        <f t="shared" si="21"/>
        <v/>
      </c>
      <c r="AQ16" s="58" t="str">
        <f>IF(A16=BP16,+'Biyemas S.A.'!AQ16+'Kandiko S.A'!AQ16+'Rebisco S.A.'!AQ16,"")</f>
        <v/>
      </c>
      <c r="AR16" s="58" t="str">
        <f>IF(A16=BP16,+'Biyemas S.A.'!AR16+'Kandiko S.A'!AR16+'Rebisco S.A.'!AR16,"")</f>
        <v/>
      </c>
      <c r="AS16" s="58" t="str">
        <f>IF(A16=BP16,+'Biyemas S.A.'!AS16+'Kandiko S.A'!AS16+'Rebisco S.A.'!AS16,"")</f>
        <v/>
      </c>
      <c r="AT16" s="58" t="str">
        <f>IF(A16=BP16,+'Biyemas S.A.'!AT16+'Kandiko S.A'!AT16+'Rebisco S.A.'!AT16,"")</f>
        <v/>
      </c>
      <c r="AU16" s="58">
        <f>IFERROR('Biyemas S.A.'!AU16+'Kandiko S.A'!AU16+'Rebisco S.A.'!AU16,0)</f>
        <v>0</v>
      </c>
      <c r="AV16" s="37" t="str">
        <f t="shared" si="6"/>
        <v/>
      </c>
      <c r="AW16" s="38" t="str">
        <f t="shared" si="7"/>
        <v/>
      </c>
      <c r="AY16" s="180" t="str">
        <f>IF(A16=BP16,+'Biyemas S.A.'!AY16+'Kandiko S.A'!AY16+'Rebisco S.A.'!AY16,"")</f>
        <v/>
      </c>
      <c r="AZ16" s="252" t="str">
        <f t="shared" si="22"/>
        <v/>
      </c>
      <c r="BA16" s="255" t="str">
        <f>IF(A16=BP16,+'Biyemas S.A.'!BA16+'Kandiko S.A'!BA16+'Rebisco S.A.'!BA16,"")</f>
        <v/>
      </c>
      <c r="BB16" s="181" t="str">
        <f t="shared" si="23"/>
        <v/>
      </c>
      <c r="BC16" s="255" t="str">
        <f>IF(A16=BP16,+'Biyemas S.A.'!BC16+'Kandiko S.A'!BC16+'Rebisco S.A.'!BC16,"")</f>
        <v/>
      </c>
      <c r="BD16" s="181" t="str">
        <f t="shared" si="24"/>
        <v/>
      </c>
      <c r="BE16" s="29" t="str">
        <f>IF(A16="","",VLOOKUP(B16,'Datos Consolidados'!B18:BF55,53,0))</f>
        <v/>
      </c>
      <c r="BF16" s="28" t="str">
        <f>IF(A16="","",VLOOKUP(B16,'Datos Consolidados'!B18:BF55,54,0))</f>
        <v/>
      </c>
      <c r="BG16" s="28" t="str">
        <f>IF(A16="","",VLOOKUP(B16,'Datos Consolidados'!B18:BF55,55,0))</f>
        <v/>
      </c>
      <c r="BH16" s="28" t="str">
        <f>IF(A16="","",VLOOKUP(B16,'Datos Consolidados'!B18:BF55,51,0))</f>
        <v/>
      </c>
      <c r="BI16" s="28" t="str">
        <f>IF(A16="","",VLOOKUP(B16,'Datos Consolidados'!B18:BF55,52,0))</f>
        <v/>
      </c>
      <c r="BJ16" s="211" t="str">
        <f t="shared" si="25"/>
        <v/>
      </c>
      <c r="BK16" s="27" t="str">
        <f t="shared" si="26"/>
        <v/>
      </c>
      <c r="BL16" s="29" t="str">
        <f t="shared" si="27"/>
        <v/>
      </c>
      <c r="BM16" s="28" t="str">
        <f t="shared" si="8"/>
        <v/>
      </c>
      <c r="BN16" s="181" t="str">
        <f>+'Biyemas S.A.'!BN16</f>
        <v/>
      </c>
      <c r="BO16" s="59"/>
      <c r="BP16" s="39" t="str">
        <f>+'Biyemas S.A.'!BP16</f>
        <v xml:space="preserve">Lun/Mon    </v>
      </c>
    </row>
    <row r="17" spans="1:68" s="30" customFormat="1" ht="11.25" customHeight="1" x14ac:dyDescent="0.2">
      <c r="A17" s="188" t="str">
        <f>IF(BP17='Datos Biyemas'!A19,'Datos Biyemas'!A19,"")</f>
        <v/>
      </c>
      <c r="B17" s="185" t="str">
        <f>IF(BP17=A17,'Datos Biyemas'!B19,"")</f>
        <v/>
      </c>
      <c r="C17" s="186" t="str">
        <f>IF(A17=BP17,+'Biyemas S.A.'!C17+'Kandiko S.A'!C17+'Rebisco S.A.'!C17,"")</f>
        <v/>
      </c>
      <c r="D17" s="32" t="str">
        <f>IF(A17=BP17,+'Biyemas S.A.'!D17+'Kandiko S.A'!D17+'Rebisco S.A.'!D17,"")</f>
        <v/>
      </c>
      <c r="E17" s="32" t="str">
        <f>IF(A17=BP17,+'Biyemas S.A.'!E17+'Kandiko S.A'!E17+'Rebisco S.A.'!E17,"")</f>
        <v/>
      </c>
      <c r="F17" s="32" t="str">
        <f>IF(A17=BP17,+'Biyemas S.A.'!F17+'Kandiko S.A'!F17+'Rebisco S.A.'!F17,"")</f>
        <v/>
      </c>
      <c r="G17" s="32" t="str">
        <f>IF(A17=BP17,+'Biyemas S.A.'!G17+'Kandiko S.A'!G17+'Rebisco S.A.'!G17,"")</f>
        <v/>
      </c>
      <c r="H17" s="33" t="str">
        <f t="shared" si="0"/>
        <v/>
      </c>
      <c r="I17" s="33" t="str">
        <f t="shared" si="9"/>
        <v/>
      </c>
      <c r="J17" s="34" t="str">
        <f t="shared" si="10"/>
        <v/>
      </c>
      <c r="K17" s="31" t="str">
        <f t="shared" si="11"/>
        <v/>
      </c>
      <c r="L17" s="37" t="str">
        <f>IF(A17=BP17,+'Biyemas S.A.'!L17+'Kandiko S.A'!L17+'Rebisco S.A.'!L17,"")</f>
        <v/>
      </c>
      <c r="M17" s="32" t="str">
        <f>IF(A17=BP17,+'Biyemas S.A.'!M17+'Kandiko S.A'!M17+'Rebisco S.A.'!M17,"")</f>
        <v/>
      </c>
      <c r="N17" s="32" t="str">
        <f>IF(A17=BP17,+'Biyemas S.A.'!N17+'Kandiko S.A'!N17+'Rebisco S.A.'!N17,"")</f>
        <v/>
      </c>
      <c r="O17" s="32" t="str">
        <f>IF(A17=BP17,+'Biyemas S.A.'!O17+'Kandiko S.A'!O17+'Rebisco S.A.'!O17,"")</f>
        <v/>
      </c>
      <c r="P17" s="33" t="str">
        <f t="shared" si="35"/>
        <v/>
      </c>
      <c r="Q17" s="33" t="str">
        <f t="shared" si="36"/>
        <v/>
      </c>
      <c r="R17" s="34" t="str">
        <f t="shared" si="37"/>
        <v/>
      </c>
      <c r="S17" s="31" t="str">
        <f t="shared" si="38"/>
        <v/>
      </c>
      <c r="T17" s="32" t="str">
        <f t="shared" si="28"/>
        <v/>
      </c>
      <c r="U17" s="35" t="str">
        <f t="shared" si="29"/>
        <v/>
      </c>
      <c r="V17" s="32" t="str">
        <f>IF(A17="","",VLOOKUP(B17,'Datos Biyemas'!B19:BB56,21,0))</f>
        <v/>
      </c>
      <c r="W17" s="32" t="str">
        <f>IF(A17="","",VLOOKUP(B17,'Datos Biyemas'!B19:BB56,22,0))</f>
        <v/>
      </c>
      <c r="X17" s="32" t="str">
        <f>IF(A17="","",VLOOKUP(B17,'Datos Biyemas'!B19:BB56,23,0))</f>
        <v/>
      </c>
      <c r="Y17" s="32" t="str">
        <f>IF(A17="","",VLOOKUP(B17,'Datos Biyemas'!B19:BB56,24,0))</f>
        <v/>
      </c>
      <c r="Z17" s="33" t="str">
        <f t="shared" si="30"/>
        <v/>
      </c>
      <c r="AA17" s="33" t="str">
        <f t="shared" si="31"/>
        <v/>
      </c>
      <c r="AB17" s="34" t="str">
        <f t="shared" si="32"/>
        <v/>
      </c>
      <c r="AC17" s="32" t="str">
        <f t="shared" si="33"/>
        <v/>
      </c>
      <c r="AD17" s="37" t="str">
        <f t="shared" si="3"/>
        <v/>
      </c>
      <c r="AE17" s="32" t="str">
        <f>IF(A17=BP17,+'Biyemas S.A.'!AE17+'Kandiko S.A'!AE17+'Rebisco S.A.'!AE17,"")</f>
        <v/>
      </c>
      <c r="AF17" s="31" t="str">
        <f t="shared" si="4"/>
        <v/>
      </c>
      <c r="AG17" s="32" t="str">
        <f>IF(A17=BP17,+'Biyemas S.A.'!AG17+'Kandiko S.A'!AG17+'Rebisco S.A.'!AG17,"")</f>
        <v/>
      </c>
      <c r="AH17" s="32" t="str">
        <f>IF(A17=BP17,+'Biyemas S.A.'!AH17+'Kandiko S.A'!AH17+'Rebisco S.A.'!AH17,"")</f>
        <v/>
      </c>
      <c r="AI17" s="32" t="str">
        <f>IF(A17=BP17,+'Biyemas S.A.'!AI17+'Kandiko S.A'!AI17+'Rebisco S.A.'!AI17,"")</f>
        <v/>
      </c>
      <c r="AJ17" s="34" t="str">
        <f t="shared" si="34"/>
        <v/>
      </c>
      <c r="AK17" s="35" t="str">
        <f t="shared" si="20"/>
        <v/>
      </c>
      <c r="AL17" s="37" t="str">
        <f>IF(A17=BP17,+'Biyemas S.A.'!AL17+'Kandiko S.A'!AL17+'Rebisco S.A.'!AL17,"")</f>
        <v/>
      </c>
      <c r="AM17" s="58" t="str">
        <f t="shared" si="5"/>
        <v/>
      </c>
      <c r="AN17" s="262" t="str">
        <f>IF(A17=BP17,+'Biyemas S.A.'!AN17+'Kandiko S.A'!AN17+'Rebisco S.A.'!AN17,"")</f>
        <v/>
      </c>
      <c r="AO17" s="32" t="str">
        <f>IF(A17=BP17,+'Biyemas S.A.'!AO17+'Kandiko S.A'!AO17+'Rebisco S.A.'!AO17,"")</f>
        <v/>
      </c>
      <c r="AP17" s="36" t="str">
        <f t="shared" si="21"/>
        <v/>
      </c>
      <c r="AQ17" s="58" t="str">
        <f>IF(A17=BP17,+'Biyemas S.A.'!AQ17+'Kandiko S.A'!AQ17+'Rebisco S.A.'!AQ17,"")</f>
        <v/>
      </c>
      <c r="AR17" s="58" t="str">
        <f>IF(A17=BP17,+'Biyemas S.A.'!AR17+'Kandiko S.A'!AR17+'Rebisco S.A.'!AR17,"")</f>
        <v/>
      </c>
      <c r="AS17" s="58" t="str">
        <f>IF(A17=BP17,+'Biyemas S.A.'!AS17+'Kandiko S.A'!AS17+'Rebisco S.A.'!AS17,"")</f>
        <v/>
      </c>
      <c r="AT17" s="58" t="str">
        <f>IF(A17=BP17,+'Biyemas S.A.'!AT17+'Kandiko S.A'!AT17+'Rebisco S.A.'!AT17,"")</f>
        <v/>
      </c>
      <c r="AU17" s="58">
        <f>IFERROR('Biyemas S.A.'!AU17+'Kandiko S.A'!AU17+'Rebisco S.A.'!AU17,0)</f>
        <v>0</v>
      </c>
      <c r="AV17" s="37" t="str">
        <f t="shared" si="6"/>
        <v/>
      </c>
      <c r="AW17" s="38" t="str">
        <f t="shared" si="7"/>
        <v/>
      </c>
      <c r="AY17" s="180" t="str">
        <f>IF(A17=BP17,+'Biyemas S.A.'!AY17+'Kandiko S.A'!AY17+'Rebisco S.A.'!AY17,"")</f>
        <v/>
      </c>
      <c r="AZ17" s="252" t="str">
        <f t="shared" si="22"/>
        <v/>
      </c>
      <c r="BA17" s="255" t="str">
        <f>IF(A17=BP17,+'Biyemas S.A.'!BA17+'Kandiko S.A'!BA17+'Rebisco S.A.'!BA17,"")</f>
        <v/>
      </c>
      <c r="BB17" s="181" t="str">
        <f t="shared" si="23"/>
        <v/>
      </c>
      <c r="BC17" s="255" t="str">
        <f>IF(A17=BP17,+'Biyemas S.A.'!BC17+'Kandiko S.A'!BC17+'Rebisco S.A.'!BC17,"")</f>
        <v/>
      </c>
      <c r="BD17" s="181" t="str">
        <f t="shared" si="24"/>
        <v/>
      </c>
      <c r="BE17" s="29" t="str">
        <f>IF(A17="","",VLOOKUP(B17,'Datos Consolidados'!B19:BF56,53,0))</f>
        <v/>
      </c>
      <c r="BF17" s="28" t="str">
        <f>IF(A17="","",VLOOKUP(B17,'Datos Consolidados'!B19:BF56,54,0))</f>
        <v/>
      </c>
      <c r="BG17" s="28" t="str">
        <f>IF(A17="","",VLOOKUP(B17,'Datos Consolidados'!B19:BF56,55,0))</f>
        <v/>
      </c>
      <c r="BH17" s="28" t="str">
        <f>IF(A17="","",VLOOKUP(B17,'Datos Consolidados'!B19:BF56,51,0))</f>
        <v/>
      </c>
      <c r="BI17" s="28" t="str">
        <f>IF(A17="","",VLOOKUP(B17,'Datos Consolidados'!B19:BF56,52,0))</f>
        <v/>
      </c>
      <c r="BJ17" s="211" t="str">
        <f t="shared" si="25"/>
        <v/>
      </c>
      <c r="BK17" s="27" t="str">
        <f t="shared" si="26"/>
        <v/>
      </c>
      <c r="BL17" s="29" t="str">
        <f t="shared" si="27"/>
        <v/>
      </c>
      <c r="BM17" s="28" t="str">
        <f t="shared" si="8"/>
        <v/>
      </c>
      <c r="BN17" s="181" t="str">
        <f>+'Biyemas S.A.'!BN17</f>
        <v/>
      </c>
      <c r="BO17" s="59"/>
      <c r="BP17" s="39" t="str">
        <f>+'Biyemas S.A.'!BP17</f>
        <v xml:space="preserve">Mar/Tue    </v>
      </c>
    </row>
    <row r="18" spans="1:68" s="30" customFormat="1" x14ac:dyDescent="0.2">
      <c r="A18" s="188" t="str">
        <f>IF(BP18='Datos Biyemas'!A20,'Datos Biyemas'!A20,"")</f>
        <v/>
      </c>
      <c r="B18" s="185" t="str">
        <f>IF(BP18=A18,'Datos Biyemas'!B20,"")</f>
        <v/>
      </c>
      <c r="C18" s="186" t="str">
        <f>IF(A18=BP18,+'Biyemas S.A.'!C18+'Kandiko S.A'!C18+'Rebisco S.A.'!C18,"")</f>
        <v/>
      </c>
      <c r="D18" s="32" t="str">
        <f>IF(A18=BP18,+'Biyemas S.A.'!D18+'Kandiko S.A'!D18+'Rebisco S.A.'!D18,"")</f>
        <v/>
      </c>
      <c r="E18" s="32" t="str">
        <f>IF(A18=BP18,+'Biyemas S.A.'!E18+'Kandiko S.A'!E18+'Rebisco S.A.'!E18,"")</f>
        <v/>
      </c>
      <c r="F18" s="32" t="str">
        <f>IF(A18=BP18,+'Biyemas S.A.'!F18+'Kandiko S.A'!F18+'Rebisco S.A.'!F18,"")</f>
        <v/>
      </c>
      <c r="G18" s="32" t="str">
        <f>IF(A18=BP18,+'Biyemas S.A.'!G18+'Kandiko S.A'!G18+'Rebisco S.A.'!G18,"")</f>
        <v/>
      </c>
      <c r="H18" s="33" t="str">
        <f t="shared" si="0"/>
        <v/>
      </c>
      <c r="I18" s="33" t="str">
        <f t="shared" si="9"/>
        <v/>
      </c>
      <c r="J18" s="34" t="str">
        <f t="shared" si="10"/>
        <v/>
      </c>
      <c r="K18" s="31" t="str">
        <f t="shared" si="11"/>
        <v/>
      </c>
      <c r="L18" s="37" t="str">
        <f>IF(A18=BP18,+'Biyemas S.A.'!L18+'Kandiko S.A'!L18+'Rebisco S.A.'!L18,"")</f>
        <v/>
      </c>
      <c r="M18" s="32" t="str">
        <f>IF(A18=BP18,+'Biyemas S.A.'!M18+'Kandiko S.A'!M18+'Rebisco S.A.'!M18,"")</f>
        <v/>
      </c>
      <c r="N18" s="32" t="str">
        <f>IF(A18=BP18,+'Biyemas S.A.'!N18+'Kandiko S.A'!N18+'Rebisco S.A.'!N18,"")</f>
        <v/>
      </c>
      <c r="O18" s="32" t="str">
        <f>IF(A18=BP18,+'Biyemas S.A.'!O18+'Kandiko S.A'!O18+'Rebisco S.A.'!O18,"")</f>
        <v/>
      </c>
      <c r="P18" s="33" t="str">
        <f t="shared" si="35"/>
        <v/>
      </c>
      <c r="Q18" s="33" t="str">
        <f t="shared" si="36"/>
        <v/>
      </c>
      <c r="R18" s="34" t="str">
        <f t="shared" si="37"/>
        <v/>
      </c>
      <c r="S18" s="31" t="str">
        <f t="shared" si="38"/>
        <v/>
      </c>
      <c r="T18" s="32" t="str">
        <f t="shared" si="28"/>
        <v/>
      </c>
      <c r="U18" s="35" t="str">
        <f t="shared" si="29"/>
        <v/>
      </c>
      <c r="V18" s="32" t="str">
        <f>IF(A18="","",VLOOKUP(B18,'Datos Biyemas'!B20:BB57,21,0))</f>
        <v/>
      </c>
      <c r="W18" s="32" t="str">
        <f>IF(A18="","",VLOOKUP(B18,'Datos Biyemas'!B20:BB57,22,0))</f>
        <v/>
      </c>
      <c r="X18" s="32" t="str">
        <f>IF(A18="","",VLOOKUP(B18,'Datos Biyemas'!B20:BB57,23,0))</f>
        <v/>
      </c>
      <c r="Y18" s="32" t="str">
        <f>IF(A18="","",VLOOKUP(B18,'Datos Biyemas'!B20:BB57,24,0))</f>
        <v/>
      </c>
      <c r="Z18" s="33" t="str">
        <f t="shared" si="30"/>
        <v/>
      </c>
      <c r="AA18" s="33" t="str">
        <f t="shared" si="31"/>
        <v/>
      </c>
      <c r="AB18" s="34" t="str">
        <f t="shared" si="32"/>
        <v/>
      </c>
      <c r="AC18" s="32" t="str">
        <f t="shared" si="33"/>
        <v/>
      </c>
      <c r="AD18" s="37" t="str">
        <f t="shared" si="3"/>
        <v/>
      </c>
      <c r="AE18" s="32" t="str">
        <f>IF(A18=BP18,+'Biyemas S.A.'!AE18+'Kandiko S.A'!AE18+'Rebisco S.A.'!AE18,"")</f>
        <v/>
      </c>
      <c r="AF18" s="31" t="str">
        <f t="shared" si="4"/>
        <v/>
      </c>
      <c r="AG18" s="32" t="str">
        <f>IF(A18=BP18,+'Biyemas S.A.'!AG18+'Kandiko S.A'!AG18+'Rebisco S.A.'!AG18,"")</f>
        <v/>
      </c>
      <c r="AH18" s="32" t="str">
        <f>IF(A18=BP18,+'Biyemas S.A.'!AH18+'Kandiko S.A'!AH18+'Rebisco S.A.'!AH18,"")</f>
        <v/>
      </c>
      <c r="AI18" s="32" t="str">
        <f>IF(A18=BP18,+'Biyemas S.A.'!AI18+'Kandiko S.A'!AI18+'Rebisco S.A.'!AI18,"")</f>
        <v/>
      </c>
      <c r="AJ18" s="34" t="str">
        <f t="shared" si="34"/>
        <v/>
      </c>
      <c r="AK18" s="35" t="str">
        <f t="shared" si="20"/>
        <v/>
      </c>
      <c r="AL18" s="37" t="str">
        <f>IF(A18=BP18,+'Biyemas S.A.'!AL18+'Kandiko S.A'!AL18+'Rebisco S.A.'!AL18,"")</f>
        <v/>
      </c>
      <c r="AM18" s="58" t="str">
        <f t="shared" si="5"/>
        <v/>
      </c>
      <c r="AN18" s="262" t="str">
        <f>IF(A18=BP18,+'Biyemas S.A.'!AN18+'Kandiko S.A'!AN18+'Rebisco S.A.'!AN18,"")</f>
        <v/>
      </c>
      <c r="AO18" s="32" t="str">
        <f>IF(A18=BP18,+'Biyemas S.A.'!AO18+'Kandiko S.A'!AO18+'Rebisco S.A.'!AO18,"")</f>
        <v/>
      </c>
      <c r="AP18" s="36" t="str">
        <f t="shared" si="21"/>
        <v/>
      </c>
      <c r="AQ18" s="58" t="str">
        <f>IF(A18=BP18,+'Biyemas S.A.'!AQ18+'Kandiko S.A'!AQ18+'Rebisco S.A.'!AQ18,"")</f>
        <v/>
      </c>
      <c r="AR18" s="58" t="str">
        <f>IF(A18=BP18,+'Biyemas S.A.'!AR18+'Kandiko S.A'!AR18+'Rebisco S.A.'!AR18,"")</f>
        <v/>
      </c>
      <c r="AS18" s="58" t="str">
        <f>IF(A18=BP18,+'Biyemas S.A.'!AS18+'Kandiko S.A'!AS18+'Rebisco S.A.'!AS18,"")</f>
        <v/>
      </c>
      <c r="AT18" s="58" t="str">
        <f>IF(A18=BP18,+'Biyemas S.A.'!AT18+'Kandiko S.A'!AT18+'Rebisco S.A.'!AT18,"")</f>
        <v/>
      </c>
      <c r="AU18" s="58">
        <f>IFERROR('Biyemas S.A.'!AU18+'Kandiko S.A'!AU18+'Rebisco S.A.'!AU18,0)</f>
        <v>0</v>
      </c>
      <c r="AV18" s="37" t="str">
        <f t="shared" si="6"/>
        <v/>
      </c>
      <c r="AW18" s="38" t="str">
        <f t="shared" si="7"/>
        <v/>
      </c>
      <c r="AY18" s="180" t="str">
        <f>IF(A18=BP18,+'Biyemas S.A.'!AY18+'Kandiko S.A'!AY18+'Rebisco S.A.'!AY18,"")</f>
        <v/>
      </c>
      <c r="AZ18" s="252" t="str">
        <f t="shared" si="22"/>
        <v/>
      </c>
      <c r="BA18" s="255" t="str">
        <f>IF(A18=BP18,+'Biyemas S.A.'!BA18+'Kandiko S.A'!BA18+'Rebisco S.A.'!BA18,"")</f>
        <v/>
      </c>
      <c r="BB18" s="181" t="str">
        <f t="shared" si="23"/>
        <v/>
      </c>
      <c r="BC18" s="255" t="str">
        <f>IF(A18=BP18,+'Biyemas S.A.'!BC18+'Kandiko S.A'!BC18+'Rebisco S.A.'!BC18,"")</f>
        <v/>
      </c>
      <c r="BD18" s="181" t="str">
        <f t="shared" si="24"/>
        <v/>
      </c>
      <c r="BE18" s="29" t="str">
        <f>IF(A18="","",VLOOKUP(B18,'Datos Consolidados'!B20:BF57,53,0))</f>
        <v/>
      </c>
      <c r="BF18" s="28" t="str">
        <f>IF(A18="","",VLOOKUP(B18,'Datos Consolidados'!B20:BF57,54,0))</f>
        <v/>
      </c>
      <c r="BG18" s="28" t="str">
        <f>IF(A18="","",VLOOKUP(B18,'Datos Consolidados'!B20:BF57,55,0))</f>
        <v/>
      </c>
      <c r="BH18" s="28" t="str">
        <f>IF(A18="","",VLOOKUP(B18,'Datos Consolidados'!B20:BF57,51,0))</f>
        <v/>
      </c>
      <c r="BI18" s="28" t="str">
        <f>IF(A18="","",VLOOKUP(B18,'Datos Consolidados'!B20:BF57,52,0))</f>
        <v/>
      </c>
      <c r="BJ18" s="211" t="str">
        <f t="shared" si="25"/>
        <v/>
      </c>
      <c r="BK18" s="27" t="str">
        <f t="shared" si="26"/>
        <v/>
      </c>
      <c r="BL18" s="29" t="str">
        <f t="shared" si="27"/>
        <v/>
      </c>
      <c r="BM18" s="28" t="str">
        <f t="shared" si="8"/>
        <v/>
      </c>
      <c r="BN18" s="181" t="str">
        <f>+'Biyemas S.A.'!BN18</f>
        <v/>
      </c>
      <c r="BO18" s="59"/>
      <c r="BP18" s="39" t="str">
        <f>+'Biyemas S.A.'!BP18</f>
        <v xml:space="preserve">Mie/Wed    </v>
      </c>
    </row>
    <row r="19" spans="1:68" ht="11.25" customHeight="1" x14ac:dyDescent="0.2">
      <c r="A19" s="188" t="str">
        <f>IF(BP19='Datos Biyemas'!A21,'Datos Biyemas'!A21,"")</f>
        <v/>
      </c>
      <c r="B19" s="185" t="str">
        <f>IF(BP19=A19,'Datos Biyemas'!B21,"")</f>
        <v/>
      </c>
      <c r="C19" s="186" t="str">
        <f>IF(A19=BP19,+'Biyemas S.A.'!C19+'Kandiko S.A'!C19+'Rebisco S.A.'!C19,"")</f>
        <v/>
      </c>
      <c r="D19" s="32" t="str">
        <f>IF(A19=BP19,+'Biyemas S.A.'!D19+'Kandiko S.A'!D19+'Rebisco S.A.'!D19,"")</f>
        <v/>
      </c>
      <c r="E19" s="32" t="str">
        <f>IF(A19=BP19,+'Biyemas S.A.'!E19+'Kandiko S.A'!E19+'Rebisco S.A.'!E19,"")</f>
        <v/>
      </c>
      <c r="F19" s="32" t="str">
        <f>IF(A19=BP19,+'Biyemas S.A.'!F19+'Kandiko S.A'!F19+'Rebisco S.A.'!F19,"")</f>
        <v/>
      </c>
      <c r="G19" s="32" t="str">
        <f>IF(A19=BP19,+'Biyemas S.A.'!G19+'Kandiko S.A'!G19+'Rebisco S.A.'!G19,"")</f>
        <v/>
      </c>
      <c r="H19" s="33" t="str">
        <f t="shared" si="0"/>
        <v/>
      </c>
      <c r="I19" s="33" t="str">
        <f t="shared" si="9"/>
        <v/>
      </c>
      <c r="J19" s="34" t="str">
        <f t="shared" si="10"/>
        <v/>
      </c>
      <c r="K19" s="31" t="str">
        <f t="shared" si="11"/>
        <v/>
      </c>
      <c r="L19" s="37" t="str">
        <f>IF(A19=BP19,+'Biyemas S.A.'!L19+'Kandiko S.A'!L19+'Rebisco S.A.'!L19,"")</f>
        <v/>
      </c>
      <c r="M19" s="32" t="str">
        <f>IF(A19=BP19,+'Biyemas S.A.'!M19+'Kandiko S.A'!M19+'Rebisco S.A.'!M19,"")</f>
        <v/>
      </c>
      <c r="N19" s="32" t="str">
        <f>IF(A19=BP19,+'Biyemas S.A.'!N19+'Kandiko S.A'!N19+'Rebisco S.A.'!N19,"")</f>
        <v/>
      </c>
      <c r="O19" s="32" t="str">
        <f>IF(A19=BP19,+'Biyemas S.A.'!O19+'Kandiko S.A'!O19+'Rebisco S.A.'!O19,"")</f>
        <v/>
      </c>
      <c r="P19" s="33" t="str">
        <f t="shared" si="35"/>
        <v/>
      </c>
      <c r="Q19" s="33" t="str">
        <f t="shared" si="36"/>
        <v/>
      </c>
      <c r="R19" s="34" t="str">
        <f t="shared" si="37"/>
        <v/>
      </c>
      <c r="S19" s="31" t="str">
        <f t="shared" si="38"/>
        <v/>
      </c>
      <c r="T19" s="32" t="str">
        <f t="shared" si="28"/>
        <v/>
      </c>
      <c r="U19" s="35" t="str">
        <f t="shared" si="29"/>
        <v/>
      </c>
      <c r="V19" s="32" t="str">
        <f>IF(A19="","",VLOOKUP(B19,'Datos Biyemas'!B21:BB58,21,0))</f>
        <v/>
      </c>
      <c r="W19" s="32" t="str">
        <f>IF(A19="","",VLOOKUP(B19,'Datos Biyemas'!B21:BB58,22,0))</f>
        <v/>
      </c>
      <c r="X19" s="32" t="str">
        <f>IF(A19="","",VLOOKUP(B19,'Datos Biyemas'!B21:BB58,23,0))</f>
        <v/>
      </c>
      <c r="Y19" s="32" t="str">
        <f>IF(A19="","",VLOOKUP(B19,'Datos Biyemas'!B21:BB58,24,0))</f>
        <v/>
      </c>
      <c r="Z19" s="33" t="str">
        <f t="shared" si="30"/>
        <v/>
      </c>
      <c r="AA19" s="33" t="str">
        <f t="shared" si="31"/>
        <v/>
      </c>
      <c r="AB19" s="34" t="str">
        <f t="shared" si="32"/>
        <v/>
      </c>
      <c r="AC19" s="32" t="str">
        <f t="shared" si="33"/>
        <v/>
      </c>
      <c r="AD19" s="37" t="str">
        <f t="shared" si="3"/>
        <v/>
      </c>
      <c r="AE19" s="32" t="str">
        <f>IF(A19=BP19,+'Biyemas S.A.'!AE19+'Kandiko S.A'!AE19+'Rebisco S.A.'!AE19,"")</f>
        <v/>
      </c>
      <c r="AF19" s="31" t="str">
        <f t="shared" si="4"/>
        <v/>
      </c>
      <c r="AG19" s="32" t="str">
        <f>IF(A19=BP19,+'Biyemas S.A.'!AG19+'Kandiko S.A'!AG19+'Rebisco S.A.'!AG19,"")</f>
        <v/>
      </c>
      <c r="AH19" s="32" t="str">
        <f>IF(A19=BP19,+'Biyemas S.A.'!AH19+'Kandiko S.A'!AH19+'Rebisco S.A.'!AH19,"")</f>
        <v/>
      </c>
      <c r="AI19" s="32" t="str">
        <f>IF(A19=BP19,+'Biyemas S.A.'!AI19+'Kandiko S.A'!AI19+'Rebisco S.A.'!AI19,"")</f>
        <v/>
      </c>
      <c r="AJ19" s="34" t="str">
        <f t="shared" si="34"/>
        <v/>
      </c>
      <c r="AK19" s="35" t="str">
        <f t="shared" si="20"/>
        <v/>
      </c>
      <c r="AL19" s="37" t="str">
        <f>IF(A19=BP19,+'Biyemas S.A.'!AL19+'Kandiko S.A'!AL19+'Rebisco S.A.'!AL19,"")</f>
        <v/>
      </c>
      <c r="AM19" s="58" t="str">
        <f t="shared" si="5"/>
        <v/>
      </c>
      <c r="AN19" s="262" t="str">
        <f>IF(A19=BP19,+'Biyemas S.A.'!AN19+'Kandiko S.A'!AN19+'Rebisco S.A.'!AN19,"")</f>
        <v/>
      </c>
      <c r="AO19" s="32" t="str">
        <f>IF(A19=BP19,+'Biyemas S.A.'!AO19+'Kandiko S.A'!AO19+'Rebisco S.A.'!AO19,"")</f>
        <v/>
      </c>
      <c r="AP19" s="36" t="str">
        <f t="shared" si="21"/>
        <v/>
      </c>
      <c r="AQ19" s="58" t="str">
        <f>IF(A19=BP19,+'Biyemas S.A.'!AQ19+'Kandiko S.A'!AQ19+'Rebisco S.A.'!AQ19,"")</f>
        <v/>
      </c>
      <c r="AR19" s="58" t="str">
        <f>IF(A19=BP19,+'Biyemas S.A.'!AR19+'Kandiko S.A'!AR19+'Rebisco S.A.'!AR19,"")</f>
        <v/>
      </c>
      <c r="AS19" s="58" t="str">
        <f>IF(A19=BP19,+'Biyemas S.A.'!AS19+'Kandiko S.A'!AS19+'Rebisco S.A.'!AS19,"")</f>
        <v/>
      </c>
      <c r="AT19" s="58" t="str">
        <f>IF(A19=BP19,+'Biyemas S.A.'!AT19+'Kandiko S.A'!AT19+'Rebisco S.A.'!AT19,"")</f>
        <v/>
      </c>
      <c r="AU19" s="58">
        <f>IFERROR('Biyemas S.A.'!AU19+'Kandiko S.A'!AU19+'Rebisco S.A.'!AU19,0)</f>
        <v>0</v>
      </c>
      <c r="AV19" s="37" t="str">
        <f t="shared" si="6"/>
        <v/>
      </c>
      <c r="AW19" s="38" t="str">
        <f t="shared" si="7"/>
        <v/>
      </c>
      <c r="AY19" s="180" t="str">
        <f>IF(A19=BP19,+'Biyemas S.A.'!AY19+'Kandiko S.A'!AY19+'Rebisco S.A.'!AY19,"")</f>
        <v/>
      </c>
      <c r="AZ19" s="252" t="str">
        <f t="shared" si="22"/>
        <v/>
      </c>
      <c r="BA19" s="255" t="str">
        <f>IF(A19=BP19,+'Biyemas S.A.'!BA19+'Kandiko S.A'!BA19+'Rebisco S.A.'!BA19,"")</f>
        <v/>
      </c>
      <c r="BB19" s="181" t="str">
        <f t="shared" si="23"/>
        <v/>
      </c>
      <c r="BC19" s="255" t="str">
        <f>IF(A19=BP19,+'Biyemas S.A.'!BC19+'Kandiko S.A'!BC19+'Rebisco S.A.'!BC19,"")</f>
        <v/>
      </c>
      <c r="BD19" s="181" t="str">
        <f t="shared" si="24"/>
        <v/>
      </c>
      <c r="BE19" s="29" t="str">
        <f>IF(A19="","",VLOOKUP(B19,'Datos Consolidados'!B21:BF58,53,0))</f>
        <v/>
      </c>
      <c r="BF19" s="28" t="str">
        <f>IF(A19="","",VLOOKUP(B19,'Datos Consolidados'!B21:BF58,54,0))</f>
        <v/>
      </c>
      <c r="BG19" s="28" t="str">
        <f>IF(A19="","",VLOOKUP(B19,'Datos Consolidados'!B21:BF58,55,0))</f>
        <v/>
      </c>
      <c r="BH19" s="28" t="str">
        <f>IF(A19="","",VLOOKUP(B19,'Datos Consolidados'!B21:BF58,51,0))</f>
        <v/>
      </c>
      <c r="BI19" s="28" t="str">
        <f>IF(A19="","",VLOOKUP(B19,'Datos Consolidados'!B21:BF58,52,0))</f>
        <v/>
      </c>
      <c r="BJ19" s="211" t="str">
        <f t="shared" si="25"/>
        <v/>
      </c>
      <c r="BK19" s="27" t="str">
        <f t="shared" si="26"/>
        <v/>
      </c>
      <c r="BL19" s="29" t="str">
        <f t="shared" si="27"/>
        <v/>
      </c>
      <c r="BM19" s="28" t="str">
        <f t="shared" si="8"/>
        <v/>
      </c>
      <c r="BN19" s="181" t="str">
        <f>+'Biyemas S.A.'!BN19</f>
        <v/>
      </c>
      <c r="BO19" s="59"/>
      <c r="BP19" s="39" t="str">
        <f>+'Biyemas S.A.'!BP19</f>
        <v xml:space="preserve">Jue/Thu    </v>
      </c>
    </row>
    <row r="20" spans="1:68" ht="11.25" customHeight="1" x14ac:dyDescent="0.2">
      <c r="A20" s="188" t="str">
        <f>IF(BP20='Datos Biyemas'!A22,'Datos Biyemas'!A22,"")</f>
        <v/>
      </c>
      <c r="B20" s="185" t="str">
        <f>IF(BP20=A20,'Datos Biyemas'!B22,"")</f>
        <v/>
      </c>
      <c r="C20" s="186" t="str">
        <f>IF(A20=BP20,+'Biyemas S.A.'!C20+'Kandiko S.A'!C20+'Rebisco S.A.'!C20,"")</f>
        <v/>
      </c>
      <c r="D20" s="32" t="str">
        <f>IF(A20=BP20,+'Biyemas S.A.'!D20+'Kandiko S.A'!D20+'Rebisco S.A.'!D20,"")</f>
        <v/>
      </c>
      <c r="E20" s="32" t="str">
        <f>IF(A20=BP20,+'Biyemas S.A.'!E20+'Kandiko S.A'!E20+'Rebisco S.A.'!E20,"")</f>
        <v/>
      </c>
      <c r="F20" s="32" t="str">
        <f>IF(A20=BP20,+'Biyemas S.A.'!F20+'Kandiko S.A'!F20+'Rebisco S.A.'!F20,"")</f>
        <v/>
      </c>
      <c r="G20" s="32" t="str">
        <f>IF(A20=BP20,+'Biyemas S.A.'!G20+'Kandiko S.A'!G20+'Rebisco S.A.'!G20,"")</f>
        <v/>
      </c>
      <c r="H20" s="33" t="str">
        <f t="shared" si="0"/>
        <v/>
      </c>
      <c r="I20" s="33" t="str">
        <f t="shared" si="9"/>
        <v/>
      </c>
      <c r="J20" s="34" t="str">
        <f t="shared" si="10"/>
        <v/>
      </c>
      <c r="K20" s="31" t="str">
        <f t="shared" si="11"/>
        <v/>
      </c>
      <c r="L20" s="37" t="str">
        <f>IF(A20=BP20,+'Biyemas S.A.'!L20+'Kandiko S.A'!L20+'Rebisco S.A.'!L20,"")</f>
        <v/>
      </c>
      <c r="M20" s="32" t="str">
        <f>IF(A20=BP20,+'Biyemas S.A.'!M20+'Kandiko S.A'!M20+'Rebisco S.A.'!M20,"")</f>
        <v/>
      </c>
      <c r="N20" s="32" t="str">
        <f>IF(A20=BP20,+'Biyemas S.A.'!N20+'Kandiko S.A'!N20+'Rebisco S.A.'!N20,"")</f>
        <v/>
      </c>
      <c r="O20" s="32" t="str">
        <f>IF(A20=BP20,+'Biyemas S.A.'!O20+'Kandiko S.A'!O20+'Rebisco S.A.'!O20,"")</f>
        <v/>
      </c>
      <c r="P20" s="33" t="str">
        <f t="shared" si="35"/>
        <v/>
      </c>
      <c r="Q20" s="33" t="str">
        <f t="shared" si="36"/>
        <v/>
      </c>
      <c r="R20" s="34" t="str">
        <f t="shared" si="37"/>
        <v/>
      </c>
      <c r="S20" s="31" t="str">
        <f t="shared" si="38"/>
        <v/>
      </c>
      <c r="T20" s="32" t="str">
        <f t="shared" si="28"/>
        <v/>
      </c>
      <c r="U20" s="35" t="str">
        <f t="shared" si="29"/>
        <v/>
      </c>
      <c r="V20" s="32" t="str">
        <f>IF(A20="","",VLOOKUP(B20,'Datos Biyemas'!B22:BB59,21,0))</f>
        <v/>
      </c>
      <c r="W20" s="32" t="str">
        <f>IF(A20="","",VLOOKUP(B20,'Datos Biyemas'!B22:BB59,22,0))</f>
        <v/>
      </c>
      <c r="X20" s="32" t="str">
        <f>IF(A20="","",VLOOKUP(B20,'Datos Biyemas'!B22:BB59,23,0))</f>
        <v/>
      </c>
      <c r="Y20" s="32" t="str">
        <f>IF(A20="","",VLOOKUP(B20,'Datos Biyemas'!B22:BB59,24,0))</f>
        <v/>
      </c>
      <c r="Z20" s="33" t="str">
        <f t="shared" si="30"/>
        <v/>
      </c>
      <c r="AA20" s="33" t="str">
        <f t="shared" si="31"/>
        <v/>
      </c>
      <c r="AB20" s="34" t="str">
        <f t="shared" si="32"/>
        <v/>
      </c>
      <c r="AC20" s="32" t="str">
        <f t="shared" si="33"/>
        <v/>
      </c>
      <c r="AD20" s="37" t="str">
        <f t="shared" si="3"/>
        <v/>
      </c>
      <c r="AE20" s="32" t="str">
        <f>IF(A20=BP20,+'Biyemas S.A.'!AE20+'Kandiko S.A'!AE20+'Rebisco S.A.'!AE20,"")</f>
        <v/>
      </c>
      <c r="AF20" s="31" t="str">
        <f t="shared" si="4"/>
        <v/>
      </c>
      <c r="AG20" s="32" t="str">
        <f>IF(A20=BP20,+'Biyemas S.A.'!AG20+'Kandiko S.A'!AG20+'Rebisco S.A.'!AG20,"")</f>
        <v/>
      </c>
      <c r="AH20" s="32" t="str">
        <f>IF(A20=BP20,+'Biyemas S.A.'!AH20+'Kandiko S.A'!AH20+'Rebisco S.A.'!AH20,"")</f>
        <v/>
      </c>
      <c r="AI20" s="32" t="str">
        <f>IF(A20=BP20,+'Biyemas S.A.'!AI20+'Kandiko S.A'!AI20+'Rebisco S.A.'!AI20,"")</f>
        <v/>
      </c>
      <c r="AJ20" s="34" t="str">
        <f t="shared" si="34"/>
        <v/>
      </c>
      <c r="AK20" s="35" t="str">
        <f t="shared" si="20"/>
        <v/>
      </c>
      <c r="AL20" s="37" t="str">
        <f>IF(A20=BP20,+'Biyemas S.A.'!AL20+'Kandiko S.A'!AL20+'Rebisco S.A.'!AL20,"")</f>
        <v/>
      </c>
      <c r="AM20" s="58" t="str">
        <f t="shared" si="5"/>
        <v/>
      </c>
      <c r="AN20" s="262" t="str">
        <f>IF(A20=BP20,+'Biyemas S.A.'!AN20+'Kandiko S.A'!AN20+'Rebisco S.A.'!AN20,"")</f>
        <v/>
      </c>
      <c r="AO20" s="32" t="str">
        <f>IF(A20=BP20,+'Biyemas S.A.'!AO20+'Kandiko S.A'!AO20+'Rebisco S.A.'!AO20,"")</f>
        <v/>
      </c>
      <c r="AP20" s="36" t="str">
        <f t="shared" si="21"/>
        <v/>
      </c>
      <c r="AQ20" s="58" t="str">
        <f>IF(A20=BP20,+'Biyemas S.A.'!AQ20+'Kandiko S.A'!AQ20+'Rebisco S.A.'!AQ20,"")</f>
        <v/>
      </c>
      <c r="AR20" s="58" t="str">
        <f>IF(A20=BP20,+'Biyemas S.A.'!AR20+'Kandiko S.A'!AR20+'Rebisco S.A.'!AR20,"")</f>
        <v/>
      </c>
      <c r="AS20" s="58" t="str">
        <f>IF(A20=BP20,+'Biyemas S.A.'!AS20+'Kandiko S.A'!AS20+'Rebisco S.A.'!AS20,"")</f>
        <v/>
      </c>
      <c r="AT20" s="58" t="str">
        <f>IF(A20=BP20,+'Biyemas S.A.'!AT20+'Kandiko S.A'!AT20+'Rebisco S.A.'!AT20,"")</f>
        <v/>
      </c>
      <c r="AU20" s="58">
        <f>IFERROR('Biyemas S.A.'!AU20+'Kandiko S.A'!AU20+'Rebisco S.A.'!AU20,0)</f>
        <v>0</v>
      </c>
      <c r="AV20" s="37" t="str">
        <f t="shared" si="6"/>
        <v/>
      </c>
      <c r="AW20" s="38" t="str">
        <f t="shared" si="7"/>
        <v/>
      </c>
      <c r="AY20" s="180" t="str">
        <f>IF(A20=BP20,+'Biyemas S.A.'!AY20+'Kandiko S.A'!AY20+'Rebisco S.A.'!AY20,"")</f>
        <v/>
      </c>
      <c r="AZ20" s="252" t="str">
        <f t="shared" si="22"/>
        <v/>
      </c>
      <c r="BA20" s="255" t="str">
        <f>IF(A20=BP20,+'Biyemas S.A.'!BA20+'Kandiko S.A'!BA20+'Rebisco S.A.'!BA20,"")</f>
        <v/>
      </c>
      <c r="BB20" s="181" t="str">
        <f t="shared" si="23"/>
        <v/>
      </c>
      <c r="BC20" s="255" t="str">
        <f>IF(A20=BP20,+'Biyemas S.A.'!BC20+'Kandiko S.A'!BC20+'Rebisco S.A.'!BC20,"")</f>
        <v/>
      </c>
      <c r="BD20" s="181" t="str">
        <f t="shared" si="24"/>
        <v/>
      </c>
      <c r="BE20" s="29" t="str">
        <f>IF(A20="","",VLOOKUP(B20,'Datos Consolidados'!B22:BF59,53,0))</f>
        <v/>
      </c>
      <c r="BF20" s="28" t="str">
        <f>IF(A20="","",VLOOKUP(B20,'Datos Consolidados'!B22:BF59,54,0))</f>
        <v/>
      </c>
      <c r="BG20" s="28" t="str">
        <f>IF(A20="","",VLOOKUP(B20,'Datos Consolidados'!B22:BF59,55,0))</f>
        <v/>
      </c>
      <c r="BH20" s="28" t="str">
        <f>IF(A20="","",VLOOKUP(B20,'Datos Consolidados'!B22:BF59,51,0))</f>
        <v/>
      </c>
      <c r="BI20" s="28" t="str">
        <f>IF(A20="","",VLOOKUP(B20,'Datos Consolidados'!B22:BF59,52,0))</f>
        <v/>
      </c>
      <c r="BJ20" s="211" t="str">
        <f t="shared" si="25"/>
        <v/>
      </c>
      <c r="BK20" s="27" t="str">
        <f t="shared" si="26"/>
        <v/>
      </c>
      <c r="BL20" s="29" t="str">
        <f t="shared" si="27"/>
        <v/>
      </c>
      <c r="BM20" s="28" t="str">
        <f t="shared" si="8"/>
        <v/>
      </c>
      <c r="BN20" s="181" t="str">
        <f>+'Biyemas S.A.'!BN20</f>
        <v/>
      </c>
      <c r="BO20" s="59"/>
      <c r="BP20" s="39" t="str">
        <f>+'Biyemas S.A.'!BP20</f>
        <v xml:space="preserve">Vie/Fri    </v>
      </c>
    </row>
    <row r="21" spans="1:68" ht="11.25" customHeight="1" x14ac:dyDescent="0.2">
      <c r="A21" s="188" t="str">
        <f>IF(BP21='Datos Biyemas'!A23,'Datos Biyemas'!A23,"")</f>
        <v/>
      </c>
      <c r="B21" s="185" t="str">
        <f>IF(BP21=A21,'Datos Biyemas'!B23,"")</f>
        <v/>
      </c>
      <c r="C21" s="186" t="str">
        <f>IF(A21=BP21,+'Biyemas S.A.'!C21+'Kandiko S.A'!C21+'Rebisco S.A.'!C21,"")</f>
        <v/>
      </c>
      <c r="D21" s="32" t="str">
        <f>IF(A21=BP21,+'Biyemas S.A.'!D21+'Kandiko S.A'!D21+'Rebisco S.A.'!D21,"")</f>
        <v/>
      </c>
      <c r="E21" s="32" t="str">
        <f>IF(A21=BP21,+'Biyemas S.A.'!E21+'Kandiko S.A'!E21+'Rebisco S.A.'!E21,"")</f>
        <v/>
      </c>
      <c r="F21" s="32" t="str">
        <f>IF(A21=BP21,+'Biyemas S.A.'!F21+'Kandiko S.A'!F21+'Rebisco S.A.'!F21,"")</f>
        <v/>
      </c>
      <c r="G21" s="32" t="str">
        <f>IF(A21=BP21,+'Biyemas S.A.'!G21+'Kandiko S.A'!G21+'Rebisco S.A.'!G21,"")</f>
        <v/>
      </c>
      <c r="H21" s="33" t="str">
        <f t="shared" si="0"/>
        <v/>
      </c>
      <c r="I21" s="33" t="str">
        <f t="shared" si="9"/>
        <v/>
      </c>
      <c r="J21" s="34" t="str">
        <f t="shared" si="10"/>
        <v/>
      </c>
      <c r="K21" s="31" t="str">
        <f t="shared" si="11"/>
        <v/>
      </c>
      <c r="L21" s="37" t="str">
        <f>IF(A21=BP21,+'Biyemas S.A.'!L21+'Kandiko S.A'!L21+'Rebisco S.A.'!L21,"")</f>
        <v/>
      </c>
      <c r="M21" s="32" t="str">
        <f>IF(A21=BP21,+'Biyemas S.A.'!M21+'Kandiko S.A'!M21+'Rebisco S.A.'!M21,"")</f>
        <v/>
      </c>
      <c r="N21" s="32" t="str">
        <f>IF(A21=BP21,+'Biyemas S.A.'!N21+'Kandiko S.A'!N21+'Rebisco S.A.'!N21,"")</f>
        <v/>
      </c>
      <c r="O21" s="32" t="str">
        <f>IF(A21=BP21,+'Biyemas S.A.'!O21+'Kandiko S.A'!O21+'Rebisco S.A.'!O21,"")</f>
        <v/>
      </c>
      <c r="P21" s="33" t="str">
        <f t="shared" si="35"/>
        <v/>
      </c>
      <c r="Q21" s="33" t="str">
        <f t="shared" si="36"/>
        <v/>
      </c>
      <c r="R21" s="34" t="str">
        <f t="shared" si="37"/>
        <v/>
      </c>
      <c r="S21" s="31" t="str">
        <f t="shared" si="38"/>
        <v/>
      </c>
      <c r="T21" s="32" t="str">
        <f t="shared" si="28"/>
        <v/>
      </c>
      <c r="U21" s="35" t="str">
        <f t="shared" si="29"/>
        <v/>
      </c>
      <c r="V21" s="32" t="str">
        <f>IF(A21="","",VLOOKUP(B21,'Datos Biyemas'!B23:BB60,21,0))</f>
        <v/>
      </c>
      <c r="W21" s="32" t="str">
        <f>IF(A21="","",VLOOKUP(B21,'Datos Biyemas'!B23:BB60,22,0))</f>
        <v/>
      </c>
      <c r="X21" s="32" t="str">
        <f>IF(A21="","",VLOOKUP(B21,'Datos Biyemas'!B23:BB60,23,0))</f>
        <v/>
      </c>
      <c r="Y21" s="32" t="str">
        <f>IF(A21="","",VLOOKUP(B21,'Datos Biyemas'!B23:BB60,24,0))</f>
        <v/>
      </c>
      <c r="Z21" s="33" t="str">
        <f t="shared" si="30"/>
        <v/>
      </c>
      <c r="AA21" s="33" t="str">
        <f t="shared" si="31"/>
        <v/>
      </c>
      <c r="AB21" s="34" t="str">
        <f t="shared" si="32"/>
        <v/>
      </c>
      <c r="AC21" s="32" t="str">
        <f t="shared" si="33"/>
        <v/>
      </c>
      <c r="AD21" s="37" t="str">
        <f t="shared" si="3"/>
        <v/>
      </c>
      <c r="AE21" s="32" t="str">
        <f>IF(A21=BP21,+'Biyemas S.A.'!AE21+'Kandiko S.A'!AE21+'Rebisco S.A.'!AE21,"")</f>
        <v/>
      </c>
      <c r="AF21" s="31" t="str">
        <f t="shared" si="4"/>
        <v/>
      </c>
      <c r="AG21" s="32" t="str">
        <f>IF(A21=BP21,+'Biyemas S.A.'!AG21+'Kandiko S.A'!AG21+'Rebisco S.A.'!AG21,"")</f>
        <v/>
      </c>
      <c r="AH21" s="32" t="str">
        <f>IF(A21=BP21,+'Biyemas S.A.'!AH21+'Kandiko S.A'!AH21+'Rebisco S.A.'!AH21,"")</f>
        <v/>
      </c>
      <c r="AI21" s="32" t="str">
        <f>IF(A21=BP21,+'Biyemas S.A.'!AI21+'Kandiko S.A'!AI21+'Rebisco S.A.'!AI21,"")</f>
        <v/>
      </c>
      <c r="AJ21" s="34" t="str">
        <f t="shared" si="34"/>
        <v/>
      </c>
      <c r="AK21" s="35" t="str">
        <f t="shared" si="20"/>
        <v/>
      </c>
      <c r="AL21" s="37" t="str">
        <f>IF(A21=BP21,+'Biyemas S.A.'!AL21+'Kandiko S.A'!AL21+'Rebisco S.A.'!AL21,"")</f>
        <v/>
      </c>
      <c r="AM21" s="58" t="str">
        <f t="shared" si="5"/>
        <v/>
      </c>
      <c r="AN21" s="262" t="str">
        <f>IF(A21=BP21,+'Biyemas S.A.'!AN21+'Kandiko S.A'!AN21+'Rebisco S.A.'!AN21,"")</f>
        <v/>
      </c>
      <c r="AO21" s="32" t="str">
        <f>IF(A21=BP21,+'Biyemas S.A.'!AO21+'Kandiko S.A'!AO21+'Rebisco S.A.'!AO21,"")</f>
        <v/>
      </c>
      <c r="AP21" s="36" t="str">
        <f t="shared" si="21"/>
        <v/>
      </c>
      <c r="AQ21" s="58" t="str">
        <f>IF(A21=BP21,+'Biyemas S.A.'!AQ21+'Kandiko S.A'!AQ21+'Rebisco S.A.'!AQ21,"")</f>
        <v/>
      </c>
      <c r="AR21" s="58" t="str">
        <f>IF(A21=BP21,+'Biyemas S.A.'!AR21+'Kandiko S.A'!AR21+'Rebisco S.A.'!AR21,"")</f>
        <v/>
      </c>
      <c r="AS21" s="58" t="str">
        <f>IF(A21=BP21,+'Biyemas S.A.'!AS21+'Kandiko S.A'!AS21+'Rebisco S.A.'!AS21,"")</f>
        <v/>
      </c>
      <c r="AT21" s="58" t="str">
        <f>IF(A21=BP21,+'Biyemas S.A.'!AT21+'Kandiko S.A'!AT21+'Rebisco S.A.'!AT21,"")</f>
        <v/>
      </c>
      <c r="AU21" s="58">
        <f>IFERROR('Biyemas S.A.'!AU21+'Kandiko S.A'!AU21+'Rebisco S.A.'!AU21,0)</f>
        <v>0</v>
      </c>
      <c r="AV21" s="37" t="str">
        <f t="shared" si="6"/>
        <v/>
      </c>
      <c r="AW21" s="38" t="str">
        <f t="shared" si="7"/>
        <v/>
      </c>
      <c r="AY21" s="180" t="str">
        <f>IF(A21=BP21,+'Biyemas S.A.'!AY21+'Kandiko S.A'!AY21+'Rebisco S.A.'!AY21,"")</f>
        <v/>
      </c>
      <c r="AZ21" s="252" t="str">
        <f t="shared" si="22"/>
        <v/>
      </c>
      <c r="BA21" s="255" t="str">
        <f>IF(A21=BP21,+'Biyemas S.A.'!BA21+'Kandiko S.A'!BA21+'Rebisco S.A.'!BA21,"")</f>
        <v/>
      </c>
      <c r="BB21" s="181" t="str">
        <f t="shared" si="23"/>
        <v/>
      </c>
      <c r="BC21" s="255" t="str">
        <f>IF(A21=BP21,+'Biyemas S.A.'!BC21+'Kandiko S.A'!BC21+'Rebisco S.A.'!BC21,"")</f>
        <v/>
      </c>
      <c r="BD21" s="181" t="str">
        <f t="shared" si="24"/>
        <v/>
      </c>
      <c r="BE21" s="29" t="str">
        <f>IF(A21="","",VLOOKUP(B21,'Datos Consolidados'!B23:BF60,53,0))</f>
        <v/>
      </c>
      <c r="BF21" s="28" t="str">
        <f>IF(A21="","",VLOOKUP(B21,'Datos Consolidados'!B23:BF60,54,0))</f>
        <v/>
      </c>
      <c r="BG21" s="28" t="str">
        <f>IF(A21="","",VLOOKUP(B21,'Datos Consolidados'!B23:BF60,55,0))</f>
        <v/>
      </c>
      <c r="BH21" s="28" t="str">
        <f>IF(A21="","",VLOOKUP(B21,'Datos Consolidados'!B23:BF60,51,0))</f>
        <v/>
      </c>
      <c r="BI21" s="28" t="str">
        <f>IF(A21="","",VLOOKUP(B21,'Datos Consolidados'!B23:BF60,52,0))</f>
        <v/>
      </c>
      <c r="BJ21" s="211" t="str">
        <f t="shared" si="25"/>
        <v/>
      </c>
      <c r="BK21" s="27" t="str">
        <f t="shared" si="26"/>
        <v/>
      </c>
      <c r="BL21" s="29" t="str">
        <f t="shared" si="27"/>
        <v/>
      </c>
      <c r="BM21" s="28" t="str">
        <f t="shared" si="8"/>
        <v/>
      </c>
      <c r="BN21" s="181" t="str">
        <f>+'Biyemas S.A.'!BN21</f>
        <v/>
      </c>
      <c r="BO21" s="59"/>
      <c r="BP21" s="39" t="str">
        <f>+'Biyemas S.A.'!BP21</f>
        <v xml:space="preserve">Sab/Sat    </v>
      </c>
    </row>
    <row r="22" spans="1:68" ht="11.25" customHeight="1" x14ac:dyDescent="0.2">
      <c r="A22" s="188" t="str">
        <f>IF(BP22='Datos Biyemas'!A24,'Datos Biyemas'!A24,"")</f>
        <v/>
      </c>
      <c r="B22" s="185" t="str">
        <f>IF(BP22=A22,'Datos Biyemas'!B24,"")</f>
        <v/>
      </c>
      <c r="C22" s="186" t="str">
        <f>IF(A22=BP22,+'Biyemas S.A.'!C22+'Kandiko S.A'!C22+'Rebisco S.A.'!C22,"")</f>
        <v/>
      </c>
      <c r="D22" s="32" t="str">
        <f>IF(A22=BP22,+'Biyemas S.A.'!D22+'Kandiko S.A'!D22+'Rebisco S.A.'!D22,"")</f>
        <v/>
      </c>
      <c r="E22" s="32" t="str">
        <f>IF(A22=BP22,+'Biyemas S.A.'!E22+'Kandiko S.A'!E22+'Rebisco S.A.'!E22,"")</f>
        <v/>
      </c>
      <c r="F22" s="32" t="str">
        <f>IF(A22=BP22,+'Biyemas S.A.'!F22+'Kandiko S.A'!F22+'Rebisco S.A.'!F22,"")</f>
        <v/>
      </c>
      <c r="G22" s="32" t="str">
        <f>IF(A22=BP22,+'Biyemas S.A.'!G22+'Kandiko S.A'!G22+'Rebisco S.A.'!G22,"")</f>
        <v/>
      </c>
      <c r="H22" s="33" t="str">
        <f t="shared" si="0"/>
        <v/>
      </c>
      <c r="I22" s="33" t="str">
        <f t="shared" si="9"/>
        <v/>
      </c>
      <c r="J22" s="34" t="str">
        <f t="shared" si="10"/>
        <v/>
      </c>
      <c r="K22" s="31" t="str">
        <f t="shared" si="11"/>
        <v/>
      </c>
      <c r="L22" s="37" t="str">
        <f>IF(A22=BP22,+'Biyemas S.A.'!L22+'Kandiko S.A'!L22+'Rebisco S.A.'!L22,"")</f>
        <v/>
      </c>
      <c r="M22" s="32" t="str">
        <f>IF(A22=BP22,+'Biyemas S.A.'!M22+'Kandiko S.A'!M22+'Rebisco S.A.'!M22,"")</f>
        <v/>
      </c>
      <c r="N22" s="32" t="str">
        <f>IF(A22=BP22,+'Biyemas S.A.'!N22+'Kandiko S.A'!N22+'Rebisco S.A.'!N22,"")</f>
        <v/>
      </c>
      <c r="O22" s="32" t="str">
        <f>IF(A22=BP22,+'Biyemas S.A.'!O22+'Kandiko S.A'!O22+'Rebisco S.A.'!O22,"")</f>
        <v/>
      </c>
      <c r="P22" s="33" t="str">
        <f t="shared" si="35"/>
        <v/>
      </c>
      <c r="Q22" s="33" t="str">
        <f t="shared" si="36"/>
        <v/>
      </c>
      <c r="R22" s="34" t="str">
        <f t="shared" si="37"/>
        <v/>
      </c>
      <c r="S22" s="31" t="str">
        <f t="shared" si="38"/>
        <v/>
      </c>
      <c r="T22" s="32" t="str">
        <f t="shared" si="28"/>
        <v/>
      </c>
      <c r="U22" s="35" t="str">
        <f t="shared" si="29"/>
        <v/>
      </c>
      <c r="V22" s="32" t="str">
        <f>IF(A22="","",VLOOKUP(B22,'Datos Biyemas'!B24:BB61,21,0))</f>
        <v/>
      </c>
      <c r="W22" s="32" t="str">
        <f>IF(A22="","",VLOOKUP(B22,'Datos Biyemas'!B24:BB61,22,0))</f>
        <v/>
      </c>
      <c r="X22" s="32" t="str">
        <f>IF(A22="","",VLOOKUP(B22,'Datos Biyemas'!B24:BB61,23,0))</f>
        <v/>
      </c>
      <c r="Y22" s="32" t="str">
        <f>IF(A22="","",VLOOKUP(B22,'Datos Biyemas'!B24:BB61,24,0))</f>
        <v/>
      </c>
      <c r="Z22" s="33" t="str">
        <f t="shared" si="30"/>
        <v/>
      </c>
      <c r="AA22" s="33" t="str">
        <f t="shared" si="31"/>
        <v/>
      </c>
      <c r="AB22" s="34" t="str">
        <f t="shared" si="32"/>
        <v/>
      </c>
      <c r="AC22" s="32" t="str">
        <f t="shared" si="33"/>
        <v/>
      </c>
      <c r="AD22" s="37" t="str">
        <f t="shared" si="3"/>
        <v/>
      </c>
      <c r="AE22" s="32" t="str">
        <f>IF(A22=BP22,+'Biyemas S.A.'!AE22+'Kandiko S.A'!AE22+'Rebisco S.A.'!AE22,"")</f>
        <v/>
      </c>
      <c r="AF22" s="31" t="str">
        <f t="shared" si="4"/>
        <v/>
      </c>
      <c r="AG22" s="32" t="str">
        <f>IF(A22=BP22,+'Biyemas S.A.'!AG22+'Kandiko S.A'!AG22+'Rebisco S.A.'!AG22,"")</f>
        <v/>
      </c>
      <c r="AH22" s="32" t="str">
        <f>IF(A22=BP22,+'Biyemas S.A.'!AH22+'Kandiko S.A'!AH22+'Rebisco S.A.'!AH22,"")</f>
        <v/>
      </c>
      <c r="AI22" s="32" t="str">
        <f>IF(A22=BP22,+'Biyemas S.A.'!AI22+'Kandiko S.A'!AI22+'Rebisco S.A.'!AI22,"")</f>
        <v/>
      </c>
      <c r="AJ22" s="34" t="str">
        <f t="shared" si="34"/>
        <v/>
      </c>
      <c r="AK22" s="35" t="str">
        <f t="shared" si="20"/>
        <v/>
      </c>
      <c r="AL22" s="37" t="str">
        <f>IF(A22=BP22,+'Biyemas S.A.'!AL22+'Kandiko S.A'!AL22+'Rebisco S.A.'!AL22,"")</f>
        <v/>
      </c>
      <c r="AM22" s="58" t="str">
        <f t="shared" si="5"/>
        <v/>
      </c>
      <c r="AN22" s="262" t="str">
        <f>IF(A22=BP22,+'Biyemas S.A.'!AN22+'Kandiko S.A'!AN22+'Rebisco S.A.'!AN22,"")</f>
        <v/>
      </c>
      <c r="AO22" s="32" t="str">
        <f>IF(A22=BP22,+'Biyemas S.A.'!AO22+'Kandiko S.A'!AO22+'Rebisco S.A.'!AO22,"")</f>
        <v/>
      </c>
      <c r="AP22" s="36" t="str">
        <f t="shared" si="21"/>
        <v/>
      </c>
      <c r="AQ22" s="58" t="str">
        <f>IF(A22=BP22,+'Biyemas S.A.'!AQ22+'Kandiko S.A'!AQ22+'Rebisco S.A.'!AQ22,"")</f>
        <v/>
      </c>
      <c r="AR22" s="58" t="str">
        <f>IF(A22=BP22,+'Biyemas S.A.'!AR22+'Kandiko S.A'!AR22+'Rebisco S.A.'!AR22,"")</f>
        <v/>
      </c>
      <c r="AS22" s="58" t="str">
        <f>IF(A22=BP22,+'Biyemas S.A.'!AS22+'Kandiko S.A'!AS22+'Rebisco S.A.'!AS22,"")</f>
        <v/>
      </c>
      <c r="AT22" s="58" t="str">
        <f>IF(A22=BP22,+'Biyemas S.A.'!AT22+'Kandiko S.A'!AT22+'Rebisco S.A.'!AT22,"")</f>
        <v/>
      </c>
      <c r="AU22" s="58">
        <f>IFERROR('Biyemas S.A.'!AU22+'Kandiko S.A'!AU22+'Rebisco S.A.'!AU22,0)</f>
        <v>0</v>
      </c>
      <c r="AV22" s="37" t="str">
        <f t="shared" si="6"/>
        <v/>
      </c>
      <c r="AW22" s="38" t="str">
        <f t="shared" si="7"/>
        <v/>
      </c>
      <c r="AY22" s="180" t="str">
        <f>IF(A22=BP22,+'Biyemas S.A.'!AY22+'Kandiko S.A'!AY22+'Rebisco S.A.'!AY22,"")</f>
        <v/>
      </c>
      <c r="AZ22" s="252" t="str">
        <f t="shared" si="22"/>
        <v/>
      </c>
      <c r="BA22" s="255" t="str">
        <f>IF(A22=BP22,+'Biyemas S.A.'!BA22+'Kandiko S.A'!BA22+'Rebisco S.A.'!BA22,"")</f>
        <v/>
      </c>
      <c r="BB22" s="181" t="str">
        <f t="shared" si="23"/>
        <v/>
      </c>
      <c r="BC22" s="255" t="str">
        <f>IF(A22=BP22,+'Biyemas S.A.'!BC22+'Kandiko S.A'!BC22+'Rebisco S.A.'!BC22,"")</f>
        <v/>
      </c>
      <c r="BD22" s="181" t="str">
        <f t="shared" si="24"/>
        <v/>
      </c>
      <c r="BE22" s="29" t="str">
        <f>IF(A22="","",VLOOKUP(B22,'Datos Consolidados'!B24:BF61,53,0))</f>
        <v/>
      </c>
      <c r="BF22" s="28" t="str">
        <f>IF(A22="","",VLOOKUP(B22,'Datos Consolidados'!B24:BF61,54,0))</f>
        <v/>
      </c>
      <c r="BG22" s="28" t="str">
        <f>IF(A22="","",VLOOKUP(B22,'Datos Consolidados'!B24:BF61,55,0))</f>
        <v/>
      </c>
      <c r="BH22" s="28" t="str">
        <f>IF(A22="","",VLOOKUP(B22,'Datos Consolidados'!B24:BF61,51,0))</f>
        <v/>
      </c>
      <c r="BI22" s="28" t="str">
        <f>IF(A22="","",VLOOKUP(B22,'Datos Consolidados'!B24:BF61,52,0))</f>
        <v/>
      </c>
      <c r="BJ22" s="211" t="str">
        <f t="shared" si="25"/>
        <v/>
      </c>
      <c r="BK22" s="27" t="str">
        <f t="shared" si="26"/>
        <v/>
      </c>
      <c r="BL22" s="29" t="str">
        <f t="shared" si="27"/>
        <v/>
      </c>
      <c r="BM22" s="28" t="str">
        <f t="shared" si="8"/>
        <v/>
      </c>
      <c r="BN22" s="181" t="str">
        <f>+'Biyemas S.A.'!BN22</f>
        <v/>
      </c>
      <c r="BO22" s="59"/>
      <c r="BP22" s="39" t="str">
        <f>+'Biyemas S.A.'!BP22</f>
        <v xml:space="preserve">Dom/Sun    </v>
      </c>
    </row>
    <row r="23" spans="1:68" x14ac:dyDescent="0.2">
      <c r="A23" s="188" t="str">
        <f>IF(BP23='Datos Biyemas'!A25,'Datos Biyemas'!A25,"")</f>
        <v/>
      </c>
      <c r="B23" s="185" t="str">
        <f>IF(BP23=A23,'Datos Biyemas'!B25,"")</f>
        <v/>
      </c>
      <c r="C23" s="186" t="str">
        <f>IF(A23=BP23,+'Biyemas S.A.'!C23+'Kandiko S.A'!C23+'Rebisco S.A.'!C23,"")</f>
        <v/>
      </c>
      <c r="D23" s="32" t="str">
        <f>IF(A23=BP23,+'Biyemas S.A.'!D23+'Kandiko S.A'!D23+'Rebisco S.A.'!D23,"")</f>
        <v/>
      </c>
      <c r="E23" s="32" t="str">
        <f>IF(A23=BP23,+'Biyemas S.A.'!E23+'Kandiko S.A'!E23+'Rebisco S.A.'!E23,"")</f>
        <v/>
      </c>
      <c r="F23" s="32" t="str">
        <f>IF(A23=BP23,+'Biyemas S.A.'!F23+'Kandiko S.A'!F23+'Rebisco S.A.'!F23,"")</f>
        <v/>
      </c>
      <c r="G23" s="32" t="str">
        <f>IF(A23=BP23,+'Biyemas S.A.'!G23+'Kandiko S.A'!G23+'Rebisco S.A.'!G23,"")</f>
        <v/>
      </c>
      <c r="H23" s="33" t="str">
        <f t="shared" si="0"/>
        <v/>
      </c>
      <c r="I23" s="33" t="str">
        <f t="shared" si="9"/>
        <v/>
      </c>
      <c r="J23" s="34" t="str">
        <f t="shared" si="10"/>
        <v/>
      </c>
      <c r="K23" s="31" t="str">
        <f t="shared" si="11"/>
        <v/>
      </c>
      <c r="L23" s="37" t="str">
        <f>IF(A23=BP23,+'Biyemas S.A.'!L23+'Kandiko S.A'!L23+'Rebisco S.A.'!L23,"")</f>
        <v/>
      </c>
      <c r="M23" s="32" t="str">
        <f>IF(A23=BP23,+'Biyemas S.A.'!M23+'Kandiko S.A'!M23+'Rebisco S.A.'!M23,"")</f>
        <v/>
      </c>
      <c r="N23" s="32" t="str">
        <f>IF(A23=BP23,+'Biyemas S.A.'!N23+'Kandiko S.A'!N23+'Rebisco S.A.'!N23,"")</f>
        <v/>
      </c>
      <c r="O23" s="32" t="str">
        <f>IF(A23=BP23,+'Biyemas S.A.'!O23+'Kandiko S.A'!O23+'Rebisco S.A.'!O23,"")</f>
        <v/>
      </c>
      <c r="P23" s="33" t="str">
        <f t="shared" si="35"/>
        <v/>
      </c>
      <c r="Q23" s="33" t="str">
        <f t="shared" si="36"/>
        <v/>
      </c>
      <c r="R23" s="34" t="str">
        <f t="shared" si="37"/>
        <v/>
      </c>
      <c r="S23" s="31" t="str">
        <f t="shared" si="38"/>
        <v/>
      </c>
      <c r="T23" s="32" t="str">
        <f t="shared" si="28"/>
        <v/>
      </c>
      <c r="U23" s="35" t="str">
        <f t="shared" si="29"/>
        <v/>
      </c>
      <c r="V23" s="32" t="str">
        <f>IF(A23="","",VLOOKUP(B23,'Datos Biyemas'!B25:BB62,21,0))</f>
        <v/>
      </c>
      <c r="W23" s="32" t="str">
        <f>IF(A23="","",VLOOKUP(B23,'Datos Biyemas'!B25:BB62,22,0))</f>
        <v/>
      </c>
      <c r="X23" s="32" t="str">
        <f>IF(A23="","",VLOOKUP(B23,'Datos Biyemas'!B25:BB62,23,0))</f>
        <v/>
      </c>
      <c r="Y23" s="32" t="str">
        <f>IF(A23="","",VLOOKUP(B23,'Datos Biyemas'!B25:BB62,24,0))</f>
        <v/>
      </c>
      <c r="Z23" s="33" t="str">
        <f t="shared" si="30"/>
        <v/>
      </c>
      <c r="AA23" s="33" t="str">
        <f t="shared" si="31"/>
        <v/>
      </c>
      <c r="AB23" s="34" t="str">
        <f t="shared" si="32"/>
        <v/>
      </c>
      <c r="AC23" s="32" t="str">
        <f t="shared" si="33"/>
        <v/>
      </c>
      <c r="AD23" s="37" t="str">
        <f t="shared" si="3"/>
        <v/>
      </c>
      <c r="AE23" s="32" t="str">
        <f>IF(A23=BP23,+'Biyemas S.A.'!AE23+'Kandiko S.A'!AE23+'Rebisco S.A.'!AE23,"")</f>
        <v/>
      </c>
      <c r="AF23" s="31" t="str">
        <f t="shared" si="4"/>
        <v/>
      </c>
      <c r="AG23" s="32" t="str">
        <f>IF(A23=BP23,+'Biyemas S.A.'!AG23+'Kandiko S.A'!AG23+'Rebisco S.A.'!AG23,"")</f>
        <v/>
      </c>
      <c r="AH23" s="32" t="str">
        <f>IF(A23=BP23,+'Biyemas S.A.'!AH23+'Kandiko S.A'!AH23+'Rebisco S.A.'!AH23,"")</f>
        <v/>
      </c>
      <c r="AI23" s="32" t="str">
        <f>IF(A23=BP23,+'Biyemas S.A.'!AI23+'Kandiko S.A'!AI23+'Rebisco S.A.'!AI23,"")</f>
        <v/>
      </c>
      <c r="AJ23" s="34" t="str">
        <f t="shared" si="34"/>
        <v/>
      </c>
      <c r="AK23" s="35" t="str">
        <f t="shared" si="20"/>
        <v/>
      </c>
      <c r="AL23" s="37" t="str">
        <f>IF(A23=BP23,+'Biyemas S.A.'!AL23+'Kandiko S.A'!AL23+'Rebisco S.A.'!AL23,"")</f>
        <v/>
      </c>
      <c r="AM23" s="58" t="str">
        <f t="shared" si="5"/>
        <v/>
      </c>
      <c r="AN23" s="262" t="str">
        <f>IF(A23=BP23,+'Biyemas S.A.'!AN23+'Kandiko S.A'!AN23+'Rebisco S.A.'!AN23,"")</f>
        <v/>
      </c>
      <c r="AO23" s="32" t="str">
        <f>IF(A23=BP23,+'Biyemas S.A.'!AO23+'Kandiko S.A'!AO23+'Rebisco S.A.'!AO23,"")</f>
        <v/>
      </c>
      <c r="AP23" s="36" t="str">
        <f t="shared" si="21"/>
        <v/>
      </c>
      <c r="AQ23" s="58" t="str">
        <f>IF(A23=BP23,+'Biyemas S.A.'!AQ23+'Kandiko S.A'!AQ23+'Rebisco S.A.'!AQ23,"")</f>
        <v/>
      </c>
      <c r="AR23" s="58" t="str">
        <f>IF(A23=BP23,+'Biyemas S.A.'!AR23+'Kandiko S.A'!AR23+'Rebisco S.A.'!AR23,"")</f>
        <v/>
      </c>
      <c r="AS23" s="58" t="str">
        <f>IF(A23=BP23,+'Biyemas S.A.'!AS23+'Kandiko S.A'!AS23+'Rebisco S.A.'!AS23,"")</f>
        <v/>
      </c>
      <c r="AT23" s="58" t="str">
        <f>IF(A23=BP23,+'Biyemas S.A.'!AT23+'Kandiko S.A'!AT23+'Rebisco S.A.'!AT23,"")</f>
        <v/>
      </c>
      <c r="AU23" s="58">
        <f>IFERROR('Biyemas S.A.'!AU23+'Kandiko S.A'!AU23+'Rebisco S.A.'!AU23,0)</f>
        <v>0</v>
      </c>
      <c r="AV23" s="37" t="str">
        <f t="shared" si="6"/>
        <v/>
      </c>
      <c r="AW23" s="38" t="str">
        <f t="shared" si="7"/>
        <v/>
      </c>
      <c r="AY23" s="180" t="str">
        <f>IF(A23=BP23,+'Biyemas S.A.'!AY23+'Kandiko S.A'!AY23+'Rebisco S.A.'!AY23,"")</f>
        <v/>
      </c>
      <c r="AZ23" s="252" t="str">
        <f t="shared" si="22"/>
        <v/>
      </c>
      <c r="BA23" s="255" t="str">
        <f>IF(A23=BP23,+'Biyemas S.A.'!BA23+'Kandiko S.A'!BA23+'Rebisco S.A.'!BA23,"")</f>
        <v/>
      </c>
      <c r="BB23" s="181" t="str">
        <f t="shared" si="23"/>
        <v/>
      </c>
      <c r="BC23" s="255" t="str">
        <f>IF(A23=BP23,+'Biyemas S.A.'!BC23+'Kandiko S.A'!BC23+'Rebisco S.A.'!BC23,"")</f>
        <v/>
      </c>
      <c r="BD23" s="181" t="str">
        <f t="shared" si="24"/>
        <v/>
      </c>
      <c r="BE23" s="29" t="str">
        <f>IF(A23="","",VLOOKUP(B23,'Datos Consolidados'!B25:BF62,53,0))</f>
        <v/>
      </c>
      <c r="BF23" s="28" t="str">
        <f>IF(A23="","",VLOOKUP(B23,'Datos Consolidados'!B25:BF62,54,0))</f>
        <v/>
      </c>
      <c r="BG23" s="28" t="str">
        <f>IF(A23="","",VLOOKUP(B23,'Datos Consolidados'!B25:BF62,55,0))</f>
        <v/>
      </c>
      <c r="BH23" s="28" t="str">
        <f>IF(A23="","",VLOOKUP(B23,'Datos Consolidados'!B25:BF62,51,0))</f>
        <v/>
      </c>
      <c r="BI23" s="28" t="str">
        <f>IF(A23="","",VLOOKUP(B23,'Datos Consolidados'!B25:BF62,52,0))</f>
        <v/>
      </c>
      <c r="BJ23" s="211" t="str">
        <f t="shared" si="25"/>
        <v/>
      </c>
      <c r="BK23" s="27" t="str">
        <f t="shared" si="26"/>
        <v/>
      </c>
      <c r="BL23" s="29" t="str">
        <f t="shared" si="27"/>
        <v/>
      </c>
      <c r="BM23" s="28" t="str">
        <f t="shared" si="8"/>
        <v/>
      </c>
      <c r="BN23" s="181" t="str">
        <f>+'Biyemas S.A.'!BN23</f>
        <v/>
      </c>
      <c r="BO23" s="59"/>
      <c r="BP23" s="39" t="str">
        <f>+'Biyemas S.A.'!BP23</f>
        <v xml:space="preserve">Lun/Mon    </v>
      </c>
    </row>
    <row r="24" spans="1:68" ht="11.25" customHeight="1" x14ac:dyDescent="0.2">
      <c r="A24" s="188" t="str">
        <f>IF(BP24='Datos Biyemas'!A26,'Datos Biyemas'!A26,"")</f>
        <v/>
      </c>
      <c r="B24" s="185" t="str">
        <f>IF(BP24=A24,'Datos Biyemas'!B26,"")</f>
        <v/>
      </c>
      <c r="C24" s="186" t="str">
        <f>IF(A24=BP24,+'Biyemas S.A.'!C24+'Kandiko S.A'!C24+'Rebisco S.A.'!C24,"")</f>
        <v/>
      </c>
      <c r="D24" s="32" t="str">
        <f>IF(A24=BP24,+'Biyemas S.A.'!D24+'Kandiko S.A'!D24+'Rebisco S.A.'!D24,"")</f>
        <v/>
      </c>
      <c r="E24" s="32" t="str">
        <f>IF(A24=BP24,+'Biyemas S.A.'!E24+'Kandiko S.A'!E24+'Rebisco S.A.'!E24,"")</f>
        <v/>
      </c>
      <c r="F24" s="32" t="str">
        <f>IF(A24=BP24,+'Biyemas S.A.'!F24+'Kandiko S.A'!F24+'Rebisco S.A.'!F24,"")</f>
        <v/>
      </c>
      <c r="G24" s="32" t="str">
        <f>IF(A24=BP24,+'Biyemas S.A.'!G24+'Kandiko S.A'!G24+'Rebisco S.A.'!G24,"")</f>
        <v/>
      </c>
      <c r="H24" s="33" t="str">
        <f t="shared" si="0"/>
        <v/>
      </c>
      <c r="I24" s="33" t="str">
        <f t="shared" si="9"/>
        <v/>
      </c>
      <c r="J24" s="34" t="str">
        <f t="shared" si="10"/>
        <v/>
      </c>
      <c r="K24" s="31" t="str">
        <f t="shared" si="11"/>
        <v/>
      </c>
      <c r="L24" s="37" t="str">
        <f>IF(A24=BP24,+'Biyemas S.A.'!L24+'Kandiko S.A'!L24+'Rebisco S.A.'!L24,"")</f>
        <v/>
      </c>
      <c r="M24" s="32" t="str">
        <f>IF(A24=BP24,+'Biyemas S.A.'!M24+'Kandiko S.A'!M24+'Rebisco S.A.'!M24,"")</f>
        <v/>
      </c>
      <c r="N24" s="32" t="str">
        <f>IF(A24=BP24,+'Biyemas S.A.'!N24+'Kandiko S.A'!N24+'Rebisco S.A.'!N24,"")</f>
        <v/>
      </c>
      <c r="O24" s="32" t="str">
        <f>IF(A24=BP24,+'Biyemas S.A.'!O24+'Kandiko S.A'!O24+'Rebisco S.A.'!O24,"")</f>
        <v/>
      </c>
      <c r="P24" s="33" t="str">
        <f t="shared" si="35"/>
        <v/>
      </c>
      <c r="Q24" s="33" t="str">
        <f t="shared" si="36"/>
        <v/>
      </c>
      <c r="R24" s="34" t="str">
        <f t="shared" si="37"/>
        <v/>
      </c>
      <c r="S24" s="31" t="str">
        <f t="shared" si="38"/>
        <v/>
      </c>
      <c r="T24" s="32" t="str">
        <f t="shared" si="28"/>
        <v/>
      </c>
      <c r="U24" s="35" t="str">
        <f t="shared" si="29"/>
        <v/>
      </c>
      <c r="V24" s="32" t="str">
        <f>IF(A24="","",VLOOKUP(B24,'Datos Biyemas'!B26:BB63,21,0))</f>
        <v/>
      </c>
      <c r="W24" s="32" t="str">
        <f>IF(A24="","",VLOOKUP(B24,'Datos Biyemas'!B26:BB63,22,0))</f>
        <v/>
      </c>
      <c r="X24" s="32" t="str">
        <f>IF(A24="","",VLOOKUP(B24,'Datos Biyemas'!B26:BB63,23,0))</f>
        <v/>
      </c>
      <c r="Y24" s="32" t="str">
        <f>IF(A24="","",VLOOKUP(B24,'Datos Biyemas'!B26:BB63,24,0))</f>
        <v/>
      </c>
      <c r="Z24" s="33" t="str">
        <f t="shared" si="30"/>
        <v/>
      </c>
      <c r="AA24" s="33" t="str">
        <f t="shared" si="31"/>
        <v/>
      </c>
      <c r="AB24" s="34" t="str">
        <f t="shared" si="32"/>
        <v/>
      </c>
      <c r="AC24" s="32" t="str">
        <f t="shared" si="33"/>
        <v/>
      </c>
      <c r="AD24" s="37" t="str">
        <f t="shared" si="3"/>
        <v/>
      </c>
      <c r="AE24" s="32" t="str">
        <f>IF(A24=BP24,+'Biyemas S.A.'!AE24+'Kandiko S.A'!AE24+'Rebisco S.A.'!AE24,"")</f>
        <v/>
      </c>
      <c r="AF24" s="31" t="str">
        <f t="shared" si="4"/>
        <v/>
      </c>
      <c r="AG24" s="32" t="str">
        <f>IF(A24=BP24,+'Biyemas S.A.'!AG24+'Kandiko S.A'!AG24+'Rebisco S.A.'!AG24,"")</f>
        <v/>
      </c>
      <c r="AH24" s="32" t="str">
        <f>IF(A24=BP24,+'Biyemas S.A.'!AH24+'Kandiko S.A'!AH24+'Rebisco S.A.'!AH24,"")</f>
        <v/>
      </c>
      <c r="AI24" s="32" t="str">
        <f>IF(A24=BP24,+'Biyemas S.A.'!AI24+'Kandiko S.A'!AI24+'Rebisco S.A.'!AI24,"")</f>
        <v/>
      </c>
      <c r="AJ24" s="34" t="str">
        <f t="shared" si="34"/>
        <v/>
      </c>
      <c r="AK24" s="35" t="str">
        <f t="shared" si="20"/>
        <v/>
      </c>
      <c r="AL24" s="37" t="str">
        <f>IF(A24=BP24,+'Biyemas S.A.'!AL24+'Kandiko S.A'!AL24+'Rebisco S.A.'!AL24,"")</f>
        <v/>
      </c>
      <c r="AM24" s="58" t="str">
        <f t="shared" si="5"/>
        <v/>
      </c>
      <c r="AN24" s="262" t="str">
        <f>IF(A24=BP24,+'Biyemas S.A.'!AN24+'Kandiko S.A'!AN24+'Rebisco S.A.'!AN24,"")</f>
        <v/>
      </c>
      <c r="AO24" s="32" t="str">
        <f>IF(A24=BP24,+'Biyemas S.A.'!AO24+'Kandiko S.A'!AO24+'Rebisco S.A.'!AO24,"")</f>
        <v/>
      </c>
      <c r="AP24" s="36" t="str">
        <f t="shared" si="21"/>
        <v/>
      </c>
      <c r="AQ24" s="58" t="str">
        <f>IF(A24=BP24,+'Biyemas S.A.'!AQ24+'Kandiko S.A'!AQ24+'Rebisco S.A.'!AQ24,"")</f>
        <v/>
      </c>
      <c r="AR24" s="58" t="str">
        <f>IF(A24=BP24,+'Biyemas S.A.'!AR24+'Kandiko S.A'!AR24+'Rebisco S.A.'!AR24,"")</f>
        <v/>
      </c>
      <c r="AS24" s="58" t="str">
        <f>IF(A24=BP24,+'Biyemas S.A.'!AS24+'Kandiko S.A'!AS24+'Rebisco S.A.'!AS24,"")</f>
        <v/>
      </c>
      <c r="AT24" s="58" t="str">
        <f>IF(A24=BP24,+'Biyemas S.A.'!AT24+'Kandiko S.A'!AT24+'Rebisco S.A.'!AT24,"")</f>
        <v/>
      </c>
      <c r="AU24" s="58">
        <f>IFERROR('Biyemas S.A.'!AU24+'Kandiko S.A'!AU24+'Rebisco S.A.'!AU24,0)</f>
        <v>0</v>
      </c>
      <c r="AV24" s="37" t="str">
        <f t="shared" si="6"/>
        <v/>
      </c>
      <c r="AW24" s="38" t="str">
        <f t="shared" si="7"/>
        <v/>
      </c>
      <c r="AY24" s="180" t="str">
        <f>IF(A24=BP24,+'Biyemas S.A.'!AY24+'Kandiko S.A'!AY24+'Rebisco S.A.'!AY24,"")</f>
        <v/>
      </c>
      <c r="AZ24" s="252" t="str">
        <f t="shared" si="22"/>
        <v/>
      </c>
      <c r="BA24" s="255" t="str">
        <f>IF(A24=BP24,+'Biyemas S.A.'!BA24+'Kandiko S.A'!BA24+'Rebisco S.A.'!BA24,"")</f>
        <v/>
      </c>
      <c r="BB24" s="181" t="str">
        <f t="shared" si="23"/>
        <v/>
      </c>
      <c r="BC24" s="255" t="str">
        <f>IF(A24=BP24,+'Biyemas S.A.'!BC24+'Kandiko S.A'!BC24+'Rebisco S.A.'!BC24,"")</f>
        <v/>
      </c>
      <c r="BD24" s="181" t="str">
        <f t="shared" si="24"/>
        <v/>
      </c>
      <c r="BE24" s="29" t="str">
        <f>IF(A24="","",VLOOKUP(B24,'Datos Consolidados'!B26:BF63,53,0))</f>
        <v/>
      </c>
      <c r="BF24" s="28" t="str">
        <f>IF(A24="","",VLOOKUP(B24,'Datos Consolidados'!B26:BF63,54,0))</f>
        <v/>
      </c>
      <c r="BG24" s="28" t="str">
        <f>IF(A24="","",VLOOKUP(B24,'Datos Consolidados'!B26:BF63,55,0))</f>
        <v/>
      </c>
      <c r="BH24" s="28" t="str">
        <f>IF(A24="","",VLOOKUP(B24,'Datos Consolidados'!B26:BF63,51,0))</f>
        <v/>
      </c>
      <c r="BI24" s="28" t="str">
        <f>IF(A24="","",VLOOKUP(B24,'Datos Consolidados'!B26:BF63,52,0))</f>
        <v/>
      </c>
      <c r="BJ24" s="211" t="str">
        <f t="shared" si="25"/>
        <v/>
      </c>
      <c r="BK24" s="27" t="str">
        <f t="shared" si="26"/>
        <v/>
      </c>
      <c r="BL24" s="29" t="str">
        <f t="shared" si="27"/>
        <v/>
      </c>
      <c r="BM24" s="28" t="str">
        <f t="shared" si="8"/>
        <v/>
      </c>
      <c r="BN24" s="181" t="str">
        <f>+'Biyemas S.A.'!BN24</f>
        <v/>
      </c>
      <c r="BO24" s="59"/>
      <c r="BP24" s="39" t="str">
        <f>+'Biyemas S.A.'!BP24</f>
        <v xml:space="preserve">Mar/Tue    </v>
      </c>
    </row>
    <row r="25" spans="1:68" ht="11.25" customHeight="1" x14ac:dyDescent="0.2">
      <c r="A25" s="188" t="str">
        <f>IF(BP25='Datos Biyemas'!A27,'Datos Biyemas'!A27,"")</f>
        <v/>
      </c>
      <c r="B25" s="185" t="str">
        <f>IF(BP25=A25,'Datos Biyemas'!B27,"")</f>
        <v/>
      </c>
      <c r="C25" s="186" t="str">
        <f>IF(A25=BP25,+'Biyemas S.A.'!C25+'Kandiko S.A'!C25+'Rebisco S.A.'!C25,"")</f>
        <v/>
      </c>
      <c r="D25" s="32" t="str">
        <f>IF(A25=BP25,+'Biyemas S.A.'!D25+'Kandiko S.A'!D25+'Rebisco S.A.'!D25,"")</f>
        <v/>
      </c>
      <c r="E25" s="32" t="str">
        <f>IF(A25=BP25,+'Biyemas S.A.'!E25+'Kandiko S.A'!E25+'Rebisco S.A.'!E25,"")</f>
        <v/>
      </c>
      <c r="F25" s="32" t="str">
        <f>IF(A25=BP25,+'Biyemas S.A.'!F25+'Kandiko S.A'!F25+'Rebisco S.A.'!F25,"")</f>
        <v/>
      </c>
      <c r="G25" s="32" t="str">
        <f>IF(A25=BP25,+'Biyemas S.A.'!G25+'Kandiko S.A'!G25+'Rebisco S.A.'!G25,"")</f>
        <v/>
      </c>
      <c r="H25" s="33" t="str">
        <f t="shared" si="0"/>
        <v/>
      </c>
      <c r="I25" s="33" t="str">
        <f t="shared" si="9"/>
        <v/>
      </c>
      <c r="J25" s="34" t="str">
        <f t="shared" si="10"/>
        <v/>
      </c>
      <c r="K25" s="31" t="str">
        <f t="shared" si="11"/>
        <v/>
      </c>
      <c r="L25" s="37" t="str">
        <f>IF(A25=BP25,+'Biyemas S.A.'!L25+'Kandiko S.A'!L25+'Rebisco S.A.'!L25,"")</f>
        <v/>
      </c>
      <c r="M25" s="32" t="str">
        <f>IF(A25=BP25,+'Biyemas S.A.'!M25+'Kandiko S.A'!M25+'Rebisco S.A.'!M25,"")</f>
        <v/>
      </c>
      <c r="N25" s="32" t="str">
        <f>IF(A25=BP25,+'Biyemas S.A.'!N25+'Kandiko S.A'!N25+'Rebisco S.A.'!N25,"")</f>
        <v/>
      </c>
      <c r="O25" s="32" t="str">
        <f>IF(A25=BP25,+'Biyemas S.A.'!O25+'Kandiko S.A'!O25+'Rebisco S.A.'!O25,"")</f>
        <v/>
      </c>
      <c r="P25" s="33" t="str">
        <f t="shared" si="35"/>
        <v/>
      </c>
      <c r="Q25" s="33" t="str">
        <f t="shared" si="36"/>
        <v/>
      </c>
      <c r="R25" s="34" t="str">
        <f t="shared" si="37"/>
        <v/>
      </c>
      <c r="S25" s="31" t="str">
        <f t="shared" si="38"/>
        <v/>
      </c>
      <c r="T25" s="32" t="str">
        <f t="shared" si="28"/>
        <v/>
      </c>
      <c r="U25" s="35" t="str">
        <f t="shared" si="29"/>
        <v/>
      </c>
      <c r="V25" s="32" t="str">
        <f>IF(A25="","",VLOOKUP(B25,'Datos Biyemas'!B27:BB64,21,0))</f>
        <v/>
      </c>
      <c r="W25" s="32" t="str">
        <f>IF(A25="","",VLOOKUP(B25,'Datos Biyemas'!B27:BB64,22,0))</f>
        <v/>
      </c>
      <c r="X25" s="32" t="str">
        <f>IF(A25="","",VLOOKUP(B25,'Datos Biyemas'!B27:BB64,23,0))</f>
        <v/>
      </c>
      <c r="Y25" s="32" t="str">
        <f>IF(A25="","",VLOOKUP(B25,'Datos Biyemas'!B27:BB64,24,0))</f>
        <v/>
      </c>
      <c r="Z25" s="33" t="str">
        <f t="shared" si="30"/>
        <v/>
      </c>
      <c r="AA25" s="33" t="str">
        <f t="shared" si="31"/>
        <v/>
      </c>
      <c r="AB25" s="34" t="str">
        <f t="shared" si="32"/>
        <v/>
      </c>
      <c r="AC25" s="32" t="str">
        <f t="shared" si="33"/>
        <v/>
      </c>
      <c r="AD25" s="37" t="str">
        <f t="shared" si="3"/>
        <v/>
      </c>
      <c r="AE25" s="32" t="str">
        <f>IF(A25=BP25,+'Biyemas S.A.'!AE25+'Kandiko S.A'!AE25+'Rebisco S.A.'!AE25,"")</f>
        <v/>
      </c>
      <c r="AF25" s="31" t="str">
        <f t="shared" si="4"/>
        <v/>
      </c>
      <c r="AG25" s="32" t="str">
        <f>IF(A25=BP25,+'Biyemas S.A.'!AG25+'Kandiko S.A'!AG25+'Rebisco S.A.'!AG25,"")</f>
        <v/>
      </c>
      <c r="AH25" s="32" t="str">
        <f>IF(A25=BP25,+'Biyemas S.A.'!AH25+'Kandiko S.A'!AH25+'Rebisco S.A.'!AH25,"")</f>
        <v/>
      </c>
      <c r="AI25" s="32" t="str">
        <f>IF(A25=BP25,+'Biyemas S.A.'!AI25+'Kandiko S.A'!AI25+'Rebisco S.A.'!AI25,"")</f>
        <v/>
      </c>
      <c r="AJ25" s="34" t="str">
        <f t="shared" si="34"/>
        <v/>
      </c>
      <c r="AK25" s="35" t="str">
        <f t="shared" si="20"/>
        <v/>
      </c>
      <c r="AL25" s="37" t="str">
        <f>IF(A25=BP25,+'Biyemas S.A.'!AL25+'Kandiko S.A'!AL25+'Rebisco S.A.'!AL25,"")</f>
        <v/>
      </c>
      <c r="AM25" s="58" t="str">
        <f t="shared" si="5"/>
        <v/>
      </c>
      <c r="AN25" s="262" t="str">
        <f>IF(A25=BP25,+'Biyemas S.A.'!AN25+'Kandiko S.A'!AN25+'Rebisco S.A.'!AN25,"")</f>
        <v/>
      </c>
      <c r="AO25" s="32" t="str">
        <f>IF(A25=BP25,+'Biyemas S.A.'!AO25+'Kandiko S.A'!AO25+'Rebisco S.A.'!AO25,"")</f>
        <v/>
      </c>
      <c r="AP25" s="36" t="str">
        <f t="shared" si="21"/>
        <v/>
      </c>
      <c r="AQ25" s="58" t="str">
        <f>IF(A25=BP25,+'Biyemas S.A.'!AQ25+'Kandiko S.A'!AQ25+'Rebisco S.A.'!AQ25,"")</f>
        <v/>
      </c>
      <c r="AR25" s="58" t="str">
        <f>IF(A25=BP25,+'Biyemas S.A.'!AR25+'Kandiko S.A'!AR25+'Rebisco S.A.'!AR25,"")</f>
        <v/>
      </c>
      <c r="AS25" s="58" t="str">
        <f>IF(A25=BP25,+'Biyemas S.A.'!AS25+'Kandiko S.A'!AS25+'Rebisco S.A.'!AS25,"")</f>
        <v/>
      </c>
      <c r="AT25" s="58" t="str">
        <f>IF(A25=BP25,+'Biyemas S.A.'!AT25+'Kandiko S.A'!AT25+'Rebisco S.A.'!AT25,"")</f>
        <v/>
      </c>
      <c r="AU25" s="58">
        <f>IFERROR('Biyemas S.A.'!AU25+'Kandiko S.A'!AU25+'Rebisco S.A.'!AU25,0)</f>
        <v>0</v>
      </c>
      <c r="AV25" s="37" t="str">
        <f t="shared" si="6"/>
        <v/>
      </c>
      <c r="AW25" s="38" t="str">
        <f t="shared" si="7"/>
        <v/>
      </c>
      <c r="AY25" s="180" t="str">
        <f>IF(A25=BP25,+'Biyemas S.A.'!AY25+'Kandiko S.A'!AY25+'Rebisco S.A.'!AY25,"")</f>
        <v/>
      </c>
      <c r="AZ25" s="252" t="str">
        <f t="shared" si="22"/>
        <v/>
      </c>
      <c r="BA25" s="255" t="str">
        <f>IF(A25=BP25,+'Biyemas S.A.'!BA25+'Kandiko S.A'!BA25+'Rebisco S.A.'!BA25,"")</f>
        <v/>
      </c>
      <c r="BB25" s="181" t="str">
        <f t="shared" si="23"/>
        <v/>
      </c>
      <c r="BC25" s="255" t="str">
        <f>IF(A25=BP25,+'Biyemas S.A.'!BC25+'Kandiko S.A'!BC25+'Rebisco S.A.'!BC25,"")</f>
        <v/>
      </c>
      <c r="BD25" s="181" t="str">
        <f t="shared" si="24"/>
        <v/>
      </c>
      <c r="BE25" s="29" t="str">
        <f>IF(A25="","",VLOOKUP(B25,'Datos Consolidados'!B27:BF64,53,0))</f>
        <v/>
      </c>
      <c r="BF25" s="28" t="str">
        <f>IF(A25="","",VLOOKUP(B25,'Datos Consolidados'!B27:BF64,54,0))</f>
        <v/>
      </c>
      <c r="BG25" s="28" t="str">
        <f>IF(A25="","",VLOOKUP(B25,'Datos Consolidados'!B27:BF64,55,0))</f>
        <v/>
      </c>
      <c r="BH25" s="28" t="str">
        <f>IF(A25="","",VLOOKUP(B25,'Datos Consolidados'!B27:BF64,51,0))</f>
        <v/>
      </c>
      <c r="BI25" s="28" t="str">
        <f>IF(A25="","",VLOOKUP(B25,'Datos Consolidados'!B27:BF64,52,0))</f>
        <v/>
      </c>
      <c r="BJ25" s="211" t="str">
        <f t="shared" si="25"/>
        <v/>
      </c>
      <c r="BK25" s="27" t="str">
        <f t="shared" si="26"/>
        <v/>
      </c>
      <c r="BL25" s="29" t="str">
        <f t="shared" si="27"/>
        <v/>
      </c>
      <c r="BM25" s="28" t="str">
        <f t="shared" si="8"/>
        <v/>
      </c>
      <c r="BN25" s="181" t="str">
        <f>+'Biyemas S.A.'!BN25</f>
        <v/>
      </c>
      <c r="BO25" s="59"/>
      <c r="BP25" s="39" t="str">
        <f>+'Biyemas S.A.'!BP25</f>
        <v xml:space="preserve">Mie/Wed    </v>
      </c>
    </row>
    <row r="26" spans="1:68" ht="11.25" customHeight="1" x14ac:dyDescent="0.2">
      <c r="A26" s="188" t="str">
        <f>IF(BP26='Datos Biyemas'!A28,'Datos Biyemas'!A28,"")</f>
        <v/>
      </c>
      <c r="B26" s="185" t="str">
        <f>IF(BP26=A26,'Datos Biyemas'!B28,"")</f>
        <v/>
      </c>
      <c r="C26" s="186" t="str">
        <f>IF(A26=BP26,+'Biyemas S.A.'!C26+'Kandiko S.A'!C26+'Rebisco S.A.'!C26,"")</f>
        <v/>
      </c>
      <c r="D26" s="32" t="str">
        <f>IF(A26=BP26,+'Biyemas S.A.'!D26+'Kandiko S.A'!D26+'Rebisco S.A.'!D26,"")</f>
        <v/>
      </c>
      <c r="E26" s="32" t="str">
        <f>IF(A26=BP26,+'Biyemas S.A.'!E26+'Kandiko S.A'!E26+'Rebisco S.A.'!E26,"")</f>
        <v/>
      </c>
      <c r="F26" s="32" t="str">
        <f>IF(A26=BP26,+'Biyemas S.A.'!F26+'Kandiko S.A'!F26+'Rebisco S.A.'!F26,"")</f>
        <v/>
      </c>
      <c r="G26" s="32" t="str">
        <f>IF(A26=BP26,+'Biyemas S.A.'!G26+'Kandiko S.A'!G26+'Rebisco S.A.'!G26,"")</f>
        <v/>
      </c>
      <c r="H26" s="33" t="str">
        <f t="shared" si="0"/>
        <v/>
      </c>
      <c r="I26" s="33" t="str">
        <f t="shared" si="9"/>
        <v/>
      </c>
      <c r="J26" s="34" t="str">
        <f t="shared" si="10"/>
        <v/>
      </c>
      <c r="K26" s="31" t="str">
        <f t="shared" si="11"/>
        <v/>
      </c>
      <c r="L26" s="37" t="str">
        <f>IF(A26=BP26,+'Biyemas S.A.'!L26+'Kandiko S.A'!L26+'Rebisco S.A.'!L26,"")</f>
        <v/>
      </c>
      <c r="M26" s="32" t="str">
        <f>IF(A26=BP26,+'Biyemas S.A.'!M26+'Kandiko S.A'!M26+'Rebisco S.A.'!M26,"")</f>
        <v/>
      </c>
      <c r="N26" s="32" t="str">
        <f>IF(A26=BP26,+'Biyemas S.A.'!N26+'Kandiko S.A'!N26+'Rebisco S.A.'!N26,"")</f>
        <v/>
      </c>
      <c r="O26" s="32" t="str">
        <f>IF(A26=BP26,+'Biyemas S.A.'!O26+'Kandiko S.A'!O26+'Rebisco S.A.'!O26,"")</f>
        <v/>
      </c>
      <c r="P26" s="33" t="str">
        <f t="shared" si="35"/>
        <v/>
      </c>
      <c r="Q26" s="33" t="str">
        <f t="shared" si="36"/>
        <v/>
      </c>
      <c r="R26" s="34" t="str">
        <f t="shared" si="37"/>
        <v/>
      </c>
      <c r="S26" s="31" t="str">
        <f t="shared" si="38"/>
        <v/>
      </c>
      <c r="T26" s="32" t="str">
        <f t="shared" si="28"/>
        <v/>
      </c>
      <c r="U26" s="35" t="str">
        <f t="shared" si="29"/>
        <v/>
      </c>
      <c r="V26" s="32" t="str">
        <f>IF(A26="","",VLOOKUP(B26,'Datos Biyemas'!B28:BB65,21,0))</f>
        <v/>
      </c>
      <c r="W26" s="32" t="str">
        <f>IF(A26="","",VLOOKUP(B26,'Datos Biyemas'!B28:BB65,22,0))</f>
        <v/>
      </c>
      <c r="X26" s="32" t="str">
        <f>IF(A26="","",VLOOKUP(B26,'Datos Biyemas'!B28:BB65,23,0))</f>
        <v/>
      </c>
      <c r="Y26" s="32" t="str">
        <f>IF(A26="","",VLOOKUP(B26,'Datos Biyemas'!B28:BB65,24,0))</f>
        <v/>
      </c>
      <c r="Z26" s="33" t="str">
        <f t="shared" si="30"/>
        <v/>
      </c>
      <c r="AA26" s="33" t="str">
        <f t="shared" si="31"/>
        <v/>
      </c>
      <c r="AB26" s="34" t="str">
        <f t="shared" si="32"/>
        <v/>
      </c>
      <c r="AC26" s="32" t="str">
        <f t="shared" si="33"/>
        <v/>
      </c>
      <c r="AD26" s="37" t="str">
        <f t="shared" si="3"/>
        <v/>
      </c>
      <c r="AE26" s="32" t="str">
        <f>IF(A26=BP26,+'Biyemas S.A.'!AE26+'Kandiko S.A'!AE26+'Rebisco S.A.'!AE26,"")</f>
        <v/>
      </c>
      <c r="AF26" s="31" t="str">
        <f t="shared" si="4"/>
        <v/>
      </c>
      <c r="AG26" s="32" t="str">
        <f>IF(A26=BP26,+'Biyemas S.A.'!AG26+'Kandiko S.A'!AG26+'Rebisco S.A.'!AG26,"")</f>
        <v/>
      </c>
      <c r="AH26" s="32" t="str">
        <f>IF(A26=BP26,+'Biyemas S.A.'!AH26+'Kandiko S.A'!AH26+'Rebisco S.A.'!AH26,"")</f>
        <v/>
      </c>
      <c r="AI26" s="32" t="str">
        <f>IF(A26=BP26,+'Biyemas S.A.'!AI26+'Kandiko S.A'!AI26+'Rebisco S.A.'!AI26,"")</f>
        <v/>
      </c>
      <c r="AJ26" s="34" t="str">
        <f t="shared" si="34"/>
        <v/>
      </c>
      <c r="AK26" s="35" t="str">
        <f t="shared" si="20"/>
        <v/>
      </c>
      <c r="AL26" s="37" t="str">
        <f>IF(A26=BP26,+'Biyemas S.A.'!AL26+'Kandiko S.A'!AL26+'Rebisco S.A.'!AL26,"")</f>
        <v/>
      </c>
      <c r="AM26" s="58" t="str">
        <f t="shared" si="5"/>
        <v/>
      </c>
      <c r="AN26" s="262" t="str">
        <f>IF(A26=BP26,+'Biyemas S.A.'!AN26+'Kandiko S.A'!AN26+'Rebisco S.A.'!AN26,"")</f>
        <v/>
      </c>
      <c r="AO26" s="32" t="str">
        <f>IF(A26=BP26,+'Biyemas S.A.'!AO26+'Kandiko S.A'!AO26+'Rebisco S.A.'!AO26,"")</f>
        <v/>
      </c>
      <c r="AP26" s="36" t="str">
        <f t="shared" si="21"/>
        <v/>
      </c>
      <c r="AQ26" s="58" t="str">
        <f>IF(A26=BP26,+'Biyemas S.A.'!AQ26+'Kandiko S.A'!AQ26+'Rebisco S.A.'!AQ26,"")</f>
        <v/>
      </c>
      <c r="AR26" s="58" t="str">
        <f>IF(A26=BP26,+'Biyemas S.A.'!AR26+'Kandiko S.A'!AR26+'Rebisco S.A.'!AR26,"")</f>
        <v/>
      </c>
      <c r="AS26" s="58" t="str">
        <f>IF(A26=BP26,+'Biyemas S.A.'!AS26+'Kandiko S.A'!AS26+'Rebisco S.A.'!AS26,"")</f>
        <v/>
      </c>
      <c r="AT26" s="58" t="str">
        <f>IF(A26=BP26,+'Biyemas S.A.'!AT26+'Kandiko S.A'!AT26+'Rebisco S.A.'!AT26,"")</f>
        <v/>
      </c>
      <c r="AU26" s="58">
        <f>IFERROR('Biyemas S.A.'!AU26+'Kandiko S.A'!AU26+'Rebisco S.A.'!AU26,0)</f>
        <v>0</v>
      </c>
      <c r="AV26" s="37" t="str">
        <f t="shared" si="6"/>
        <v/>
      </c>
      <c r="AW26" s="38" t="str">
        <f t="shared" si="7"/>
        <v/>
      </c>
      <c r="AY26" s="180" t="str">
        <f>IF(A26=BP26,+'Biyemas S.A.'!AY26+'Kandiko S.A'!AY26+'Rebisco S.A.'!AY26,"")</f>
        <v/>
      </c>
      <c r="AZ26" s="252" t="str">
        <f t="shared" si="22"/>
        <v/>
      </c>
      <c r="BA26" s="255" t="str">
        <f>IF(A26=BP26,+'Biyemas S.A.'!BA26+'Kandiko S.A'!BA26+'Rebisco S.A.'!BA26,"")</f>
        <v/>
      </c>
      <c r="BB26" s="181" t="str">
        <f t="shared" si="23"/>
        <v/>
      </c>
      <c r="BC26" s="255" t="str">
        <f>IF(A26=BP26,+'Biyemas S.A.'!BC26+'Kandiko S.A'!BC26+'Rebisco S.A.'!BC26,"")</f>
        <v/>
      </c>
      <c r="BD26" s="181" t="str">
        <f t="shared" si="24"/>
        <v/>
      </c>
      <c r="BE26" s="29" t="str">
        <f>IF(A26="","",VLOOKUP(B26,'Datos Consolidados'!B28:BF65,53,0))</f>
        <v/>
      </c>
      <c r="BF26" s="28" t="str">
        <f>IF(A26="","",VLOOKUP(B26,'Datos Consolidados'!B28:BF65,54,0))</f>
        <v/>
      </c>
      <c r="BG26" s="28" t="str">
        <f>IF(A26="","",VLOOKUP(B26,'Datos Consolidados'!B28:BF65,55,0))</f>
        <v/>
      </c>
      <c r="BH26" s="28" t="str">
        <f>IF(A26="","",VLOOKUP(B26,'Datos Consolidados'!B28:BF65,51,0))</f>
        <v/>
      </c>
      <c r="BI26" s="28" t="str">
        <f>IF(A26="","",VLOOKUP(B26,'Datos Consolidados'!B28:BF65,52,0))</f>
        <v/>
      </c>
      <c r="BJ26" s="211" t="str">
        <f t="shared" si="25"/>
        <v/>
      </c>
      <c r="BK26" s="27" t="str">
        <f t="shared" si="26"/>
        <v/>
      </c>
      <c r="BL26" s="29" t="str">
        <f t="shared" si="27"/>
        <v/>
      </c>
      <c r="BM26" s="28" t="str">
        <f t="shared" si="8"/>
        <v/>
      </c>
      <c r="BN26" s="181" t="str">
        <f>+'Biyemas S.A.'!BN26</f>
        <v/>
      </c>
      <c r="BO26" s="59"/>
      <c r="BP26" s="39" t="str">
        <f>+'Biyemas S.A.'!BP26</f>
        <v xml:space="preserve">Jue/Thu    </v>
      </c>
    </row>
    <row r="27" spans="1:68" ht="11.25" customHeight="1" x14ac:dyDescent="0.2">
      <c r="A27" s="188" t="str">
        <f>IF(BP27='Datos Biyemas'!A29,'Datos Biyemas'!A29,"")</f>
        <v/>
      </c>
      <c r="B27" s="185" t="str">
        <f>IF(BP27=A27,'Datos Biyemas'!B29,"")</f>
        <v/>
      </c>
      <c r="C27" s="186" t="str">
        <f>IF(A27=BP27,+'Biyemas S.A.'!C27+'Kandiko S.A'!C27+'Rebisco S.A.'!C27,"")</f>
        <v/>
      </c>
      <c r="D27" s="32" t="str">
        <f>IF(A27=BP27,+'Biyemas S.A.'!D27+'Kandiko S.A'!D27+'Rebisco S.A.'!D27,"")</f>
        <v/>
      </c>
      <c r="E27" s="32" t="str">
        <f>IF(A27=BP27,+'Biyemas S.A.'!E27+'Kandiko S.A'!E27+'Rebisco S.A.'!E27,"")</f>
        <v/>
      </c>
      <c r="F27" s="32" t="str">
        <f>IF(A27=BP27,+'Biyemas S.A.'!F27+'Kandiko S.A'!F27+'Rebisco S.A.'!F27,"")</f>
        <v/>
      </c>
      <c r="G27" s="32" t="str">
        <f>IF(A27=BP27,+'Biyemas S.A.'!G27+'Kandiko S.A'!G27+'Rebisco S.A.'!G27,"")</f>
        <v/>
      </c>
      <c r="H27" s="33" t="str">
        <f t="shared" si="0"/>
        <v/>
      </c>
      <c r="I27" s="33" t="str">
        <f t="shared" si="9"/>
        <v/>
      </c>
      <c r="J27" s="34" t="str">
        <f t="shared" si="10"/>
        <v/>
      </c>
      <c r="K27" s="31" t="str">
        <f t="shared" si="11"/>
        <v/>
      </c>
      <c r="L27" s="37" t="str">
        <f>IF(A27=BP27,+'Biyemas S.A.'!L27+'Kandiko S.A'!L27+'Rebisco S.A.'!L27,"")</f>
        <v/>
      </c>
      <c r="M27" s="32" t="str">
        <f>IF(A27=BP27,+'Biyemas S.A.'!M27+'Kandiko S.A'!M27+'Rebisco S.A.'!M27,"")</f>
        <v/>
      </c>
      <c r="N27" s="32" t="str">
        <f>IF(A27=BP27,+'Biyemas S.A.'!N27+'Kandiko S.A'!N27+'Rebisco S.A.'!N27,"")</f>
        <v/>
      </c>
      <c r="O27" s="32" t="str">
        <f>IF(A27=BP27,+'Biyemas S.A.'!O27+'Kandiko S.A'!O27+'Rebisco S.A.'!O27,"")</f>
        <v/>
      </c>
      <c r="P27" s="33" t="str">
        <f t="shared" si="35"/>
        <v/>
      </c>
      <c r="Q27" s="33" t="str">
        <f t="shared" si="36"/>
        <v/>
      </c>
      <c r="R27" s="34" t="str">
        <f t="shared" si="37"/>
        <v/>
      </c>
      <c r="S27" s="31" t="str">
        <f t="shared" si="38"/>
        <v/>
      </c>
      <c r="T27" s="32" t="str">
        <f t="shared" si="28"/>
        <v/>
      </c>
      <c r="U27" s="35" t="str">
        <f t="shared" si="29"/>
        <v/>
      </c>
      <c r="V27" s="32" t="str">
        <f>IF(A27="","",VLOOKUP(B27,'Datos Biyemas'!B29:BB66,21,0))</f>
        <v/>
      </c>
      <c r="W27" s="32" t="str">
        <f>IF(A27="","",VLOOKUP(B27,'Datos Biyemas'!B29:BB66,22,0))</f>
        <v/>
      </c>
      <c r="X27" s="32" t="str">
        <f>IF(A27="","",VLOOKUP(B27,'Datos Biyemas'!B29:BB66,23,0))</f>
        <v/>
      </c>
      <c r="Y27" s="32" t="str">
        <f>IF(A27="","",VLOOKUP(B27,'Datos Biyemas'!B29:BB66,24,0))</f>
        <v/>
      </c>
      <c r="Z27" s="33" t="str">
        <f t="shared" si="30"/>
        <v/>
      </c>
      <c r="AA27" s="33" t="str">
        <f t="shared" si="31"/>
        <v/>
      </c>
      <c r="AB27" s="34" t="str">
        <f t="shared" si="32"/>
        <v/>
      </c>
      <c r="AC27" s="32" t="str">
        <f t="shared" si="33"/>
        <v/>
      </c>
      <c r="AD27" s="37" t="str">
        <f t="shared" si="3"/>
        <v/>
      </c>
      <c r="AE27" s="32" t="str">
        <f>IF(A27=BP27,+'Biyemas S.A.'!AE27+'Kandiko S.A'!AE27+'Rebisco S.A.'!AE27,"")</f>
        <v/>
      </c>
      <c r="AF27" s="31" t="str">
        <f t="shared" si="4"/>
        <v/>
      </c>
      <c r="AG27" s="32" t="str">
        <f>IF(A27=BP27,+'Biyemas S.A.'!AG27+'Kandiko S.A'!AG27+'Rebisco S.A.'!AG27,"")</f>
        <v/>
      </c>
      <c r="AH27" s="32" t="str">
        <f>IF(A27=BP27,+'Biyemas S.A.'!AH27+'Kandiko S.A'!AH27+'Rebisco S.A.'!AH27,"")</f>
        <v/>
      </c>
      <c r="AI27" s="32" t="str">
        <f>IF(A27=BP27,+'Biyemas S.A.'!AI27+'Kandiko S.A'!AI27+'Rebisco S.A.'!AI27,"")</f>
        <v/>
      </c>
      <c r="AJ27" s="34" t="str">
        <f t="shared" si="34"/>
        <v/>
      </c>
      <c r="AK27" s="35" t="str">
        <f t="shared" si="20"/>
        <v/>
      </c>
      <c r="AL27" s="37" t="str">
        <f>IF(A27=BP27,+'Biyemas S.A.'!AL27+'Kandiko S.A'!AL27+'Rebisco S.A.'!AL27,"")</f>
        <v/>
      </c>
      <c r="AM27" s="58" t="str">
        <f t="shared" si="5"/>
        <v/>
      </c>
      <c r="AN27" s="262" t="str">
        <f>IF(A27=BP27,+'Biyemas S.A.'!AN27+'Kandiko S.A'!AN27+'Rebisco S.A.'!AN27,"")</f>
        <v/>
      </c>
      <c r="AO27" s="32" t="str">
        <f>IF(A27=BP27,+'Biyemas S.A.'!AO27+'Kandiko S.A'!AO27+'Rebisco S.A.'!AO27,"")</f>
        <v/>
      </c>
      <c r="AP27" s="36" t="str">
        <f t="shared" si="21"/>
        <v/>
      </c>
      <c r="AQ27" s="58" t="str">
        <f>IF(A27=BP27,+'Biyemas S.A.'!AQ27+'Kandiko S.A'!AQ27+'Rebisco S.A.'!AQ27,"")</f>
        <v/>
      </c>
      <c r="AR27" s="58" t="str">
        <f>IF(A27=BP27,+'Biyemas S.A.'!AR27+'Kandiko S.A'!AR27+'Rebisco S.A.'!AR27,"")</f>
        <v/>
      </c>
      <c r="AS27" s="58" t="str">
        <f>IF(A27=BP27,+'Biyemas S.A.'!AS27+'Kandiko S.A'!AS27+'Rebisco S.A.'!AS27,"")</f>
        <v/>
      </c>
      <c r="AT27" s="58" t="str">
        <f>IF(A27=BP27,+'Biyemas S.A.'!AT27+'Kandiko S.A'!AT27+'Rebisco S.A.'!AT27,"")</f>
        <v/>
      </c>
      <c r="AU27" s="58">
        <f>IFERROR('Biyemas S.A.'!AU27+'Kandiko S.A'!AU27+'Rebisco S.A.'!AU27,0)</f>
        <v>0</v>
      </c>
      <c r="AV27" s="37" t="str">
        <f t="shared" si="6"/>
        <v/>
      </c>
      <c r="AW27" s="38" t="str">
        <f t="shared" si="7"/>
        <v/>
      </c>
      <c r="AY27" s="180" t="str">
        <f>IF(A27=BP27,+'Biyemas S.A.'!AY27+'Kandiko S.A'!AY27+'Rebisco S.A.'!AY27,"")</f>
        <v/>
      </c>
      <c r="AZ27" s="252" t="str">
        <f t="shared" si="22"/>
        <v/>
      </c>
      <c r="BA27" s="255" t="str">
        <f>IF(A27=BP27,+'Biyemas S.A.'!BA27+'Kandiko S.A'!BA27+'Rebisco S.A.'!BA27,"")</f>
        <v/>
      </c>
      <c r="BB27" s="181" t="str">
        <f t="shared" si="23"/>
        <v/>
      </c>
      <c r="BC27" s="255" t="str">
        <f>IF(A27=BP27,+'Biyemas S.A.'!BC27+'Kandiko S.A'!BC27+'Rebisco S.A.'!BC27,"")</f>
        <v/>
      </c>
      <c r="BD27" s="181" t="str">
        <f t="shared" si="24"/>
        <v/>
      </c>
      <c r="BE27" s="29" t="str">
        <f>IF(A27="","",VLOOKUP(B27,'Datos Consolidados'!B29:BF66,53,0))</f>
        <v/>
      </c>
      <c r="BF27" s="28" t="str">
        <f>IF(A27="","",VLOOKUP(B27,'Datos Consolidados'!B29:BF66,54,0))</f>
        <v/>
      </c>
      <c r="BG27" s="28" t="str">
        <f>IF(A27="","",VLOOKUP(B27,'Datos Consolidados'!B29:BF66,55,0))</f>
        <v/>
      </c>
      <c r="BH27" s="28" t="str">
        <f>IF(A27="","",VLOOKUP(B27,'Datos Consolidados'!B29:BF66,51,0))</f>
        <v/>
      </c>
      <c r="BI27" s="28" t="str">
        <f>IF(A27="","",VLOOKUP(B27,'Datos Consolidados'!B29:BF66,52,0))</f>
        <v/>
      </c>
      <c r="BJ27" s="211" t="str">
        <f t="shared" si="25"/>
        <v/>
      </c>
      <c r="BK27" s="27" t="str">
        <f t="shared" si="26"/>
        <v/>
      </c>
      <c r="BL27" s="29" t="str">
        <f t="shared" si="27"/>
        <v/>
      </c>
      <c r="BM27" s="28" t="str">
        <f t="shared" si="8"/>
        <v/>
      </c>
      <c r="BN27" s="181" t="str">
        <f>+'Biyemas S.A.'!BN27</f>
        <v/>
      </c>
      <c r="BO27" s="59"/>
      <c r="BP27" s="39" t="str">
        <f>+'Biyemas S.A.'!BP27</f>
        <v xml:space="preserve">Vie/Fri    </v>
      </c>
    </row>
    <row r="28" spans="1:68" ht="11.25" customHeight="1" x14ac:dyDescent="0.2">
      <c r="A28" s="188" t="str">
        <f>IF(BP28='Datos Biyemas'!A30,'Datos Biyemas'!A30,"")</f>
        <v/>
      </c>
      <c r="B28" s="185" t="str">
        <f>IF(BP28=A28,'Datos Biyemas'!B30,"")</f>
        <v/>
      </c>
      <c r="C28" s="186" t="str">
        <f>IF(A28=BP28,+'Biyemas S.A.'!C28+'Kandiko S.A'!C28+'Rebisco S.A.'!C28,"")</f>
        <v/>
      </c>
      <c r="D28" s="32" t="str">
        <f>IF(A28=BP28,+'Biyemas S.A.'!D28+'Kandiko S.A'!D28+'Rebisco S.A.'!D28,"")</f>
        <v/>
      </c>
      <c r="E28" s="32" t="str">
        <f>IF(A28=BP28,+'Biyemas S.A.'!E28+'Kandiko S.A'!E28+'Rebisco S.A.'!E28,"")</f>
        <v/>
      </c>
      <c r="F28" s="32" t="str">
        <f>IF(A28=BP28,+'Biyemas S.A.'!F28+'Kandiko S.A'!F28+'Rebisco S.A.'!F28,"")</f>
        <v/>
      </c>
      <c r="G28" s="32" t="str">
        <f>IF(A28=BP28,+'Biyemas S.A.'!G28+'Kandiko S.A'!G28+'Rebisco S.A.'!G28,"")</f>
        <v/>
      </c>
      <c r="H28" s="33" t="str">
        <f t="shared" si="0"/>
        <v/>
      </c>
      <c r="I28" s="33" t="str">
        <f t="shared" si="9"/>
        <v/>
      </c>
      <c r="J28" s="34" t="str">
        <f t="shared" si="10"/>
        <v/>
      </c>
      <c r="K28" s="31" t="str">
        <f t="shared" si="11"/>
        <v/>
      </c>
      <c r="L28" s="37" t="str">
        <f>IF(A28=BP28,+'Biyemas S.A.'!L28+'Kandiko S.A'!L28+'Rebisco S.A.'!L28,"")</f>
        <v/>
      </c>
      <c r="M28" s="32" t="str">
        <f>IF(A28=BP28,+'Biyemas S.A.'!M28+'Kandiko S.A'!M28+'Rebisco S.A.'!M28,"")</f>
        <v/>
      </c>
      <c r="N28" s="32" t="str">
        <f>IF(A28=BP28,+'Biyemas S.A.'!N28+'Kandiko S.A'!N28+'Rebisco S.A.'!N28,"")</f>
        <v/>
      </c>
      <c r="O28" s="32" t="str">
        <f>IF(A28=BP28,+'Biyemas S.A.'!O28+'Kandiko S.A'!O28+'Rebisco S.A.'!O28,"")</f>
        <v/>
      </c>
      <c r="P28" s="33" t="str">
        <f t="shared" si="35"/>
        <v/>
      </c>
      <c r="Q28" s="33" t="str">
        <f t="shared" si="36"/>
        <v/>
      </c>
      <c r="R28" s="34" t="str">
        <f t="shared" si="37"/>
        <v/>
      </c>
      <c r="S28" s="31" t="str">
        <f t="shared" si="38"/>
        <v/>
      </c>
      <c r="T28" s="32" t="str">
        <f t="shared" si="28"/>
        <v/>
      </c>
      <c r="U28" s="35" t="str">
        <f t="shared" si="29"/>
        <v/>
      </c>
      <c r="V28" s="32" t="str">
        <f>IF(A28="","",VLOOKUP(B28,'Datos Biyemas'!B30:BB67,21,0))</f>
        <v/>
      </c>
      <c r="W28" s="32" t="str">
        <f>IF(A28="","",VLOOKUP(B28,'Datos Biyemas'!B30:BB67,22,0))</f>
        <v/>
      </c>
      <c r="X28" s="32" t="str">
        <f>IF(A28="","",VLOOKUP(B28,'Datos Biyemas'!B30:BB67,23,0))</f>
        <v/>
      </c>
      <c r="Y28" s="32" t="str">
        <f>IF(A28="","",VLOOKUP(B28,'Datos Biyemas'!B30:BB67,24,0))</f>
        <v/>
      </c>
      <c r="Z28" s="33" t="str">
        <f t="shared" si="30"/>
        <v/>
      </c>
      <c r="AA28" s="33" t="str">
        <f t="shared" si="31"/>
        <v/>
      </c>
      <c r="AB28" s="34" t="str">
        <f t="shared" si="32"/>
        <v/>
      </c>
      <c r="AC28" s="32" t="str">
        <f t="shared" si="33"/>
        <v/>
      </c>
      <c r="AD28" s="37" t="str">
        <f t="shared" si="3"/>
        <v/>
      </c>
      <c r="AE28" s="32" t="str">
        <f>IF(A28=BP28,+'Biyemas S.A.'!AE28+'Kandiko S.A'!AE28+'Rebisco S.A.'!AE28,"")</f>
        <v/>
      </c>
      <c r="AF28" s="31" t="str">
        <f t="shared" si="4"/>
        <v/>
      </c>
      <c r="AG28" s="32" t="str">
        <f>IF(A28=BP28,+'Biyemas S.A.'!AG28+'Kandiko S.A'!AG28+'Rebisco S.A.'!AG28,"")</f>
        <v/>
      </c>
      <c r="AH28" s="32" t="str">
        <f>IF(A28=BP28,+'Biyemas S.A.'!AH28+'Kandiko S.A'!AH28+'Rebisco S.A.'!AH28,"")</f>
        <v/>
      </c>
      <c r="AI28" s="32" t="str">
        <f>IF(A28=BP28,+'Biyemas S.A.'!AI28+'Kandiko S.A'!AI28+'Rebisco S.A.'!AI28,"")</f>
        <v/>
      </c>
      <c r="AJ28" s="34" t="str">
        <f t="shared" si="34"/>
        <v/>
      </c>
      <c r="AK28" s="35" t="str">
        <f t="shared" si="20"/>
        <v/>
      </c>
      <c r="AL28" s="37" t="str">
        <f>IF(A28=BP28,+'Biyemas S.A.'!AL28+'Kandiko S.A'!AL28+'Rebisco S.A.'!AL28,"")</f>
        <v/>
      </c>
      <c r="AM28" s="58" t="str">
        <f t="shared" si="5"/>
        <v/>
      </c>
      <c r="AN28" s="262" t="str">
        <f>IF(A28=BP28,+'Biyemas S.A.'!AN28+'Kandiko S.A'!AN28+'Rebisco S.A.'!AN28,"")</f>
        <v/>
      </c>
      <c r="AO28" s="32" t="str">
        <f>IF(A28=BP28,+'Biyemas S.A.'!AO28+'Kandiko S.A'!AO28+'Rebisco S.A.'!AO28,"")</f>
        <v/>
      </c>
      <c r="AP28" s="36" t="str">
        <f t="shared" si="21"/>
        <v/>
      </c>
      <c r="AQ28" s="58" t="str">
        <f>IF(A28=BP28,+'Biyemas S.A.'!AQ28+'Kandiko S.A'!AQ28+'Rebisco S.A.'!AQ28,"")</f>
        <v/>
      </c>
      <c r="AR28" s="58" t="str">
        <f>IF(A28=BP28,+'Biyemas S.A.'!AR28+'Kandiko S.A'!AR28+'Rebisco S.A.'!AR28,"")</f>
        <v/>
      </c>
      <c r="AS28" s="58" t="str">
        <f>IF(A28=BP28,+'Biyemas S.A.'!AS28+'Kandiko S.A'!AS28+'Rebisco S.A.'!AS28,"")</f>
        <v/>
      </c>
      <c r="AT28" s="58" t="str">
        <f>IF(A28=BP28,+'Biyemas S.A.'!AT28+'Kandiko S.A'!AT28+'Rebisco S.A.'!AT28,"")</f>
        <v/>
      </c>
      <c r="AU28" s="58">
        <f>IFERROR('Biyemas S.A.'!AU28+'Kandiko S.A'!AU28+'Rebisco S.A.'!AU28,0)</f>
        <v>0</v>
      </c>
      <c r="AV28" s="37" t="str">
        <f t="shared" si="6"/>
        <v/>
      </c>
      <c r="AW28" s="38" t="str">
        <f t="shared" si="7"/>
        <v/>
      </c>
      <c r="AY28" s="180" t="str">
        <f>IF(A28=BP28,+'Biyemas S.A.'!AY28+'Kandiko S.A'!AY28+'Rebisco S.A.'!AY28,"")</f>
        <v/>
      </c>
      <c r="AZ28" s="252" t="str">
        <f t="shared" si="22"/>
        <v/>
      </c>
      <c r="BA28" s="255" t="str">
        <f>IF(A28=BP28,+'Biyemas S.A.'!BA28+'Kandiko S.A'!BA28+'Rebisco S.A.'!BA28,"")</f>
        <v/>
      </c>
      <c r="BB28" s="181" t="str">
        <f t="shared" si="23"/>
        <v/>
      </c>
      <c r="BC28" s="255" t="str">
        <f>IF(A28=BP28,+'Biyemas S.A.'!BC28+'Kandiko S.A'!BC28+'Rebisco S.A.'!BC28,"")</f>
        <v/>
      </c>
      <c r="BD28" s="181" t="str">
        <f t="shared" si="24"/>
        <v/>
      </c>
      <c r="BE28" s="29" t="str">
        <f>IF(A28="","",VLOOKUP(B28,'Datos Consolidados'!B30:BF67,53,0))</f>
        <v/>
      </c>
      <c r="BF28" s="28" t="str">
        <f>IF(A28="","",VLOOKUP(B28,'Datos Consolidados'!B30:BF67,54,0))</f>
        <v/>
      </c>
      <c r="BG28" s="28" t="str">
        <f>IF(A28="","",VLOOKUP(B28,'Datos Consolidados'!B30:BF67,55,0))</f>
        <v/>
      </c>
      <c r="BH28" s="28" t="str">
        <f>IF(A28="","",VLOOKUP(B28,'Datos Consolidados'!B30:BF67,51,0))</f>
        <v/>
      </c>
      <c r="BI28" s="28" t="str">
        <f>IF(A28="","",VLOOKUP(B28,'Datos Consolidados'!B30:BF67,52,0))</f>
        <v/>
      </c>
      <c r="BJ28" s="211" t="str">
        <f t="shared" si="25"/>
        <v/>
      </c>
      <c r="BK28" s="27" t="str">
        <f t="shared" si="26"/>
        <v/>
      </c>
      <c r="BL28" s="29" t="str">
        <f t="shared" si="27"/>
        <v/>
      </c>
      <c r="BM28" s="28" t="str">
        <f t="shared" si="8"/>
        <v/>
      </c>
      <c r="BN28" s="181" t="str">
        <f>+'Biyemas S.A.'!BN28</f>
        <v/>
      </c>
      <c r="BO28" s="59"/>
      <c r="BP28" s="39" t="str">
        <f>+'Biyemas S.A.'!BP28</f>
        <v xml:space="preserve">Sab/Sat    </v>
      </c>
    </row>
    <row r="29" spans="1:68" ht="11.25" customHeight="1" x14ac:dyDescent="0.2">
      <c r="A29" s="188" t="str">
        <f>IF(BP29='Datos Biyemas'!A31,'Datos Biyemas'!A31,"")</f>
        <v/>
      </c>
      <c r="B29" s="185" t="str">
        <f>IF(BP29=A29,'Datos Biyemas'!B31,"")</f>
        <v/>
      </c>
      <c r="C29" s="186" t="str">
        <f>IF(A29=BP29,+'Biyemas S.A.'!C29+'Kandiko S.A'!C29+'Rebisco S.A.'!C29,"")</f>
        <v/>
      </c>
      <c r="D29" s="32" t="str">
        <f>IF(A29=BP29,+'Biyemas S.A.'!D29+'Kandiko S.A'!D29+'Rebisco S.A.'!D29,"")</f>
        <v/>
      </c>
      <c r="E29" s="32" t="str">
        <f>IF(A29=BP29,+'Biyemas S.A.'!E29+'Kandiko S.A'!E29+'Rebisco S.A.'!E29,"")</f>
        <v/>
      </c>
      <c r="F29" s="32" t="str">
        <f>IF(A29=BP29,+'Biyemas S.A.'!F29+'Kandiko S.A'!F29+'Rebisco S.A.'!F29,"")</f>
        <v/>
      </c>
      <c r="G29" s="32" t="str">
        <f>IF(A29=BP29,+'Biyemas S.A.'!G29+'Kandiko S.A'!G29+'Rebisco S.A.'!G29,"")</f>
        <v/>
      </c>
      <c r="H29" s="33" t="str">
        <f t="shared" si="0"/>
        <v/>
      </c>
      <c r="I29" s="33" t="str">
        <f t="shared" si="9"/>
        <v/>
      </c>
      <c r="J29" s="34" t="str">
        <f t="shared" si="10"/>
        <v/>
      </c>
      <c r="K29" s="31" t="str">
        <f t="shared" si="11"/>
        <v/>
      </c>
      <c r="L29" s="37" t="str">
        <f>IF(A29=BP29,+'Biyemas S.A.'!L29+'Kandiko S.A'!L29+'Rebisco S.A.'!L29,"")</f>
        <v/>
      </c>
      <c r="M29" s="32" t="str">
        <f>IF(A29=BP29,+'Biyemas S.A.'!M29+'Kandiko S.A'!M29+'Rebisco S.A.'!M29,"")</f>
        <v/>
      </c>
      <c r="N29" s="32" t="str">
        <f>IF(A29=BP29,+'Biyemas S.A.'!N29+'Kandiko S.A'!N29+'Rebisco S.A.'!N29,"")</f>
        <v/>
      </c>
      <c r="O29" s="32" t="str">
        <f>IF(A29=BP29,+'Biyemas S.A.'!O29+'Kandiko S.A'!O29+'Rebisco S.A.'!O29,"")</f>
        <v/>
      </c>
      <c r="P29" s="33" t="str">
        <f t="shared" si="35"/>
        <v/>
      </c>
      <c r="Q29" s="33" t="str">
        <f t="shared" si="36"/>
        <v/>
      </c>
      <c r="R29" s="34" t="str">
        <f t="shared" si="37"/>
        <v/>
      </c>
      <c r="S29" s="31" t="str">
        <f t="shared" si="38"/>
        <v/>
      </c>
      <c r="T29" s="32" t="str">
        <f t="shared" si="28"/>
        <v/>
      </c>
      <c r="U29" s="35" t="str">
        <f t="shared" si="29"/>
        <v/>
      </c>
      <c r="V29" s="32" t="str">
        <f>IF(A29="","",VLOOKUP(B29,'Datos Biyemas'!B31:BB68,21,0))</f>
        <v/>
      </c>
      <c r="W29" s="32" t="str">
        <f>IF(A29="","",VLOOKUP(B29,'Datos Biyemas'!B31:BB68,22,0))</f>
        <v/>
      </c>
      <c r="X29" s="32" t="str">
        <f>IF(A29="","",VLOOKUP(B29,'Datos Biyemas'!B31:BB68,23,0))</f>
        <v/>
      </c>
      <c r="Y29" s="32" t="str">
        <f>IF(A29="","",VLOOKUP(B29,'Datos Biyemas'!B31:BB68,24,0))</f>
        <v/>
      </c>
      <c r="Z29" s="33" t="str">
        <f t="shared" si="30"/>
        <v/>
      </c>
      <c r="AA29" s="33" t="str">
        <f t="shared" si="31"/>
        <v/>
      </c>
      <c r="AB29" s="34" t="str">
        <f t="shared" si="32"/>
        <v/>
      </c>
      <c r="AC29" s="32" t="str">
        <f t="shared" si="33"/>
        <v/>
      </c>
      <c r="AD29" s="37" t="str">
        <f t="shared" si="3"/>
        <v/>
      </c>
      <c r="AE29" s="32" t="str">
        <f>IF(A29=BP29,+'Biyemas S.A.'!AE29+'Kandiko S.A'!AE29+'Rebisco S.A.'!AE29,"")</f>
        <v/>
      </c>
      <c r="AF29" s="31" t="str">
        <f t="shared" si="4"/>
        <v/>
      </c>
      <c r="AG29" s="32" t="str">
        <f>IF(A29=BP29,+'Biyemas S.A.'!AG29+'Kandiko S.A'!AG29+'Rebisco S.A.'!AG29,"")</f>
        <v/>
      </c>
      <c r="AH29" s="32" t="str">
        <f>IF(A29=BP29,+'Biyemas S.A.'!AH29+'Kandiko S.A'!AH29+'Rebisco S.A.'!AH29,"")</f>
        <v/>
      </c>
      <c r="AI29" s="32" t="str">
        <f>IF(A29=BP29,+'Biyemas S.A.'!AI29+'Kandiko S.A'!AI29+'Rebisco S.A.'!AI29,"")</f>
        <v/>
      </c>
      <c r="AJ29" s="34" t="str">
        <f t="shared" si="34"/>
        <v/>
      </c>
      <c r="AK29" s="35" t="str">
        <f t="shared" si="20"/>
        <v/>
      </c>
      <c r="AL29" s="37" t="str">
        <f>IF(A29=BP29,+'Biyemas S.A.'!AL29+'Kandiko S.A'!AL29+'Rebisco S.A.'!AL29,"")</f>
        <v/>
      </c>
      <c r="AM29" s="58" t="str">
        <f t="shared" si="5"/>
        <v/>
      </c>
      <c r="AN29" s="262" t="str">
        <f>IF(A29=BP29,+'Biyemas S.A.'!AN29+'Kandiko S.A'!AN29+'Rebisco S.A.'!AN29,"")</f>
        <v/>
      </c>
      <c r="AO29" s="32" t="str">
        <f>IF(A29=BP29,+'Biyemas S.A.'!AO29+'Kandiko S.A'!AO29+'Rebisco S.A.'!AO29,"")</f>
        <v/>
      </c>
      <c r="AP29" s="36" t="str">
        <f t="shared" si="21"/>
        <v/>
      </c>
      <c r="AQ29" s="58" t="str">
        <f>IF(A29=BP29,+'Biyemas S.A.'!AQ29+'Kandiko S.A'!AQ29+'Rebisco S.A.'!AQ29,"")</f>
        <v/>
      </c>
      <c r="AR29" s="58" t="str">
        <f>IF(A29=BP29,+'Biyemas S.A.'!AR29+'Kandiko S.A'!AR29+'Rebisco S.A.'!AR29,"")</f>
        <v/>
      </c>
      <c r="AS29" s="58" t="str">
        <f>IF(A29=BP29,+'Biyemas S.A.'!AS29+'Kandiko S.A'!AS29+'Rebisco S.A.'!AS29,"")</f>
        <v/>
      </c>
      <c r="AT29" s="58" t="str">
        <f>IF(A29=BP29,+'Biyemas S.A.'!AT29+'Kandiko S.A'!AT29+'Rebisco S.A.'!AT29,"")</f>
        <v/>
      </c>
      <c r="AU29" s="58">
        <f>IFERROR('Biyemas S.A.'!AU29+'Kandiko S.A'!AU29+'Rebisco S.A.'!AU29,0)</f>
        <v>0</v>
      </c>
      <c r="AV29" s="37" t="str">
        <f t="shared" si="6"/>
        <v/>
      </c>
      <c r="AW29" s="38" t="str">
        <f t="shared" si="7"/>
        <v/>
      </c>
      <c r="AY29" s="180" t="str">
        <f>IF(A29=BP29,+'Biyemas S.A.'!AY29+'Kandiko S.A'!AY29+'Rebisco S.A.'!AY29,"")</f>
        <v/>
      </c>
      <c r="AZ29" s="252" t="str">
        <f t="shared" si="22"/>
        <v/>
      </c>
      <c r="BA29" s="255" t="str">
        <f>IF(A29=BP29,+'Biyemas S.A.'!BA29+'Kandiko S.A'!BA29+'Rebisco S.A.'!BA29,"")</f>
        <v/>
      </c>
      <c r="BB29" s="181" t="str">
        <f t="shared" si="23"/>
        <v/>
      </c>
      <c r="BC29" s="255" t="str">
        <f>IF(A29=BP29,+'Biyemas S.A.'!BC29+'Kandiko S.A'!BC29+'Rebisco S.A.'!BC29,"")</f>
        <v/>
      </c>
      <c r="BD29" s="181" t="str">
        <f t="shared" si="24"/>
        <v/>
      </c>
      <c r="BE29" s="29" t="str">
        <f>IF(A29="","",VLOOKUP(B29,'Datos Consolidados'!B31:BF68,53,0))</f>
        <v/>
      </c>
      <c r="BF29" s="28" t="str">
        <f>IF(A29="","",VLOOKUP(B29,'Datos Consolidados'!B31:BF68,54,0))</f>
        <v/>
      </c>
      <c r="BG29" s="28" t="str">
        <f>IF(A29="","",VLOOKUP(B29,'Datos Consolidados'!B31:BF68,55,0))</f>
        <v/>
      </c>
      <c r="BH29" s="28" t="str">
        <f>IF(A29="","",VLOOKUP(B29,'Datos Consolidados'!B31:BF68,51,0))</f>
        <v/>
      </c>
      <c r="BI29" s="28" t="str">
        <f>IF(A29="","",VLOOKUP(B29,'Datos Consolidados'!B31:BF68,52,0))</f>
        <v/>
      </c>
      <c r="BJ29" s="211" t="str">
        <f t="shared" si="25"/>
        <v/>
      </c>
      <c r="BK29" s="27" t="str">
        <f t="shared" si="26"/>
        <v/>
      </c>
      <c r="BL29" s="29" t="str">
        <f t="shared" si="27"/>
        <v/>
      </c>
      <c r="BM29" s="28" t="str">
        <f t="shared" si="8"/>
        <v/>
      </c>
      <c r="BN29" s="181" t="str">
        <f>+'Biyemas S.A.'!BN29</f>
        <v/>
      </c>
      <c r="BO29" s="59"/>
      <c r="BP29" s="39" t="str">
        <f>+'Biyemas S.A.'!BP29</f>
        <v xml:space="preserve">Dom/Sun    </v>
      </c>
    </row>
    <row r="30" spans="1:68" ht="11.25" customHeight="1" x14ac:dyDescent="0.2">
      <c r="A30" s="188" t="str">
        <f>IF(BP30='Datos Biyemas'!A32,'Datos Biyemas'!A32,"")</f>
        <v/>
      </c>
      <c r="B30" s="185" t="str">
        <f>IF(BP30=A30,'Datos Biyemas'!B32,"")</f>
        <v/>
      </c>
      <c r="C30" s="186" t="str">
        <f>IF(A30=BP30,+'Biyemas S.A.'!C30+'Kandiko S.A'!C30+'Rebisco S.A.'!C30,"")</f>
        <v/>
      </c>
      <c r="D30" s="32" t="str">
        <f>IF(A30=BP30,+'Biyemas S.A.'!D30+'Kandiko S.A'!D30+'Rebisco S.A.'!D30,"")</f>
        <v/>
      </c>
      <c r="E30" s="32" t="str">
        <f>IF(A30=BP30,+'Biyemas S.A.'!E30+'Kandiko S.A'!E30+'Rebisco S.A.'!E30,"")</f>
        <v/>
      </c>
      <c r="F30" s="32" t="str">
        <f>IF(A30=BP30,+'Biyemas S.A.'!F30+'Kandiko S.A'!F30+'Rebisco S.A.'!F30,"")</f>
        <v/>
      </c>
      <c r="G30" s="32" t="str">
        <f>IF(A30=BP30,+'Biyemas S.A.'!G30+'Kandiko S.A'!G30+'Rebisco S.A.'!G30,"")</f>
        <v/>
      </c>
      <c r="H30" s="33" t="str">
        <f t="shared" si="0"/>
        <v/>
      </c>
      <c r="I30" s="33" t="str">
        <f t="shared" si="9"/>
        <v/>
      </c>
      <c r="J30" s="34" t="str">
        <f t="shared" si="10"/>
        <v/>
      </c>
      <c r="K30" s="31" t="str">
        <f t="shared" si="11"/>
        <v/>
      </c>
      <c r="L30" s="37" t="str">
        <f>IF(A30=BP30,+'Biyemas S.A.'!L30+'Kandiko S.A'!L30+'Rebisco S.A.'!L30,"")</f>
        <v/>
      </c>
      <c r="M30" s="32" t="str">
        <f>IF(A30=BP30,+'Biyemas S.A.'!M30+'Kandiko S.A'!M30+'Rebisco S.A.'!M30,"")</f>
        <v/>
      </c>
      <c r="N30" s="32" t="str">
        <f>IF(A30=BP30,+'Biyemas S.A.'!N30+'Kandiko S.A'!N30+'Rebisco S.A.'!N30,"")</f>
        <v/>
      </c>
      <c r="O30" s="32" t="str">
        <f>IF(A30=BP30,+'Biyemas S.A.'!O30+'Kandiko S.A'!O30+'Rebisco S.A.'!O30,"")</f>
        <v/>
      </c>
      <c r="P30" s="33" t="str">
        <f t="shared" si="35"/>
        <v/>
      </c>
      <c r="Q30" s="33" t="str">
        <f t="shared" si="36"/>
        <v/>
      </c>
      <c r="R30" s="34" t="str">
        <f t="shared" si="37"/>
        <v/>
      </c>
      <c r="S30" s="31" t="str">
        <f t="shared" si="38"/>
        <v/>
      </c>
      <c r="T30" s="32" t="str">
        <f t="shared" si="28"/>
        <v/>
      </c>
      <c r="U30" s="35" t="str">
        <f t="shared" si="29"/>
        <v/>
      </c>
      <c r="V30" s="32" t="str">
        <f>IF(A30="","",VLOOKUP(B30,'Datos Biyemas'!B32:BB69,21,0))</f>
        <v/>
      </c>
      <c r="W30" s="32" t="str">
        <f>IF(A30="","",VLOOKUP(B30,'Datos Biyemas'!B32:BB69,22,0))</f>
        <v/>
      </c>
      <c r="X30" s="32" t="str">
        <f>IF(A30="","",VLOOKUP(B30,'Datos Biyemas'!B32:BB69,23,0))</f>
        <v/>
      </c>
      <c r="Y30" s="32" t="str">
        <f>IF(A30="","",VLOOKUP(B30,'Datos Biyemas'!B32:BB69,24,0))</f>
        <v/>
      </c>
      <c r="Z30" s="33" t="str">
        <f t="shared" si="30"/>
        <v/>
      </c>
      <c r="AA30" s="33" t="str">
        <f t="shared" si="31"/>
        <v/>
      </c>
      <c r="AB30" s="34" t="str">
        <f t="shared" si="32"/>
        <v/>
      </c>
      <c r="AC30" s="32" t="str">
        <f t="shared" si="33"/>
        <v/>
      </c>
      <c r="AD30" s="37" t="str">
        <f t="shared" si="3"/>
        <v/>
      </c>
      <c r="AE30" s="32" t="str">
        <f>IF(A30=BP30,+'Biyemas S.A.'!AE30+'Kandiko S.A'!AE30+'Rebisco S.A.'!AE30,"")</f>
        <v/>
      </c>
      <c r="AF30" s="31" t="str">
        <f t="shared" si="4"/>
        <v/>
      </c>
      <c r="AG30" s="32" t="str">
        <f>IF(A30=BP30,+'Biyemas S.A.'!AG30+'Kandiko S.A'!AG30+'Rebisco S.A.'!AG30,"")</f>
        <v/>
      </c>
      <c r="AH30" s="32" t="str">
        <f>IF(A30=BP30,+'Biyemas S.A.'!AH30+'Kandiko S.A'!AH30+'Rebisco S.A.'!AH30,"")</f>
        <v/>
      </c>
      <c r="AI30" s="32" t="str">
        <f>IF(A30=BP30,+'Biyemas S.A.'!AI30+'Kandiko S.A'!AI30+'Rebisco S.A.'!AI30,"")</f>
        <v/>
      </c>
      <c r="AJ30" s="34" t="str">
        <f t="shared" si="34"/>
        <v/>
      </c>
      <c r="AK30" s="35" t="str">
        <f t="shared" si="20"/>
        <v/>
      </c>
      <c r="AL30" s="37" t="str">
        <f>IF(A30=BP30,+'Biyemas S.A.'!AL30+'Kandiko S.A'!AL30+'Rebisco S.A.'!AL30,"")</f>
        <v/>
      </c>
      <c r="AM30" s="58" t="str">
        <f t="shared" si="5"/>
        <v/>
      </c>
      <c r="AN30" s="262" t="str">
        <f>IF(A30=BP30,+'Biyemas S.A.'!AN30+'Kandiko S.A'!AN30+'Rebisco S.A.'!AN30,"")</f>
        <v/>
      </c>
      <c r="AO30" s="32" t="str">
        <f>IF(A30=BP30,+'Biyemas S.A.'!AO30+'Kandiko S.A'!AO30+'Rebisco S.A.'!AO30,"")</f>
        <v/>
      </c>
      <c r="AP30" s="36" t="str">
        <f t="shared" si="21"/>
        <v/>
      </c>
      <c r="AQ30" s="58" t="str">
        <f>IF(A30=BP30,+'Biyemas S.A.'!AQ30+'Kandiko S.A'!AQ30+'Rebisco S.A.'!AQ30,"")</f>
        <v/>
      </c>
      <c r="AR30" s="58" t="str">
        <f>IF(A30=BP30,+'Biyemas S.A.'!AR30+'Kandiko S.A'!AR30+'Rebisco S.A.'!AR30,"")</f>
        <v/>
      </c>
      <c r="AS30" s="58" t="str">
        <f>IF(A30=BP30,+'Biyemas S.A.'!AS30+'Kandiko S.A'!AS30+'Rebisco S.A.'!AS30,"")</f>
        <v/>
      </c>
      <c r="AT30" s="58" t="str">
        <f>IF(A30=BP30,+'Biyemas S.A.'!AT30+'Kandiko S.A'!AT30+'Rebisco S.A.'!AT30,"")</f>
        <v/>
      </c>
      <c r="AU30" s="58">
        <f>IFERROR('Biyemas S.A.'!AU30+'Kandiko S.A'!AU30+'Rebisco S.A.'!AU30,0)</f>
        <v>0</v>
      </c>
      <c r="AV30" s="37" t="str">
        <f t="shared" si="6"/>
        <v/>
      </c>
      <c r="AW30" s="38" t="str">
        <f t="shared" si="7"/>
        <v/>
      </c>
      <c r="AY30" s="180" t="str">
        <f>IF(A30=BP30,+'Biyemas S.A.'!AY30+'Kandiko S.A'!AY30+'Rebisco S.A.'!AY30,"")</f>
        <v/>
      </c>
      <c r="AZ30" s="252" t="str">
        <f t="shared" si="22"/>
        <v/>
      </c>
      <c r="BA30" s="255" t="str">
        <f>IF(A30=BP30,+'Biyemas S.A.'!BA30+'Kandiko S.A'!BA30+'Rebisco S.A.'!BA30,"")</f>
        <v/>
      </c>
      <c r="BB30" s="181" t="str">
        <f t="shared" si="23"/>
        <v/>
      </c>
      <c r="BC30" s="255" t="str">
        <f>IF(A30=BP30,+'Biyemas S.A.'!BC30+'Kandiko S.A'!BC30+'Rebisco S.A.'!BC30,"")</f>
        <v/>
      </c>
      <c r="BD30" s="181" t="str">
        <f t="shared" si="24"/>
        <v/>
      </c>
      <c r="BE30" s="29" t="str">
        <f>IF(A30="","",VLOOKUP(B30,'Datos Consolidados'!B32:BF69,53,0))</f>
        <v/>
      </c>
      <c r="BF30" s="28" t="str">
        <f>IF(A30="","",VLOOKUP(B30,'Datos Consolidados'!B32:BF69,54,0))</f>
        <v/>
      </c>
      <c r="BG30" s="28" t="str">
        <f>IF(A30="","",VLOOKUP(B30,'Datos Consolidados'!B32:BF69,55,0))</f>
        <v/>
      </c>
      <c r="BH30" s="28" t="str">
        <f>IF(A30="","",VLOOKUP(B30,'Datos Consolidados'!B32:BF69,51,0))</f>
        <v/>
      </c>
      <c r="BI30" s="28" t="str">
        <f>IF(A30="","",VLOOKUP(B30,'Datos Consolidados'!B32:BF69,52,0))</f>
        <v/>
      </c>
      <c r="BJ30" s="211" t="str">
        <f t="shared" si="25"/>
        <v/>
      </c>
      <c r="BK30" s="27" t="str">
        <f t="shared" si="26"/>
        <v/>
      </c>
      <c r="BL30" s="29" t="str">
        <f t="shared" si="27"/>
        <v/>
      </c>
      <c r="BM30" s="28" t="str">
        <f t="shared" si="8"/>
        <v/>
      </c>
      <c r="BN30" s="181" t="str">
        <f>+'Biyemas S.A.'!BN30</f>
        <v/>
      </c>
      <c r="BO30" s="59"/>
      <c r="BP30" s="39" t="str">
        <f>+'Biyemas S.A.'!BP30</f>
        <v xml:space="preserve">Lun/Mon    </v>
      </c>
    </row>
    <row r="31" spans="1:68" ht="11.25" customHeight="1" x14ac:dyDescent="0.2">
      <c r="A31" s="188" t="str">
        <f>IF(BP31='Datos Biyemas'!A33,'Datos Biyemas'!A33,"")</f>
        <v/>
      </c>
      <c r="B31" s="185" t="str">
        <f>IF(BP31=A31,'Datos Biyemas'!B33,"")</f>
        <v/>
      </c>
      <c r="C31" s="186" t="str">
        <f>IF(A31=BP31,+'Biyemas S.A.'!C31+'Kandiko S.A'!C31+'Rebisco S.A.'!C31,"")</f>
        <v/>
      </c>
      <c r="D31" s="32" t="str">
        <f>IF(A31=BP31,+'Biyemas S.A.'!D31+'Kandiko S.A'!D31+'Rebisco S.A.'!D31,"")</f>
        <v/>
      </c>
      <c r="E31" s="32" t="str">
        <f>IF(A31=BP31,+'Biyemas S.A.'!E31+'Kandiko S.A'!E31+'Rebisco S.A.'!E31,"")</f>
        <v/>
      </c>
      <c r="F31" s="32" t="str">
        <f>IF(A31=BP31,+'Biyemas S.A.'!F31+'Kandiko S.A'!F31+'Rebisco S.A.'!F31,"")</f>
        <v/>
      </c>
      <c r="G31" s="32" t="str">
        <f>IF(A31=BP31,+'Biyemas S.A.'!G31+'Kandiko S.A'!G31+'Rebisco S.A.'!G31,"")</f>
        <v/>
      </c>
      <c r="H31" s="33" t="str">
        <f t="shared" si="0"/>
        <v/>
      </c>
      <c r="I31" s="33" t="str">
        <f t="shared" si="9"/>
        <v/>
      </c>
      <c r="J31" s="34" t="str">
        <f t="shared" si="10"/>
        <v/>
      </c>
      <c r="K31" s="31" t="str">
        <f t="shared" si="11"/>
        <v/>
      </c>
      <c r="L31" s="37" t="str">
        <f>IF(A31=BP31,+'Biyemas S.A.'!L31+'Kandiko S.A'!L31+'Rebisco S.A.'!L31,"")</f>
        <v/>
      </c>
      <c r="M31" s="32" t="str">
        <f>IF(A31=BP31,+'Biyemas S.A.'!M31+'Kandiko S.A'!M31+'Rebisco S.A.'!M31,"")</f>
        <v/>
      </c>
      <c r="N31" s="32" t="str">
        <f>IF(A31=BP31,+'Biyemas S.A.'!N31+'Kandiko S.A'!N31+'Rebisco S.A.'!N31,"")</f>
        <v/>
      </c>
      <c r="O31" s="32" t="str">
        <f>IF(A31=BP31,+'Biyemas S.A.'!O31+'Kandiko S.A'!O31+'Rebisco S.A.'!O31,"")</f>
        <v/>
      </c>
      <c r="P31" s="33" t="str">
        <f t="shared" si="35"/>
        <v/>
      </c>
      <c r="Q31" s="33" t="str">
        <f t="shared" si="36"/>
        <v/>
      </c>
      <c r="R31" s="34" t="str">
        <f t="shared" si="37"/>
        <v/>
      </c>
      <c r="S31" s="31" t="str">
        <f t="shared" si="38"/>
        <v/>
      </c>
      <c r="T31" s="32" t="str">
        <f t="shared" si="28"/>
        <v/>
      </c>
      <c r="U31" s="35" t="str">
        <f t="shared" si="29"/>
        <v/>
      </c>
      <c r="V31" s="32" t="str">
        <f>IF(A31="","",VLOOKUP(B31,'Datos Biyemas'!B33:BB70,21,0))</f>
        <v/>
      </c>
      <c r="W31" s="32" t="str">
        <f>IF(A31="","",VLOOKUP(B31,'Datos Biyemas'!B33:BB70,22,0))</f>
        <v/>
      </c>
      <c r="X31" s="32" t="str">
        <f>IF(A31="","",VLOOKUP(B31,'Datos Biyemas'!B33:BB70,23,0))</f>
        <v/>
      </c>
      <c r="Y31" s="32" t="str">
        <f>IF(A31="","",VLOOKUP(B31,'Datos Biyemas'!B33:BB70,24,0))</f>
        <v/>
      </c>
      <c r="Z31" s="33" t="str">
        <f t="shared" si="30"/>
        <v/>
      </c>
      <c r="AA31" s="33" t="str">
        <f t="shared" si="31"/>
        <v/>
      </c>
      <c r="AB31" s="34" t="str">
        <f t="shared" si="32"/>
        <v/>
      </c>
      <c r="AC31" s="32" t="str">
        <f t="shared" si="33"/>
        <v/>
      </c>
      <c r="AD31" s="37" t="str">
        <f t="shared" si="3"/>
        <v/>
      </c>
      <c r="AE31" s="32" t="str">
        <f>IF(A31=BP31,+'Biyemas S.A.'!AE31+'Kandiko S.A'!AE31+'Rebisco S.A.'!AE31,"")</f>
        <v/>
      </c>
      <c r="AF31" s="31" t="str">
        <f t="shared" si="4"/>
        <v/>
      </c>
      <c r="AG31" s="32" t="str">
        <f>IF(A31=BP31,+'Biyemas S.A.'!AG31+'Kandiko S.A'!AG31+'Rebisco S.A.'!AG31,"")</f>
        <v/>
      </c>
      <c r="AH31" s="32" t="str">
        <f>IF(A31=BP31,+'Biyemas S.A.'!AH31+'Kandiko S.A'!AH31+'Rebisco S.A.'!AH31,"")</f>
        <v/>
      </c>
      <c r="AI31" s="32" t="str">
        <f>IF(A31=BP31,+'Biyemas S.A.'!AI31+'Kandiko S.A'!AI31+'Rebisco S.A.'!AI31,"")</f>
        <v/>
      </c>
      <c r="AJ31" s="34" t="str">
        <f t="shared" si="34"/>
        <v/>
      </c>
      <c r="AK31" s="35" t="str">
        <f t="shared" si="20"/>
        <v/>
      </c>
      <c r="AL31" s="37" t="str">
        <f>IF(A31=BP31,+'Biyemas S.A.'!AL31+'Kandiko S.A'!AL31+'Rebisco S.A.'!AL31,"")</f>
        <v/>
      </c>
      <c r="AM31" s="58" t="str">
        <f t="shared" si="5"/>
        <v/>
      </c>
      <c r="AN31" s="262" t="str">
        <f>IF(A31=BP31,+'Biyemas S.A.'!AN31+'Kandiko S.A'!AN31+'Rebisco S.A.'!AN31,"")</f>
        <v/>
      </c>
      <c r="AO31" s="32" t="str">
        <f>IF(A31=BP31,+'Biyemas S.A.'!AO31+'Kandiko S.A'!AO31+'Rebisco S.A.'!AO31,"")</f>
        <v/>
      </c>
      <c r="AP31" s="36" t="str">
        <f t="shared" si="21"/>
        <v/>
      </c>
      <c r="AQ31" s="58" t="str">
        <f>IF(A31=BP31,+'Biyemas S.A.'!AQ31+'Kandiko S.A'!AQ31+'Rebisco S.A.'!AQ31,"")</f>
        <v/>
      </c>
      <c r="AR31" s="58" t="str">
        <f>IF(A31=BP31,+'Biyemas S.A.'!AR31+'Kandiko S.A'!AR31+'Rebisco S.A.'!AR31,"")</f>
        <v/>
      </c>
      <c r="AS31" s="58" t="str">
        <f>IF(A31=BP31,+'Biyemas S.A.'!AS31+'Kandiko S.A'!AS31+'Rebisco S.A.'!AS31,"")</f>
        <v/>
      </c>
      <c r="AT31" s="58" t="str">
        <f>IF(A31=BP31,+'Biyemas S.A.'!AT31+'Kandiko S.A'!AT31+'Rebisco S.A.'!AT31,"")</f>
        <v/>
      </c>
      <c r="AU31" s="58">
        <f>IFERROR('Biyemas S.A.'!AU31+'Kandiko S.A'!AU31+'Rebisco S.A.'!AU31,0)</f>
        <v>0</v>
      </c>
      <c r="AV31" s="37" t="str">
        <f t="shared" si="6"/>
        <v/>
      </c>
      <c r="AW31" s="38" t="str">
        <f t="shared" si="7"/>
        <v/>
      </c>
      <c r="AY31" s="180" t="str">
        <f>IF(A31=BP31,+'Biyemas S.A.'!AY31+'Kandiko S.A'!AY31+'Rebisco S.A.'!AY31,"")</f>
        <v/>
      </c>
      <c r="AZ31" s="252" t="str">
        <f t="shared" si="22"/>
        <v/>
      </c>
      <c r="BA31" s="255" t="str">
        <f>IF(A31=BP31,+'Biyemas S.A.'!BA31+'Kandiko S.A'!BA31+'Rebisco S.A.'!BA31,"")</f>
        <v/>
      </c>
      <c r="BB31" s="181" t="str">
        <f t="shared" si="23"/>
        <v/>
      </c>
      <c r="BC31" s="255" t="str">
        <f>IF(A31=BP31,+'Biyemas S.A.'!BC31+'Kandiko S.A'!BC31+'Rebisco S.A.'!BC31,"")</f>
        <v/>
      </c>
      <c r="BD31" s="181" t="str">
        <f t="shared" si="24"/>
        <v/>
      </c>
      <c r="BE31" s="29" t="str">
        <f>IF(A31="","",VLOOKUP(B31,'Datos Consolidados'!B33:BF70,53,0))</f>
        <v/>
      </c>
      <c r="BF31" s="28" t="str">
        <f>IF(A31="","",VLOOKUP(B31,'Datos Consolidados'!B33:BF70,54,0))</f>
        <v/>
      </c>
      <c r="BG31" s="28" t="str">
        <f>IF(A31="","",VLOOKUP(B31,'Datos Consolidados'!B33:BF70,55,0))</f>
        <v/>
      </c>
      <c r="BH31" s="28" t="str">
        <f>IF(A31="","",VLOOKUP(B31,'Datos Consolidados'!B33:BF70,51,0))</f>
        <v/>
      </c>
      <c r="BI31" s="28" t="str">
        <f>IF(A31="","",VLOOKUP(B31,'Datos Consolidados'!B33:BF70,52,0))</f>
        <v/>
      </c>
      <c r="BJ31" s="211" t="str">
        <f t="shared" si="25"/>
        <v/>
      </c>
      <c r="BK31" s="27" t="str">
        <f t="shared" si="26"/>
        <v/>
      </c>
      <c r="BL31" s="29" t="str">
        <f t="shared" si="27"/>
        <v/>
      </c>
      <c r="BM31" s="28" t="str">
        <f t="shared" si="8"/>
        <v/>
      </c>
      <c r="BN31" s="181" t="str">
        <f>+'Biyemas S.A.'!BN31</f>
        <v/>
      </c>
      <c r="BO31" s="59"/>
      <c r="BP31" s="39" t="str">
        <f>+'Biyemas S.A.'!BP31</f>
        <v xml:space="preserve">Mar/Tue    </v>
      </c>
    </row>
    <row r="32" spans="1:68" ht="11.25" customHeight="1" x14ac:dyDescent="0.2">
      <c r="A32" s="188" t="str">
        <f>IF(BP32='Datos Biyemas'!A34,'Datos Biyemas'!A34,"")</f>
        <v/>
      </c>
      <c r="B32" s="185" t="str">
        <f>IF(BP32=A32,'Datos Biyemas'!B34,"")</f>
        <v/>
      </c>
      <c r="C32" s="186" t="str">
        <f>IF(A32=BP32,+'Biyemas S.A.'!C32+'Kandiko S.A'!C32+'Rebisco S.A.'!C32,"")</f>
        <v/>
      </c>
      <c r="D32" s="32" t="str">
        <f>IF(A32=BP32,+'Biyemas S.A.'!D32+'Kandiko S.A'!D32+'Rebisco S.A.'!D32,"")</f>
        <v/>
      </c>
      <c r="E32" s="32" t="str">
        <f>IF(A32=BP32,+'Biyemas S.A.'!E32+'Kandiko S.A'!E32+'Rebisco S.A.'!E32,"")</f>
        <v/>
      </c>
      <c r="F32" s="32" t="str">
        <f>IF(A32=BP32,+'Biyemas S.A.'!F32+'Kandiko S.A'!F32+'Rebisco S.A.'!F32,"")</f>
        <v/>
      </c>
      <c r="G32" s="32" t="str">
        <f>IF(A32=BP32,+'Biyemas S.A.'!G32+'Kandiko S.A'!G32+'Rebisco S.A.'!G32,"")</f>
        <v/>
      </c>
      <c r="H32" s="33" t="str">
        <f t="shared" si="0"/>
        <v/>
      </c>
      <c r="I32" s="33" t="str">
        <f t="shared" si="9"/>
        <v/>
      </c>
      <c r="J32" s="34" t="str">
        <f t="shared" si="10"/>
        <v/>
      </c>
      <c r="K32" s="31" t="str">
        <f t="shared" si="11"/>
        <v/>
      </c>
      <c r="L32" s="37" t="str">
        <f>IF(A32=BP32,+'Biyemas S.A.'!L32+'Kandiko S.A'!L32+'Rebisco S.A.'!L32,"")</f>
        <v/>
      </c>
      <c r="M32" s="32" t="str">
        <f>IF(A32=BP32,+'Biyemas S.A.'!M32+'Kandiko S.A'!M32+'Rebisco S.A.'!M32,"")</f>
        <v/>
      </c>
      <c r="N32" s="32" t="str">
        <f>IF(A32=BP32,+'Biyemas S.A.'!N32+'Kandiko S.A'!N32+'Rebisco S.A.'!N32,"")</f>
        <v/>
      </c>
      <c r="O32" s="32" t="str">
        <f>IF(A32=BP32,+'Biyemas S.A.'!O32+'Kandiko S.A'!O32+'Rebisco S.A.'!O32,"")</f>
        <v/>
      </c>
      <c r="P32" s="33" t="str">
        <f t="shared" si="35"/>
        <v/>
      </c>
      <c r="Q32" s="33" t="str">
        <f t="shared" si="36"/>
        <v/>
      </c>
      <c r="R32" s="34" t="str">
        <f t="shared" si="37"/>
        <v/>
      </c>
      <c r="S32" s="31" t="str">
        <f t="shared" si="38"/>
        <v/>
      </c>
      <c r="T32" s="32" t="str">
        <f t="shared" si="28"/>
        <v/>
      </c>
      <c r="U32" s="35" t="str">
        <f t="shared" si="29"/>
        <v/>
      </c>
      <c r="V32" s="32" t="str">
        <f>IF(A32="","",VLOOKUP(B32,'Datos Biyemas'!B34:BB71,21,0))</f>
        <v/>
      </c>
      <c r="W32" s="32" t="str">
        <f>IF(A32="","",VLOOKUP(B32,'Datos Biyemas'!B34:BB71,22,0))</f>
        <v/>
      </c>
      <c r="X32" s="32" t="str">
        <f>IF(A32="","",VLOOKUP(B32,'Datos Biyemas'!B34:BB71,23,0))</f>
        <v/>
      </c>
      <c r="Y32" s="32" t="str">
        <f>IF(A32="","",VLOOKUP(B32,'Datos Biyemas'!B34:BB71,24,0))</f>
        <v/>
      </c>
      <c r="Z32" s="33" t="str">
        <f t="shared" si="30"/>
        <v/>
      </c>
      <c r="AA32" s="33" t="str">
        <f t="shared" si="31"/>
        <v/>
      </c>
      <c r="AB32" s="34" t="str">
        <f t="shared" si="32"/>
        <v/>
      </c>
      <c r="AC32" s="32" t="str">
        <f t="shared" si="33"/>
        <v/>
      </c>
      <c r="AD32" s="37" t="str">
        <f t="shared" si="3"/>
        <v/>
      </c>
      <c r="AE32" s="32" t="str">
        <f>IF(A32=BP32,+'Biyemas S.A.'!AE32+'Kandiko S.A'!AE32+'Rebisco S.A.'!AE32,"")</f>
        <v/>
      </c>
      <c r="AF32" s="31" t="str">
        <f t="shared" si="4"/>
        <v/>
      </c>
      <c r="AG32" s="32" t="str">
        <f>IF(A32=BP32,+'Biyemas S.A.'!AG32+'Kandiko S.A'!AG32+'Rebisco S.A.'!AG32,"")</f>
        <v/>
      </c>
      <c r="AH32" s="32" t="str">
        <f>IF(A32=BP32,+'Biyemas S.A.'!AH32+'Kandiko S.A'!AH32+'Rebisco S.A.'!AH32,"")</f>
        <v/>
      </c>
      <c r="AI32" s="32" t="str">
        <f>IF(A32=BP32,+'Biyemas S.A.'!AI32+'Kandiko S.A'!AI32+'Rebisco S.A.'!AI32,"")</f>
        <v/>
      </c>
      <c r="AJ32" s="34" t="str">
        <f t="shared" si="34"/>
        <v/>
      </c>
      <c r="AK32" s="35" t="str">
        <f t="shared" si="20"/>
        <v/>
      </c>
      <c r="AL32" s="37" t="str">
        <f>IF(A32=BP32,+'Biyemas S.A.'!AL32+'Kandiko S.A'!AL32+'Rebisco S.A.'!AL32,"")</f>
        <v/>
      </c>
      <c r="AM32" s="58" t="str">
        <f t="shared" si="5"/>
        <v/>
      </c>
      <c r="AN32" s="262" t="str">
        <f>IF(A32=BP32,+'Biyemas S.A.'!AN32+'Kandiko S.A'!AN32+'Rebisco S.A.'!AN32,"")</f>
        <v/>
      </c>
      <c r="AO32" s="32" t="str">
        <f>IF(A32=BP32,+'Biyemas S.A.'!AO32+'Kandiko S.A'!AO32+'Rebisco S.A.'!AO32,"")</f>
        <v/>
      </c>
      <c r="AP32" s="36" t="str">
        <f t="shared" si="21"/>
        <v/>
      </c>
      <c r="AQ32" s="58" t="str">
        <f>IF(A32=BP32,+'Biyemas S.A.'!AQ32+'Kandiko S.A'!AQ32+'Rebisco S.A.'!AQ32,"")</f>
        <v/>
      </c>
      <c r="AR32" s="58" t="str">
        <f>IF(A32=BP32,+'Biyemas S.A.'!AR32+'Kandiko S.A'!AR32+'Rebisco S.A.'!AR32,"")</f>
        <v/>
      </c>
      <c r="AS32" s="58" t="str">
        <f>IF(A32=BP32,+'Biyemas S.A.'!AS32+'Kandiko S.A'!AS32+'Rebisco S.A.'!AS32,"")</f>
        <v/>
      </c>
      <c r="AT32" s="58" t="str">
        <f>IF(A32=BP32,+'Biyemas S.A.'!AT32+'Kandiko S.A'!AT32+'Rebisco S.A.'!AT32,"")</f>
        <v/>
      </c>
      <c r="AU32" s="58">
        <f>IFERROR('Biyemas S.A.'!AU32+'Kandiko S.A'!AU32+'Rebisco S.A.'!AU32,0)</f>
        <v>0</v>
      </c>
      <c r="AV32" s="37" t="str">
        <f t="shared" si="6"/>
        <v/>
      </c>
      <c r="AW32" s="38" t="str">
        <f t="shared" si="7"/>
        <v/>
      </c>
      <c r="AY32" s="180" t="str">
        <f>IF(A32=BP32,+'Biyemas S.A.'!AY32+'Kandiko S.A'!AY32+'Rebisco S.A.'!AY32,"")</f>
        <v/>
      </c>
      <c r="AZ32" s="252" t="str">
        <f t="shared" si="22"/>
        <v/>
      </c>
      <c r="BA32" s="255" t="str">
        <f>IF(A32=BP32,+'Biyemas S.A.'!BA32+'Kandiko S.A'!BA32+'Rebisco S.A.'!BA32,"")</f>
        <v/>
      </c>
      <c r="BB32" s="181" t="str">
        <f t="shared" si="23"/>
        <v/>
      </c>
      <c r="BC32" s="255" t="str">
        <f>IF(A32=BP32,+'Biyemas S.A.'!BC32+'Kandiko S.A'!BC32+'Rebisco S.A.'!BC32,"")</f>
        <v/>
      </c>
      <c r="BD32" s="181" t="str">
        <f t="shared" si="24"/>
        <v/>
      </c>
      <c r="BE32" s="29" t="str">
        <f>IF(A32="","",VLOOKUP(B32,'Datos Consolidados'!B34:BF71,53,0))</f>
        <v/>
      </c>
      <c r="BF32" s="28" t="str">
        <f>IF(A32="","",VLOOKUP(B32,'Datos Consolidados'!B34:BF71,54,0))</f>
        <v/>
      </c>
      <c r="BG32" s="28" t="str">
        <f>IF(A32="","",VLOOKUP(B32,'Datos Consolidados'!B34:BF71,55,0))</f>
        <v/>
      </c>
      <c r="BH32" s="28" t="str">
        <f>IF(A32="","",VLOOKUP(B32,'Datos Consolidados'!B34:BF71,51,0))</f>
        <v/>
      </c>
      <c r="BI32" s="28" t="str">
        <f>IF(A32="","",VLOOKUP(B32,'Datos Consolidados'!B34:BF71,52,0))</f>
        <v/>
      </c>
      <c r="BJ32" s="211" t="str">
        <f t="shared" si="25"/>
        <v/>
      </c>
      <c r="BK32" s="27" t="str">
        <f t="shared" si="26"/>
        <v/>
      </c>
      <c r="BL32" s="29" t="str">
        <f t="shared" si="27"/>
        <v/>
      </c>
      <c r="BM32" s="28" t="str">
        <f t="shared" si="8"/>
        <v/>
      </c>
      <c r="BN32" s="181" t="str">
        <f>+'Biyemas S.A.'!BN32</f>
        <v/>
      </c>
      <c r="BO32" s="59"/>
      <c r="BP32" s="39" t="str">
        <f>+'Biyemas S.A.'!BP32</f>
        <v xml:space="preserve">Mie/Wed    </v>
      </c>
    </row>
    <row r="33" spans="1:68" ht="11.25" customHeight="1" x14ac:dyDescent="0.2">
      <c r="A33" s="188" t="str">
        <f>IF(BP33='Datos Biyemas'!A35,'Datos Biyemas'!A35,"")</f>
        <v/>
      </c>
      <c r="B33" s="185" t="str">
        <f>IF(BP33=A33,'Datos Biyemas'!B35,"")</f>
        <v/>
      </c>
      <c r="C33" s="186" t="str">
        <f>IF(A33=BP33,+'Biyemas S.A.'!C33+'Kandiko S.A'!C33+'Rebisco S.A.'!C33,"")</f>
        <v/>
      </c>
      <c r="D33" s="32" t="str">
        <f>IF(A33=BP33,+'Biyemas S.A.'!D33+'Kandiko S.A'!D33+'Rebisco S.A.'!D33,"")</f>
        <v/>
      </c>
      <c r="E33" s="32" t="str">
        <f>IF(A33=BP33,+'Biyemas S.A.'!E33+'Kandiko S.A'!E33+'Rebisco S.A.'!E33,"")</f>
        <v/>
      </c>
      <c r="F33" s="32" t="str">
        <f>IF(A33=BP33,+'Biyemas S.A.'!F33+'Kandiko S.A'!F33+'Rebisco S.A.'!F33,"")</f>
        <v/>
      </c>
      <c r="G33" s="32" t="str">
        <f>IF(A33=BP33,+'Biyemas S.A.'!G33+'Kandiko S.A'!G33+'Rebisco S.A.'!G33,"")</f>
        <v/>
      </c>
      <c r="H33" s="33" t="str">
        <f t="shared" si="0"/>
        <v/>
      </c>
      <c r="I33" s="33" t="str">
        <f t="shared" si="9"/>
        <v/>
      </c>
      <c r="J33" s="34" t="str">
        <f t="shared" si="10"/>
        <v/>
      </c>
      <c r="K33" s="31" t="str">
        <f t="shared" si="11"/>
        <v/>
      </c>
      <c r="L33" s="37" t="str">
        <f>IF(A33=BP33,+'Biyemas S.A.'!L33+'Kandiko S.A'!L33+'Rebisco S.A.'!L33,"")</f>
        <v/>
      </c>
      <c r="M33" s="32" t="str">
        <f>IF(A33=BP33,+'Biyemas S.A.'!M33+'Kandiko S.A'!M33+'Rebisco S.A.'!M33,"")</f>
        <v/>
      </c>
      <c r="N33" s="32" t="str">
        <f>IF(A33=BP33,+'Biyemas S.A.'!N33+'Kandiko S.A'!N33+'Rebisco S.A.'!N33,"")</f>
        <v/>
      </c>
      <c r="O33" s="32" t="str">
        <f>IF(A33=BP33,+'Biyemas S.A.'!O33+'Kandiko S.A'!O33+'Rebisco S.A.'!O33,"")</f>
        <v/>
      </c>
      <c r="P33" s="33" t="str">
        <f t="shared" si="35"/>
        <v/>
      </c>
      <c r="Q33" s="33" t="str">
        <f t="shared" si="36"/>
        <v/>
      </c>
      <c r="R33" s="34" t="str">
        <f t="shared" si="37"/>
        <v/>
      </c>
      <c r="S33" s="31" t="str">
        <f t="shared" si="38"/>
        <v/>
      </c>
      <c r="T33" s="32" t="str">
        <f t="shared" si="28"/>
        <v/>
      </c>
      <c r="U33" s="35" t="str">
        <f t="shared" si="29"/>
        <v/>
      </c>
      <c r="V33" s="32" t="str">
        <f>IF(A33="","",VLOOKUP(B33,'Datos Biyemas'!B35:BB72,21,0))</f>
        <v/>
      </c>
      <c r="W33" s="32" t="str">
        <f>IF(A33="","",VLOOKUP(B33,'Datos Biyemas'!B35:BB72,22,0))</f>
        <v/>
      </c>
      <c r="X33" s="32" t="str">
        <f>IF(A33="","",VLOOKUP(B33,'Datos Biyemas'!B35:BB72,23,0))</f>
        <v/>
      </c>
      <c r="Y33" s="32" t="str">
        <f>IF(A33="","",VLOOKUP(B33,'Datos Biyemas'!B35:BB72,24,0))</f>
        <v/>
      </c>
      <c r="Z33" s="33" t="str">
        <f t="shared" si="30"/>
        <v/>
      </c>
      <c r="AA33" s="33" t="str">
        <f t="shared" si="31"/>
        <v/>
      </c>
      <c r="AB33" s="34" t="str">
        <f t="shared" si="32"/>
        <v/>
      </c>
      <c r="AC33" s="32" t="str">
        <f t="shared" si="33"/>
        <v/>
      </c>
      <c r="AD33" s="37" t="str">
        <f t="shared" si="3"/>
        <v/>
      </c>
      <c r="AE33" s="32" t="str">
        <f>IF(A33=BP33,+'Biyemas S.A.'!AE33+'Kandiko S.A'!AE33+'Rebisco S.A.'!AE33,"")</f>
        <v/>
      </c>
      <c r="AF33" s="31" t="str">
        <f t="shared" si="4"/>
        <v/>
      </c>
      <c r="AG33" s="32" t="str">
        <f>IF(A33=BP33,+'Biyemas S.A.'!AG33+'Kandiko S.A'!AG33+'Rebisco S.A.'!AG33,"")</f>
        <v/>
      </c>
      <c r="AH33" s="32" t="str">
        <f>IF(A33=BP33,+'Biyemas S.A.'!AH33+'Kandiko S.A'!AH33+'Rebisco S.A.'!AH33,"")</f>
        <v/>
      </c>
      <c r="AI33" s="32" t="str">
        <f>IF(A33=BP33,+'Biyemas S.A.'!AI33+'Kandiko S.A'!AI33+'Rebisco S.A.'!AI33,"")</f>
        <v/>
      </c>
      <c r="AJ33" s="34" t="str">
        <f t="shared" si="34"/>
        <v/>
      </c>
      <c r="AK33" s="35" t="str">
        <f t="shared" si="20"/>
        <v/>
      </c>
      <c r="AL33" s="37" t="str">
        <f>IF(A33=BP33,+'Biyemas S.A.'!AL33+'Kandiko S.A'!AL33+'Rebisco S.A.'!AL33,"")</f>
        <v/>
      </c>
      <c r="AM33" s="58" t="str">
        <f t="shared" si="5"/>
        <v/>
      </c>
      <c r="AN33" s="262" t="str">
        <f>IF(A33=BP33,+'Biyemas S.A.'!AN33+'Kandiko S.A'!AN33+'Rebisco S.A.'!AN33,"")</f>
        <v/>
      </c>
      <c r="AO33" s="32" t="str">
        <f>IF(A33=BP33,+'Biyemas S.A.'!AO33+'Kandiko S.A'!AO33+'Rebisco S.A.'!AO33,"")</f>
        <v/>
      </c>
      <c r="AP33" s="36" t="str">
        <f t="shared" si="21"/>
        <v/>
      </c>
      <c r="AQ33" s="58" t="str">
        <f>IF(A33=BP33,+'Biyemas S.A.'!AQ33+'Kandiko S.A'!AQ33+'Rebisco S.A.'!AQ33,"")</f>
        <v/>
      </c>
      <c r="AR33" s="58" t="str">
        <f>IF(A33=BP33,+'Biyemas S.A.'!AR33+'Kandiko S.A'!AR33+'Rebisco S.A.'!AR33,"")</f>
        <v/>
      </c>
      <c r="AS33" s="58" t="str">
        <f>IF(A33=BP33,+'Biyemas S.A.'!AS33+'Kandiko S.A'!AS33+'Rebisco S.A.'!AS33,"")</f>
        <v/>
      </c>
      <c r="AT33" s="58" t="str">
        <f>IF(A33=BP33,+'Biyemas S.A.'!AT33+'Kandiko S.A'!AT33+'Rebisco S.A.'!AT33,"")</f>
        <v/>
      </c>
      <c r="AU33" s="58">
        <f>IFERROR('Biyemas S.A.'!AU33+'Kandiko S.A'!AU33+'Rebisco S.A.'!AU33,0)</f>
        <v>0</v>
      </c>
      <c r="AV33" s="37" t="str">
        <f t="shared" si="6"/>
        <v/>
      </c>
      <c r="AW33" s="38" t="str">
        <f t="shared" si="7"/>
        <v/>
      </c>
      <c r="AY33" s="180" t="str">
        <f>IF(A33=BP33,+'Biyemas S.A.'!AY33+'Kandiko S.A'!AY33+'Rebisco S.A.'!AY33,"")</f>
        <v/>
      </c>
      <c r="AZ33" s="252" t="str">
        <f t="shared" si="22"/>
        <v/>
      </c>
      <c r="BA33" s="255" t="str">
        <f>IF(A33=BP33,+'Biyemas S.A.'!BA33+'Kandiko S.A'!BA33+'Rebisco S.A.'!BA33,"")</f>
        <v/>
      </c>
      <c r="BB33" s="181" t="str">
        <f t="shared" si="23"/>
        <v/>
      </c>
      <c r="BC33" s="255" t="str">
        <f>IF(A33=BP33,+'Biyemas S.A.'!BC33+'Kandiko S.A'!BC33+'Rebisco S.A.'!BC33,"")</f>
        <v/>
      </c>
      <c r="BD33" s="181" t="str">
        <f t="shared" si="24"/>
        <v/>
      </c>
      <c r="BE33" s="29" t="str">
        <f>IF(A33="","",VLOOKUP(B33,'Datos Consolidados'!B35:BF72,53,0))</f>
        <v/>
      </c>
      <c r="BF33" s="28" t="str">
        <f>IF(A33="","",VLOOKUP(B33,'Datos Consolidados'!B35:BF72,54,0))</f>
        <v/>
      </c>
      <c r="BG33" s="28" t="str">
        <f>IF(A33="","",VLOOKUP(B33,'Datos Consolidados'!B35:BF72,55,0))</f>
        <v/>
      </c>
      <c r="BH33" s="28" t="str">
        <f>IF(A33="","",VLOOKUP(B33,'Datos Consolidados'!B35:BF72,51,0))</f>
        <v/>
      </c>
      <c r="BI33" s="28" t="str">
        <f>IF(A33="","",VLOOKUP(B33,'Datos Consolidados'!B35:BF72,52,0))</f>
        <v/>
      </c>
      <c r="BJ33" s="211" t="str">
        <f t="shared" si="25"/>
        <v/>
      </c>
      <c r="BK33" s="27" t="str">
        <f t="shared" si="26"/>
        <v/>
      </c>
      <c r="BL33" s="29" t="str">
        <f t="shared" si="27"/>
        <v/>
      </c>
      <c r="BM33" s="28" t="str">
        <f t="shared" si="8"/>
        <v/>
      </c>
      <c r="BN33" s="181" t="str">
        <f>+'Biyemas S.A.'!BN33</f>
        <v/>
      </c>
      <c r="BO33" s="59"/>
      <c r="BP33" s="39" t="str">
        <f>+'Biyemas S.A.'!BP33</f>
        <v xml:space="preserve">Jue/Thu    </v>
      </c>
    </row>
    <row r="34" spans="1:68" x14ac:dyDescent="0.2">
      <c r="A34" s="188" t="str">
        <f>IF(BP34='Datos Biyemas'!A36,'Datos Biyemas'!A36,"")</f>
        <v/>
      </c>
      <c r="B34" s="185" t="str">
        <f>IF(BP34=A34,'Datos Biyemas'!B36,"")</f>
        <v/>
      </c>
      <c r="C34" s="186" t="str">
        <f>IF(A34=BP34,+'Biyemas S.A.'!C34+'Kandiko S.A'!C34+'Rebisco S.A.'!C34,"")</f>
        <v/>
      </c>
      <c r="D34" s="32" t="str">
        <f>IF(A34=BP34,+'Biyemas S.A.'!D34+'Kandiko S.A'!D34+'Rebisco S.A.'!D34,"")</f>
        <v/>
      </c>
      <c r="E34" s="32" t="str">
        <f>IF(A34=BP34,+'Biyemas S.A.'!E34+'Kandiko S.A'!E34+'Rebisco S.A.'!E34,"")</f>
        <v/>
      </c>
      <c r="F34" s="32" t="str">
        <f>IF(A34=BP34,+'Biyemas S.A.'!F34+'Kandiko S.A'!F34+'Rebisco S.A.'!F34,"")</f>
        <v/>
      </c>
      <c r="G34" s="32" t="str">
        <f>IF(A34=BP34,+'Biyemas S.A.'!G34+'Kandiko S.A'!G34+'Rebisco S.A.'!G34,"")</f>
        <v/>
      </c>
      <c r="H34" s="33" t="str">
        <f t="shared" si="0"/>
        <v/>
      </c>
      <c r="I34" s="33" t="str">
        <f t="shared" si="9"/>
        <v/>
      </c>
      <c r="J34" s="34" t="str">
        <f t="shared" si="10"/>
        <v/>
      </c>
      <c r="K34" s="31" t="str">
        <f t="shared" si="11"/>
        <v/>
      </c>
      <c r="L34" s="37" t="str">
        <f>IF(A34=BP34,+'Biyemas S.A.'!L34+'Kandiko S.A'!L34+'Rebisco S.A.'!L34,"")</f>
        <v/>
      </c>
      <c r="M34" s="32" t="str">
        <f>IF(A34=BP34,+'Biyemas S.A.'!M34+'Kandiko S.A'!M34+'Rebisco S.A.'!M34,"")</f>
        <v/>
      </c>
      <c r="N34" s="32" t="str">
        <f>IF(A34=BP34,+'Biyemas S.A.'!N34+'Kandiko S.A'!N34+'Rebisco S.A.'!N34,"")</f>
        <v/>
      </c>
      <c r="O34" s="32" t="str">
        <f>IF(A34=BP34,+'Biyemas S.A.'!O34+'Kandiko S.A'!O34+'Rebisco S.A.'!O34,"")</f>
        <v/>
      </c>
      <c r="P34" s="33" t="str">
        <f t="shared" si="35"/>
        <v/>
      </c>
      <c r="Q34" s="33" t="str">
        <f t="shared" si="36"/>
        <v/>
      </c>
      <c r="R34" s="34" t="str">
        <f t="shared" si="37"/>
        <v/>
      </c>
      <c r="S34" s="31" t="str">
        <f t="shared" si="38"/>
        <v/>
      </c>
      <c r="T34" s="32" t="str">
        <f t="shared" si="28"/>
        <v/>
      </c>
      <c r="U34" s="35" t="str">
        <f t="shared" si="29"/>
        <v/>
      </c>
      <c r="V34" s="32" t="str">
        <f>IF(A34="","",VLOOKUP(B34,'Datos Biyemas'!B36:BB73,21,0))</f>
        <v/>
      </c>
      <c r="W34" s="32" t="str">
        <f>IF(A34="","",VLOOKUP(B34,'Datos Biyemas'!B36:BB73,22,0))</f>
        <v/>
      </c>
      <c r="X34" s="32" t="str">
        <f>IF(A34="","",VLOOKUP(B34,'Datos Biyemas'!B36:BB73,23,0))</f>
        <v/>
      </c>
      <c r="Y34" s="32" t="str">
        <f>IF(A34="","",VLOOKUP(B34,'Datos Biyemas'!B36:BB73,24,0))</f>
        <v/>
      </c>
      <c r="Z34" s="33" t="str">
        <f t="shared" si="30"/>
        <v/>
      </c>
      <c r="AA34" s="33" t="str">
        <f t="shared" si="31"/>
        <v/>
      </c>
      <c r="AB34" s="34" t="str">
        <f t="shared" si="32"/>
        <v/>
      </c>
      <c r="AC34" s="32" t="str">
        <f t="shared" si="33"/>
        <v/>
      </c>
      <c r="AD34" s="37" t="str">
        <f t="shared" si="3"/>
        <v/>
      </c>
      <c r="AE34" s="32" t="str">
        <f>IF(A34=BP34,+'Biyemas S.A.'!AE34+'Kandiko S.A'!AE34+'Rebisco S.A.'!AE34,"")</f>
        <v/>
      </c>
      <c r="AF34" s="31" t="str">
        <f t="shared" si="4"/>
        <v/>
      </c>
      <c r="AG34" s="32" t="str">
        <f>IF(A34=BP34,+'Biyemas S.A.'!AG34+'Kandiko S.A'!AG34+'Rebisco S.A.'!AG34,"")</f>
        <v/>
      </c>
      <c r="AH34" s="32" t="str">
        <f>IF(A34=BP34,+'Biyemas S.A.'!AH34+'Kandiko S.A'!AH34+'Rebisco S.A.'!AH34,"")</f>
        <v/>
      </c>
      <c r="AI34" s="32" t="str">
        <f>IF(A34=BP34,+'Biyemas S.A.'!AI34+'Kandiko S.A'!AI34+'Rebisco S.A.'!AI34,"")</f>
        <v/>
      </c>
      <c r="AJ34" s="34" t="str">
        <f t="shared" si="34"/>
        <v/>
      </c>
      <c r="AK34" s="35" t="str">
        <f t="shared" si="20"/>
        <v/>
      </c>
      <c r="AL34" s="37" t="str">
        <f>IF(A34=BP34,+'Biyemas S.A.'!AL34+'Kandiko S.A'!AL34+'Rebisco S.A.'!AL34,"")</f>
        <v/>
      </c>
      <c r="AM34" s="58" t="str">
        <f t="shared" si="5"/>
        <v/>
      </c>
      <c r="AN34" s="262" t="str">
        <f>IF(A34=BP34,+'Biyemas S.A.'!AN34+'Kandiko S.A'!AN34+'Rebisco S.A.'!AN34,"")</f>
        <v/>
      </c>
      <c r="AO34" s="32" t="str">
        <f>IF(A34=BP34,+'Biyemas S.A.'!AO34+'Kandiko S.A'!AO34+'Rebisco S.A.'!AO34,"")</f>
        <v/>
      </c>
      <c r="AP34" s="36" t="str">
        <f t="shared" si="21"/>
        <v/>
      </c>
      <c r="AQ34" s="58" t="str">
        <f>IF(A34=BP34,+'Biyemas S.A.'!AQ34+'Kandiko S.A'!AQ34+'Rebisco S.A.'!AQ34,"")</f>
        <v/>
      </c>
      <c r="AR34" s="58" t="str">
        <f>IF(A34=BP34,+'Biyemas S.A.'!AR34+'Kandiko S.A'!AR34+'Rebisco S.A.'!AR34,"")</f>
        <v/>
      </c>
      <c r="AS34" s="58" t="str">
        <f>IF(A34=BP34,+'Biyemas S.A.'!AS34+'Kandiko S.A'!AS34+'Rebisco S.A.'!AS34,"")</f>
        <v/>
      </c>
      <c r="AT34" s="58" t="str">
        <f>IF(A34=BP34,+'Biyemas S.A.'!AT34+'Kandiko S.A'!AT34+'Rebisco S.A.'!AT34,"")</f>
        <v/>
      </c>
      <c r="AU34" s="58">
        <f>IFERROR('Biyemas S.A.'!AU34+'Kandiko S.A'!AU34+'Rebisco S.A.'!AU34,0)</f>
        <v>0</v>
      </c>
      <c r="AV34" s="37" t="str">
        <f t="shared" si="6"/>
        <v/>
      </c>
      <c r="AW34" s="38" t="str">
        <f t="shared" si="7"/>
        <v/>
      </c>
      <c r="AY34" s="180" t="str">
        <f>IF(A34=BP34,+'Biyemas S.A.'!AY34+'Kandiko S.A'!AY34+'Rebisco S.A.'!AY34,"")</f>
        <v/>
      </c>
      <c r="AZ34" s="252" t="str">
        <f t="shared" si="22"/>
        <v/>
      </c>
      <c r="BA34" s="255" t="str">
        <f>IF(A34=BP34,+'Biyemas S.A.'!BA34+'Kandiko S.A'!BA34+'Rebisco S.A.'!BA34,"")</f>
        <v/>
      </c>
      <c r="BB34" s="181" t="str">
        <f t="shared" si="23"/>
        <v/>
      </c>
      <c r="BC34" s="255" t="str">
        <f>IF(A34=BP34,+'Biyemas S.A.'!BC34+'Kandiko S.A'!BC34+'Rebisco S.A.'!BC34,"")</f>
        <v/>
      </c>
      <c r="BD34" s="181" t="str">
        <f t="shared" si="24"/>
        <v/>
      </c>
      <c r="BE34" s="29" t="str">
        <f>IF(A34="","",VLOOKUP(B34,'Datos Consolidados'!B36:BF73,53,0))</f>
        <v/>
      </c>
      <c r="BF34" s="28" t="str">
        <f>IF(A34="","",VLOOKUP(B34,'Datos Consolidados'!B36:BF73,54,0))</f>
        <v/>
      </c>
      <c r="BG34" s="28" t="str">
        <f>IF(A34="","",VLOOKUP(B34,'Datos Consolidados'!B36:BF73,55,0))</f>
        <v/>
      </c>
      <c r="BH34" s="28" t="str">
        <f>IF(A34="","",VLOOKUP(B34,'Datos Consolidados'!B36:BF73,51,0))</f>
        <v/>
      </c>
      <c r="BI34" s="28" t="str">
        <f>IF(A34="","",VLOOKUP(B34,'Datos Consolidados'!B36:BF73,52,0))</f>
        <v/>
      </c>
      <c r="BJ34" s="211" t="str">
        <f t="shared" si="25"/>
        <v/>
      </c>
      <c r="BK34" s="27" t="str">
        <f t="shared" si="26"/>
        <v/>
      </c>
      <c r="BL34" s="29" t="str">
        <f t="shared" si="27"/>
        <v/>
      </c>
      <c r="BM34" s="28" t="str">
        <f t="shared" si="8"/>
        <v/>
      </c>
      <c r="BN34" s="181" t="str">
        <f>+'Biyemas S.A.'!BN34</f>
        <v/>
      </c>
      <c r="BO34" s="59"/>
      <c r="BP34" s="39" t="str">
        <f>+'Biyemas S.A.'!BP34</f>
        <v xml:space="preserve">Vie/Fri    </v>
      </c>
    </row>
    <row r="35" spans="1:68" ht="11.25" customHeight="1" x14ac:dyDescent="0.2">
      <c r="A35" s="188" t="str">
        <f>IF(BP35='Datos Biyemas'!A37,'Datos Biyemas'!A37,"")</f>
        <v/>
      </c>
      <c r="B35" s="185" t="str">
        <f>IF(BP35=A35,'Datos Biyemas'!B37,"")</f>
        <v/>
      </c>
      <c r="C35" s="186" t="str">
        <f>IF(A35=BP35,+'Biyemas S.A.'!C35+'Kandiko S.A'!C35+'Rebisco S.A.'!C35,"")</f>
        <v/>
      </c>
      <c r="D35" s="32" t="str">
        <f>IF(A35=BP35,+'Biyemas S.A.'!D35+'Kandiko S.A'!D35+'Rebisco S.A.'!D35,"")</f>
        <v/>
      </c>
      <c r="E35" s="32" t="str">
        <f>IF(A35=BP35,+'Biyemas S.A.'!E35+'Kandiko S.A'!E35+'Rebisco S.A.'!E35,"")</f>
        <v/>
      </c>
      <c r="F35" s="32" t="str">
        <f>IF(A35=BP35,+'Biyemas S.A.'!F35+'Kandiko S.A'!F35+'Rebisco S.A.'!F35,"")</f>
        <v/>
      </c>
      <c r="G35" s="32" t="str">
        <f>IF(A35=BP35,+'Biyemas S.A.'!G35+'Kandiko S.A'!G35+'Rebisco S.A.'!G35,"")</f>
        <v/>
      </c>
      <c r="H35" s="33" t="str">
        <f t="shared" si="0"/>
        <v/>
      </c>
      <c r="I35" s="33" t="str">
        <f t="shared" si="9"/>
        <v/>
      </c>
      <c r="J35" s="34" t="str">
        <f t="shared" si="10"/>
        <v/>
      </c>
      <c r="K35" s="31" t="str">
        <f t="shared" si="11"/>
        <v/>
      </c>
      <c r="L35" s="37" t="str">
        <f>IF(A35=BP35,+'Biyemas S.A.'!L35+'Kandiko S.A'!L35+'Rebisco S.A.'!L35,"")</f>
        <v/>
      </c>
      <c r="M35" s="32" t="str">
        <f>IF(A35=BP35,+'Biyemas S.A.'!M35+'Kandiko S.A'!M35+'Rebisco S.A.'!M35,"")</f>
        <v/>
      </c>
      <c r="N35" s="32" t="str">
        <f>IF(A35=BP35,+'Biyemas S.A.'!N35+'Kandiko S.A'!N35+'Rebisco S.A.'!N35,"")</f>
        <v/>
      </c>
      <c r="O35" s="32" t="str">
        <f>IF(A35=BP35,+'Biyemas S.A.'!O35+'Kandiko S.A'!O35+'Rebisco S.A.'!O35,"")</f>
        <v/>
      </c>
      <c r="P35" s="33" t="str">
        <f t="shared" si="35"/>
        <v/>
      </c>
      <c r="Q35" s="33" t="str">
        <f t="shared" si="36"/>
        <v/>
      </c>
      <c r="R35" s="34" t="str">
        <f t="shared" si="37"/>
        <v/>
      </c>
      <c r="S35" s="31" t="str">
        <f>IF(A35="","",IF(C35&gt;0,+O35/L35,0))</f>
        <v/>
      </c>
      <c r="T35" s="32" t="str">
        <f t="shared" si="28"/>
        <v/>
      </c>
      <c r="U35" s="35" t="str">
        <f t="shared" si="29"/>
        <v/>
      </c>
      <c r="V35" s="32" t="str">
        <f>IF(A35="","",VLOOKUP(B35,'Datos Biyemas'!B37:BB74,21,0))</f>
        <v/>
      </c>
      <c r="W35" s="32" t="str">
        <f>IF(A35="","",VLOOKUP(B35,'Datos Biyemas'!B37:BB74,22,0))</f>
        <v/>
      </c>
      <c r="X35" s="32" t="str">
        <f>IF(A35="","",VLOOKUP(B35,'Datos Biyemas'!B37:BB74,23,0))</f>
        <v/>
      </c>
      <c r="Y35" s="32" t="str">
        <f>IF(A35="","",VLOOKUP(B35,'Datos Biyemas'!B37:BB74,24,0))</f>
        <v/>
      </c>
      <c r="Z35" s="33" t="str">
        <f t="shared" si="30"/>
        <v/>
      </c>
      <c r="AA35" s="33" t="str">
        <f t="shared" si="31"/>
        <v/>
      </c>
      <c r="AB35" s="34" t="str">
        <f t="shared" si="32"/>
        <v/>
      </c>
      <c r="AC35" s="32" t="str">
        <f t="shared" si="33"/>
        <v/>
      </c>
      <c r="AD35" s="37" t="str">
        <f t="shared" si="3"/>
        <v/>
      </c>
      <c r="AE35" s="32" t="str">
        <f>IF(A35=BP35,+'Biyemas S.A.'!AE35+'Kandiko S.A'!AE35+'Rebisco S.A.'!AE35,"")</f>
        <v/>
      </c>
      <c r="AF35" s="31" t="str">
        <f t="shared" si="4"/>
        <v/>
      </c>
      <c r="AG35" s="32" t="str">
        <f>IF(A35=BP35,+'Biyemas S.A.'!AG35+'Kandiko S.A'!AG35+'Rebisco S.A.'!AG35,"")</f>
        <v/>
      </c>
      <c r="AH35" s="32" t="str">
        <f>IF(A35=BP35,+'Biyemas S.A.'!AH35+'Kandiko S.A'!AH35+'Rebisco S.A.'!AH35,"")</f>
        <v/>
      </c>
      <c r="AI35" s="32" t="str">
        <f>IF(A35=BP35,+'Biyemas S.A.'!AI35+'Kandiko S.A'!AI35+'Rebisco S.A.'!AI35,"")</f>
        <v/>
      </c>
      <c r="AJ35" s="34" t="str">
        <f t="shared" si="34"/>
        <v/>
      </c>
      <c r="AK35" s="35" t="str">
        <f t="shared" si="20"/>
        <v/>
      </c>
      <c r="AL35" s="37" t="str">
        <f>IF(A35=BP35,+'Biyemas S.A.'!AL35+'Kandiko S.A'!AL35+'Rebisco S.A.'!AL35,"")</f>
        <v/>
      </c>
      <c r="AM35" s="58" t="str">
        <f t="shared" si="5"/>
        <v/>
      </c>
      <c r="AN35" s="262" t="str">
        <f>IF(A35=BP35,+'Biyemas S.A.'!AN35+'Kandiko S.A'!AN35+'Rebisco S.A.'!AN35,"")</f>
        <v/>
      </c>
      <c r="AO35" s="32" t="str">
        <f>IF(A35=BP35,+'Biyemas S.A.'!AO35+'Kandiko S.A'!AO35+'Rebisco S.A.'!AO35,"")</f>
        <v/>
      </c>
      <c r="AP35" s="36" t="str">
        <f t="shared" si="21"/>
        <v/>
      </c>
      <c r="AQ35" s="58" t="str">
        <f>IF(A35=BP35,+'Biyemas S.A.'!AQ35+'Kandiko S.A'!AQ35+'Rebisco S.A.'!AQ35,"")</f>
        <v/>
      </c>
      <c r="AR35" s="58" t="str">
        <f>IF(A35=BP35,+'Biyemas S.A.'!AR35+'Kandiko S.A'!AR35+'Rebisco S.A.'!AR35,"")</f>
        <v/>
      </c>
      <c r="AS35" s="58" t="str">
        <f>IF(A35=BP35,+'Biyemas S.A.'!AS35+'Kandiko S.A'!AS35+'Rebisco S.A.'!AS35,"")</f>
        <v/>
      </c>
      <c r="AT35" s="58" t="str">
        <f>IF(A35=BP35,+'Biyemas S.A.'!AT35+'Kandiko S.A'!AT35+'Rebisco S.A.'!AT35,"")</f>
        <v/>
      </c>
      <c r="AU35" s="58">
        <f>IFERROR('Biyemas S.A.'!AU35+'Kandiko S.A'!AU35+'Rebisco S.A.'!AU35,0)</f>
        <v>0</v>
      </c>
      <c r="AV35" s="37" t="str">
        <f t="shared" si="6"/>
        <v/>
      </c>
      <c r="AW35" s="38" t="str">
        <f t="shared" si="7"/>
        <v/>
      </c>
      <c r="AY35" s="180" t="str">
        <f>IF(A35=BP35,+'Biyemas S.A.'!AY35+'Kandiko S.A'!AY35+'Rebisco S.A.'!AY35,"")</f>
        <v/>
      </c>
      <c r="AZ35" s="252" t="str">
        <f t="shared" si="22"/>
        <v/>
      </c>
      <c r="BA35" s="255" t="str">
        <f>IF(A35=BP35,+'Biyemas S.A.'!BA35+'Kandiko S.A'!BA35+'Rebisco S.A.'!BA35,"")</f>
        <v/>
      </c>
      <c r="BB35" s="181" t="str">
        <f t="shared" si="23"/>
        <v/>
      </c>
      <c r="BC35" s="255" t="str">
        <f>IF(A35=BP35,+'Biyemas S.A.'!BC35+'Kandiko S.A'!BC35+'Rebisco S.A.'!BC35,"")</f>
        <v/>
      </c>
      <c r="BD35" s="181" t="str">
        <f t="shared" si="24"/>
        <v/>
      </c>
      <c r="BE35" s="29" t="str">
        <f>IF(A35="","",VLOOKUP(B35,'Datos Consolidados'!B37:BF74,53,0))</f>
        <v/>
      </c>
      <c r="BF35" s="28" t="str">
        <f>IF(A35="","",VLOOKUP(B35,'Datos Consolidados'!B37:BF74,54,0))</f>
        <v/>
      </c>
      <c r="BG35" s="28" t="str">
        <f>IF(A35="","",VLOOKUP(B35,'Datos Consolidados'!B37:BF74,55,0))</f>
        <v/>
      </c>
      <c r="BH35" s="28" t="str">
        <f>IF(A35="","",VLOOKUP(B35,'Datos Consolidados'!B37:BF74,51,0))</f>
        <v/>
      </c>
      <c r="BI35" s="28" t="str">
        <f>IF(A35="","",VLOOKUP(B35,'Datos Consolidados'!B37:BF74,52,0))</f>
        <v/>
      </c>
      <c r="BJ35" s="211" t="str">
        <f t="shared" si="25"/>
        <v/>
      </c>
      <c r="BK35" s="27" t="str">
        <f t="shared" si="26"/>
        <v/>
      </c>
      <c r="BL35" s="29" t="str">
        <f t="shared" si="27"/>
        <v/>
      </c>
      <c r="BM35" s="28" t="str">
        <f t="shared" si="8"/>
        <v/>
      </c>
      <c r="BN35" s="181" t="str">
        <f>+'Biyemas S.A.'!BN35</f>
        <v/>
      </c>
      <c r="BO35" s="59"/>
      <c r="BP35" s="39" t="str">
        <f>+'Biyemas S.A.'!BP35</f>
        <v xml:space="preserve">Sab/Sat    </v>
      </c>
    </row>
    <row r="36" spans="1:68" x14ac:dyDescent="0.2">
      <c r="A36" s="188" t="str">
        <f>IF(BP36='Datos Biyemas'!A38,'Datos Biyemas'!A38,"")</f>
        <v/>
      </c>
      <c r="B36" s="185" t="str">
        <f>IF(BP36=A36,'Datos Biyemas'!B38,"")</f>
        <v/>
      </c>
      <c r="C36" s="186" t="str">
        <f>IF(A36=BP36,+'Biyemas S.A.'!C36+'Kandiko S.A'!C36+'Rebisco S.A.'!C36,"")</f>
        <v/>
      </c>
      <c r="D36" s="32" t="str">
        <f>IF(A36=BP36,+'Biyemas S.A.'!D36+'Kandiko S.A'!D36+'Rebisco S.A.'!D36,"")</f>
        <v/>
      </c>
      <c r="E36" s="32" t="str">
        <f>IF(A36=BP36,+'Biyemas S.A.'!E36+'Kandiko S.A'!E36+'Rebisco S.A.'!E36,"")</f>
        <v/>
      </c>
      <c r="F36" s="32" t="str">
        <f>IF(A36=BP36,+'Biyemas S.A.'!F36+'Kandiko S.A'!F36+'Rebisco S.A.'!F36,"")</f>
        <v/>
      </c>
      <c r="G36" s="32" t="str">
        <f>IF(A36=BP36,+'Biyemas S.A.'!G36+'Kandiko S.A'!G36+'Rebisco S.A.'!G36,"")</f>
        <v/>
      </c>
      <c r="H36" s="33" t="str">
        <f t="shared" si="0"/>
        <v/>
      </c>
      <c r="I36" s="33" t="str">
        <f t="shared" si="9"/>
        <v/>
      </c>
      <c r="J36" s="34" t="str">
        <f t="shared" si="10"/>
        <v/>
      </c>
      <c r="K36" s="31" t="str">
        <f t="shared" si="11"/>
        <v/>
      </c>
      <c r="L36" s="37" t="str">
        <f>IF(A36=BP36,+'Biyemas S.A.'!L36+'Kandiko S.A'!L36+'Rebisco S.A.'!L36,"")</f>
        <v/>
      </c>
      <c r="M36" s="32" t="str">
        <f>IF(A36=BP36,+'Biyemas S.A.'!M36+'Kandiko S.A'!M36+'Rebisco S.A.'!M36,"")</f>
        <v/>
      </c>
      <c r="N36" s="32" t="str">
        <f>IF(A36=BP36,+'Biyemas S.A.'!N36+'Kandiko S.A'!N36+'Rebisco S.A.'!N36,"")</f>
        <v/>
      </c>
      <c r="O36" s="32" t="str">
        <f>IF(A36=BP36,+'Biyemas S.A.'!O36+'Kandiko S.A'!O36+'Rebisco S.A.'!O36,"")</f>
        <v/>
      </c>
      <c r="P36" s="33" t="str">
        <f t="shared" si="35"/>
        <v/>
      </c>
      <c r="Q36" s="33" t="str">
        <f t="shared" si="36"/>
        <v/>
      </c>
      <c r="R36" s="34" t="str">
        <f t="shared" si="37"/>
        <v/>
      </c>
      <c r="S36" s="31" t="str">
        <f t="shared" si="38"/>
        <v/>
      </c>
      <c r="T36" s="32" t="str">
        <f t="shared" si="28"/>
        <v/>
      </c>
      <c r="U36" s="35" t="str">
        <f t="shared" si="29"/>
        <v/>
      </c>
      <c r="V36" s="32" t="str">
        <f>IF(A36="","",VLOOKUP(B36,'Datos Biyemas'!B38:BB75,21,0))</f>
        <v/>
      </c>
      <c r="W36" s="32" t="str">
        <f>IF(A36="","",VLOOKUP(B36,'Datos Biyemas'!B38:BB75,22,0))</f>
        <v/>
      </c>
      <c r="X36" s="32" t="str">
        <f>IF(A36="","",VLOOKUP(B36,'Datos Biyemas'!B38:BB75,23,0))</f>
        <v/>
      </c>
      <c r="Y36" s="32" t="str">
        <f>IF(A36="","",VLOOKUP(B36,'Datos Biyemas'!B38:BB75,24,0))</f>
        <v/>
      </c>
      <c r="Z36" s="33" t="str">
        <f t="shared" si="30"/>
        <v/>
      </c>
      <c r="AA36" s="33" t="str">
        <f t="shared" si="31"/>
        <v/>
      </c>
      <c r="AB36" s="34" t="str">
        <f t="shared" si="32"/>
        <v/>
      </c>
      <c r="AC36" s="32" t="str">
        <f t="shared" si="33"/>
        <v/>
      </c>
      <c r="AD36" s="37" t="str">
        <f t="shared" si="3"/>
        <v/>
      </c>
      <c r="AE36" s="32" t="str">
        <f>IF(A36=BP36,+'Biyemas S.A.'!AE36+'Kandiko S.A'!AE36+'Rebisco S.A.'!AE36,"")</f>
        <v/>
      </c>
      <c r="AF36" s="31" t="str">
        <f t="shared" si="4"/>
        <v/>
      </c>
      <c r="AG36" s="32" t="str">
        <f>IF(A36=BP36,+'Biyemas S.A.'!AG36+'Kandiko S.A'!AG36+'Rebisco S.A.'!AG36,"")</f>
        <v/>
      </c>
      <c r="AH36" s="32" t="str">
        <f>IF(A36=BP36,+'Biyemas S.A.'!AH36+'Kandiko S.A'!AH36+'Rebisco S.A.'!AH36,"")</f>
        <v/>
      </c>
      <c r="AI36" s="32" t="str">
        <f>IF(A36=BP36,+'Biyemas S.A.'!AI36+'Kandiko S.A'!AI36+'Rebisco S.A.'!AI36,"")</f>
        <v/>
      </c>
      <c r="AJ36" s="34" t="str">
        <f t="shared" si="34"/>
        <v/>
      </c>
      <c r="AK36" s="35" t="str">
        <f t="shared" si="20"/>
        <v/>
      </c>
      <c r="AL36" s="37" t="str">
        <f>IF(A36=BP36,+'Biyemas S.A.'!AL36+'Kandiko S.A'!AL36+'Rebisco S.A.'!AL36,"")</f>
        <v/>
      </c>
      <c r="AM36" s="58" t="str">
        <f t="shared" si="5"/>
        <v/>
      </c>
      <c r="AN36" s="262" t="str">
        <f>IF(A36=BP36,+'Biyemas S.A.'!AN36+'Kandiko S.A'!AN36+'Rebisco S.A.'!AN36,"")</f>
        <v/>
      </c>
      <c r="AO36" s="32" t="str">
        <f>IF(A36=BP36,+'Biyemas S.A.'!AO36+'Kandiko S.A'!AO36+'Rebisco S.A.'!AO36,"")</f>
        <v/>
      </c>
      <c r="AP36" s="36" t="str">
        <f t="shared" si="21"/>
        <v/>
      </c>
      <c r="AQ36" s="58" t="str">
        <f>IF(A36=BP36,+'Biyemas S.A.'!AQ36+'Kandiko S.A'!AQ36+'Rebisco S.A.'!AQ36,"")</f>
        <v/>
      </c>
      <c r="AR36" s="58" t="str">
        <f>IF(A36=BP36,+'Biyemas S.A.'!AR36+'Kandiko S.A'!AR36+'Rebisco S.A.'!AR36,"")</f>
        <v/>
      </c>
      <c r="AS36" s="58" t="str">
        <f>IF(A36=BP36,+'Biyemas S.A.'!AS36+'Kandiko S.A'!AS36+'Rebisco S.A.'!AS36,"")</f>
        <v/>
      </c>
      <c r="AT36" s="58" t="str">
        <f>IF(A36=BP36,+'Biyemas S.A.'!AT36+'Kandiko S.A'!AT36+'Rebisco S.A.'!AT36,"")</f>
        <v/>
      </c>
      <c r="AU36" s="58">
        <f>IFERROR('Biyemas S.A.'!AU36+'Kandiko S.A'!AU36+'Rebisco S.A.'!AU36,0)</f>
        <v>0</v>
      </c>
      <c r="AV36" s="37" t="str">
        <f t="shared" si="6"/>
        <v/>
      </c>
      <c r="AW36" s="38" t="str">
        <f t="shared" si="7"/>
        <v/>
      </c>
      <c r="AY36" s="180" t="str">
        <f>IF(A36=BP36,+'Biyemas S.A.'!AY36+'Kandiko S.A'!AY36+'Rebisco S.A.'!AY36,"")</f>
        <v/>
      </c>
      <c r="AZ36" s="252" t="str">
        <f t="shared" si="22"/>
        <v/>
      </c>
      <c r="BA36" s="255" t="str">
        <f>IF(A36=BP36,+'Biyemas S.A.'!BA36+'Kandiko S.A'!BA36+'Rebisco S.A.'!BA36,"")</f>
        <v/>
      </c>
      <c r="BB36" s="181" t="str">
        <f t="shared" si="23"/>
        <v/>
      </c>
      <c r="BC36" s="255" t="str">
        <f>IF(A36=BP36,+'Biyemas S.A.'!BC36+'Kandiko S.A'!BC36+'Rebisco S.A.'!BC36,"")</f>
        <v/>
      </c>
      <c r="BD36" s="181" t="str">
        <f t="shared" si="24"/>
        <v/>
      </c>
      <c r="BE36" s="29" t="str">
        <f>IF(A36="","",VLOOKUP(B36,'Datos Consolidados'!B38:BF75,53,0))</f>
        <v/>
      </c>
      <c r="BF36" s="28" t="str">
        <f>IF(A36="","",VLOOKUP(B36,'Datos Consolidados'!B38:BF75,54,0))</f>
        <v/>
      </c>
      <c r="BG36" s="28" t="str">
        <f>IF(A36="","",VLOOKUP(B36,'Datos Consolidados'!B38:BF75,55,0))</f>
        <v/>
      </c>
      <c r="BH36" s="28" t="str">
        <f>IF(A36="","",VLOOKUP(B36,'Datos Consolidados'!B38:BF75,51,0))</f>
        <v/>
      </c>
      <c r="BI36" s="28" t="str">
        <f>IF(A36="","",VLOOKUP(B36,'Datos Consolidados'!B38:BF75,52,0))</f>
        <v/>
      </c>
      <c r="BJ36" s="211" t="str">
        <f t="shared" si="25"/>
        <v/>
      </c>
      <c r="BK36" s="27" t="str">
        <f t="shared" si="26"/>
        <v/>
      </c>
      <c r="BL36" s="29" t="str">
        <f t="shared" si="27"/>
        <v/>
      </c>
      <c r="BM36" s="28" t="str">
        <f t="shared" si="8"/>
        <v/>
      </c>
      <c r="BN36" s="181" t="str">
        <f>+'Biyemas S.A.'!BN36</f>
        <v/>
      </c>
      <c r="BO36" s="59"/>
      <c r="BP36" s="39" t="str">
        <f>+'Biyemas S.A.'!BP36</f>
        <v xml:space="preserve">Dom/Sun    </v>
      </c>
    </row>
    <row r="37" spans="1:68" ht="12.75" customHeight="1" x14ac:dyDescent="0.2">
      <c r="A37" s="188" t="str">
        <f>IF(BP37='Datos Biyemas'!A39,'Datos Biyemas'!A39,"")</f>
        <v/>
      </c>
      <c r="B37" s="185" t="str">
        <f>IF(BP37=A37,'Datos Biyemas'!B39,"")</f>
        <v/>
      </c>
      <c r="C37" s="186" t="str">
        <f>IF(A37=BP37,+'Biyemas S.A.'!C37+'Kandiko S.A'!C37+'Rebisco S.A.'!C37,"")</f>
        <v/>
      </c>
      <c r="D37" s="32" t="str">
        <f>IF(A37=BP37,+'Biyemas S.A.'!D37+'Kandiko S.A'!D37+'Rebisco S.A.'!D37,"")</f>
        <v/>
      </c>
      <c r="E37" s="32" t="str">
        <f>IF(A37=BP37,+'Biyemas S.A.'!E37+'Kandiko S.A'!E37+'Rebisco S.A.'!E37,"")</f>
        <v/>
      </c>
      <c r="F37" s="32" t="str">
        <f>IF(A37=BP37,+'Biyemas S.A.'!F37+'Kandiko S.A'!F37+'Rebisco S.A.'!F37,"")</f>
        <v/>
      </c>
      <c r="G37" s="32" t="str">
        <f>IF(A37=BP37,+'Biyemas S.A.'!G37+'Kandiko S.A'!G37+'Rebisco S.A.'!G37,"")</f>
        <v/>
      </c>
      <c r="H37" s="33" t="str">
        <f t="shared" si="0"/>
        <v/>
      </c>
      <c r="I37" s="33" t="str">
        <f t="shared" si="9"/>
        <v/>
      </c>
      <c r="J37" s="34" t="str">
        <f t="shared" si="10"/>
        <v/>
      </c>
      <c r="K37" s="31" t="str">
        <f t="shared" si="11"/>
        <v/>
      </c>
      <c r="L37" s="37" t="str">
        <f>IF(A37=BP37,+'Biyemas S.A.'!L37+'Kandiko S.A'!L37+'Rebisco S.A.'!L37,"")</f>
        <v/>
      </c>
      <c r="M37" s="32" t="str">
        <f>IF(A37=BP37,+'Biyemas S.A.'!M37+'Kandiko S.A'!M37+'Rebisco S.A.'!M37,"")</f>
        <v/>
      </c>
      <c r="N37" s="32" t="str">
        <f>IF(A37=BP37,+'Biyemas S.A.'!N37+'Kandiko S.A'!N37+'Rebisco S.A.'!N37,"")</f>
        <v/>
      </c>
      <c r="O37" s="32" t="str">
        <f>IF(A37=BP37,+'Biyemas S.A.'!O37+'Kandiko S.A'!O37+'Rebisco S.A.'!O37,"")</f>
        <v/>
      </c>
      <c r="P37" s="33" t="str">
        <f t="shared" si="35"/>
        <v/>
      </c>
      <c r="Q37" s="33" t="str">
        <f t="shared" si="36"/>
        <v/>
      </c>
      <c r="R37" s="34" t="str">
        <f t="shared" si="37"/>
        <v/>
      </c>
      <c r="S37" s="31" t="str">
        <f t="shared" si="38"/>
        <v/>
      </c>
      <c r="T37" s="32" t="str">
        <f t="shared" si="28"/>
        <v/>
      </c>
      <c r="U37" s="35" t="str">
        <f t="shared" si="29"/>
        <v/>
      </c>
      <c r="V37" s="32" t="str">
        <f>IF(A37="","",VLOOKUP(B37,'Datos Biyemas'!B39:BB76,21,0))</f>
        <v/>
      </c>
      <c r="W37" s="32" t="str">
        <f>IF(A37="","",VLOOKUP(B37,'Datos Biyemas'!B39:BB76,22,0))</f>
        <v/>
      </c>
      <c r="X37" s="32" t="str">
        <f>IF(A37="","",VLOOKUP(B37,'Datos Biyemas'!B39:BB76,23,0))</f>
        <v/>
      </c>
      <c r="Y37" s="32" t="str">
        <f>IF(A37="","",VLOOKUP(B37,'Datos Biyemas'!B39:BB76,24,0))</f>
        <v/>
      </c>
      <c r="Z37" s="33" t="str">
        <f t="shared" si="30"/>
        <v/>
      </c>
      <c r="AA37" s="33" t="str">
        <f t="shared" si="31"/>
        <v/>
      </c>
      <c r="AB37" s="34" t="str">
        <f t="shared" si="32"/>
        <v/>
      </c>
      <c r="AC37" s="32" t="str">
        <f t="shared" si="33"/>
        <v/>
      </c>
      <c r="AD37" s="37" t="str">
        <f t="shared" si="3"/>
        <v/>
      </c>
      <c r="AE37" s="32" t="str">
        <f>IF(A37=BP37,+'Biyemas S.A.'!AE37+'Kandiko S.A'!AE37+'Rebisco S.A.'!AE37,"")</f>
        <v/>
      </c>
      <c r="AF37" s="31" t="str">
        <f t="shared" si="4"/>
        <v/>
      </c>
      <c r="AG37" s="32" t="str">
        <f>IF(A37=BP37,+'Biyemas S.A.'!AG37+'Kandiko S.A'!AG37+'Rebisco S.A.'!AG37,"")</f>
        <v/>
      </c>
      <c r="AH37" s="32" t="str">
        <f>IF(A37=BP37,+'Biyemas S.A.'!AH37+'Kandiko S.A'!AH37+'Rebisco S.A.'!AH37,"")</f>
        <v/>
      </c>
      <c r="AI37" s="32" t="str">
        <f>IF(A37=BP37,+'Biyemas S.A.'!AI37+'Kandiko S.A'!AI37+'Rebisco S.A.'!AI37,"")</f>
        <v/>
      </c>
      <c r="AJ37" s="34" t="str">
        <f t="shared" si="34"/>
        <v/>
      </c>
      <c r="AK37" s="35" t="str">
        <f t="shared" si="20"/>
        <v/>
      </c>
      <c r="AL37" s="37" t="str">
        <f>IF(A37=BP37,+'Biyemas S.A.'!AL37+'Kandiko S.A'!AL37+'Rebisco S.A.'!AL37,"")</f>
        <v/>
      </c>
      <c r="AM37" s="58" t="str">
        <f t="shared" si="5"/>
        <v/>
      </c>
      <c r="AN37" s="262" t="str">
        <f>IF(A37=BP37,+'Biyemas S.A.'!AN37+'Kandiko S.A'!AN37+'Rebisco S.A.'!AN37,"")</f>
        <v/>
      </c>
      <c r="AO37" s="32" t="str">
        <f>IF(A37=BP37,+'Biyemas S.A.'!AO37+'Kandiko S.A'!AO37+'Rebisco S.A.'!AO37,"")</f>
        <v/>
      </c>
      <c r="AP37" s="36" t="str">
        <f t="shared" si="21"/>
        <v/>
      </c>
      <c r="AQ37" s="58" t="str">
        <f>IF(A37=BP37,+'Biyemas S.A.'!AQ37+'Kandiko S.A'!AQ37+'Rebisco S.A.'!AQ37,"")</f>
        <v/>
      </c>
      <c r="AR37" s="58" t="str">
        <f>IF(A37=BP37,+'Biyemas S.A.'!AR37+'Kandiko S.A'!AR37+'Rebisco S.A.'!AR37,"")</f>
        <v/>
      </c>
      <c r="AS37" s="58" t="str">
        <f>IF(A37=BP37,+'Biyemas S.A.'!AS37+'Kandiko S.A'!AS37+'Rebisco S.A.'!AS37,"")</f>
        <v/>
      </c>
      <c r="AT37" s="58" t="str">
        <f>IF(A37=BP37,+'Biyemas S.A.'!AT37+'Kandiko S.A'!AT37+'Rebisco S.A.'!AT37,"")</f>
        <v/>
      </c>
      <c r="AU37" s="58">
        <f>IFERROR('Biyemas S.A.'!AU37+'Kandiko S.A'!AU37+'Rebisco S.A.'!AU37,0)</f>
        <v>0</v>
      </c>
      <c r="AV37" s="37" t="str">
        <f t="shared" si="6"/>
        <v/>
      </c>
      <c r="AW37" s="38" t="str">
        <f t="shared" si="7"/>
        <v/>
      </c>
      <c r="AY37" s="180" t="str">
        <f>IF(A37=BP37,+'Biyemas S.A.'!AY37+'Kandiko S.A'!AY37+'Rebisco S.A.'!AY37,"")</f>
        <v/>
      </c>
      <c r="AZ37" s="252" t="str">
        <f t="shared" si="22"/>
        <v/>
      </c>
      <c r="BA37" s="255" t="str">
        <f>IF(A37=BP37,+'Biyemas S.A.'!BA37+'Kandiko S.A'!BA37+'Rebisco S.A.'!BA37,"")</f>
        <v/>
      </c>
      <c r="BB37" s="181" t="str">
        <f t="shared" si="23"/>
        <v/>
      </c>
      <c r="BC37" s="255" t="str">
        <f>IF(A37=BP37,+'Biyemas S.A.'!BC37+'Kandiko S.A'!BC37+'Rebisco S.A.'!BC37,"")</f>
        <v/>
      </c>
      <c r="BD37" s="181" t="str">
        <f t="shared" si="24"/>
        <v/>
      </c>
      <c r="BE37" s="29" t="str">
        <f>IF(A37="","",VLOOKUP(B37,'Datos Consolidados'!B39:BF76,53,0))</f>
        <v/>
      </c>
      <c r="BF37" s="28" t="str">
        <f>IF(A37="","",VLOOKUP(B37,'Datos Consolidados'!B39:BF76,54,0))</f>
        <v/>
      </c>
      <c r="BG37" s="28" t="str">
        <f>IF(A37="","",VLOOKUP(B37,'Datos Consolidados'!B39:BF76,55,0))</f>
        <v/>
      </c>
      <c r="BH37" s="28" t="str">
        <f>IF(A37="","",VLOOKUP(B37,'Datos Consolidados'!B39:BF76,51,0))</f>
        <v/>
      </c>
      <c r="BI37" s="28" t="str">
        <f>IF(A37="","",VLOOKUP(B37,'Datos Consolidados'!B39:BF76,52,0))</f>
        <v/>
      </c>
      <c r="BJ37" s="211" t="str">
        <f t="shared" si="25"/>
        <v/>
      </c>
      <c r="BK37" s="27" t="str">
        <f t="shared" si="26"/>
        <v/>
      </c>
      <c r="BL37" s="29" t="str">
        <f t="shared" si="27"/>
        <v/>
      </c>
      <c r="BM37" s="28" t="str">
        <f t="shared" si="8"/>
        <v/>
      </c>
      <c r="BN37" s="181" t="str">
        <f>+'Biyemas S.A.'!BN37</f>
        <v/>
      </c>
      <c r="BO37" s="59"/>
      <c r="BP37" s="39" t="str">
        <f>+'Biyemas S.A.'!BP37</f>
        <v xml:space="preserve">Lun/Mon    </v>
      </c>
    </row>
    <row r="38" spans="1:68" ht="12" customHeight="1" thickBot="1" x14ac:dyDescent="0.25">
      <c r="A38" s="204"/>
      <c r="B38" s="200"/>
      <c r="C38" s="31"/>
      <c r="D38" s="32"/>
      <c r="E38" s="32"/>
      <c r="F38" s="32"/>
      <c r="G38" s="32"/>
      <c r="H38" s="33"/>
      <c r="I38" s="33"/>
      <c r="J38" s="34"/>
      <c r="K38" s="32"/>
      <c r="L38" s="37"/>
      <c r="M38" s="32"/>
      <c r="N38" s="32"/>
      <c r="O38" s="32"/>
      <c r="P38" s="33"/>
      <c r="Q38" s="33"/>
      <c r="R38" s="34"/>
      <c r="S38" s="31"/>
      <c r="T38" s="34"/>
      <c r="U38" s="35"/>
      <c r="V38" s="32"/>
      <c r="W38" s="32"/>
      <c r="X38" s="32"/>
      <c r="Y38" s="32"/>
      <c r="Z38" s="32"/>
      <c r="AA38" s="32"/>
      <c r="AB38" s="32"/>
      <c r="AC38" s="32"/>
      <c r="AD38" s="37"/>
      <c r="AE38" s="32"/>
      <c r="AF38" s="31"/>
      <c r="AG38" s="32"/>
      <c r="AH38" s="32"/>
      <c r="AI38" s="32"/>
      <c r="AJ38" s="34"/>
      <c r="AK38" s="35"/>
      <c r="AL38" s="242"/>
      <c r="AM38" s="246"/>
      <c r="AN38" s="242"/>
      <c r="AO38" s="260"/>
      <c r="AP38" s="243"/>
      <c r="AQ38" s="58"/>
      <c r="AR38" s="58"/>
      <c r="AS38" s="58"/>
      <c r="AT38" s="58"/>
      <c r="AU38" s="58">
        <f>IF(B38=BP38,+'Biyemas S.A.'!AU38+'Kandiko S.A'!AU38+'Rebisco S.A.'!AU38,"")</f>
        <v>0</v>
      </c>
      <c r="AV38" s="37"/>
      <c r="AW38" s="38"/>
      <c r="AY38" s="224"/>
      <c r="AZ38" s="252" t="str">
        <f t="shared" si="22"/>
        <v/>
      </c>
      <c r="BA38" s="256"/>
      <c r="BB38" s="181" t="str">
        <f t="shared" si="23"/>
        <v/>
      </c>
      <c r="BC38" s="256"/>
      <c r="BD38" s="181"/>
      <c r="BE38" s="29" t="str">
        <f>IF(A38="","",VLOOKUP(B38,'Datos Consolidados'!B40:BF77,53,0))</f>
        <v/>
      </c>
      <c r="BF38" s="28" t="str">
        <f>IF(A38="","",VLOOKUP(B38,'Datos Consolidados'!B40:BF77,54,0))</f>
        <v/>
      </c>
      <c r="BG38" s="28" t="str">
        <f>IF(A38="","",VLOOKUP(B38,'Datos Consolidados'!B40:BF77,55,0))</f>
        <v/>
      </c>
      <c r="BH38" s="28" t="str">
        <f>IF(A38="","",VLOOKUP(B38,'Datos Consolidados'!B40:BF77,51,0))</f>
        <v/>
      </c>
      <c r="BI38" s="28" t="str">
        <f>IF(A38="","",VLOOKUP(B38,'Datos Consolidados'!B40:BF77,52,0))</f>
        <v/>
      </c>
      <c r="BJ38" s="212"/>
      <c r="BK38" s="213"/>
      <c r="BL38" s="214"/>
      <c r="BM38" s="225"/>
      <c r="BN38" s="215"/>
      <c r="BO38" s="198"/>
    </row>
    <row r="39" spans="1:68" s="2" customFormat="1" ht="12.75" customHeight="1" thickBot="1" x14ac:dyDescent="0.25">
      <c r="A39" s="205" t="s">
        <v>15</v>
      </c>
      <c r="B39" s="129" t="s">
        <v>4</v>
      </c>
      <c r="C39" s="130">
        <f>SUM(C7:C38)</f>
        <v>0</v>
      </c>
      <c r="D39" s="133"/>
      <c r="E39" s="133">
        <f>SUM(E7:E38)</f>
        <v>0</v>
      </c>
      <c r="F39" s="133">
        <f>SUM(F7:F38)</f>
        <v>0</v>
      </c>
      <c r="G39" s="133">
        <f>SUM(G7:G38)</f>
        <v>0</v>
      </c>
      <c r="H39" s="134"/>
      <c r="I39" s="47"/>
      <c r="J39" s="135"/>
      <c r="K39" s="133" t="s">
        <v>1</v>
      </c>
      <c r="L39" s="132"/>
      <c r="M39" s="133">
        <f>SUM(M7:M38)</f>
        <v>0</v>
      </c>
      <c r="N39" s="133">
        <f>SUM(N7:N38)</f>
        <v>0</v>
      </c>
      <c r="O39" s="133">
        <f>SUM(O7:O38)</f>
        <v>0</v>
      </c>
      <c r="P39" s="134"/>
      <c r="Q39" s="134"/>
      <c r="R39" s="136"/>
      <c r="S39" s="50"/>
      <c r="T39" s="48"/>
      <c r="U39" s="208"/>
      <c r="V39" s="133"/>
      <c r="W39" s="133">
        <f>SUM(W7:W38)</f>
        <v>0</v>
      </c>
      <c r="X39" s="133">
        <f>SUM(X7:X38)</f>
        <v>0</v>
      </c>
      <c r="Y39" s="133">
        <f>SUM(Y7:Y38)</f>
        <v>0</v>
      </c>
      <c r="Z39" s="134"/>
      <c r="AA39" s="47"/>
      <c r="AB39" s="135"/>
      <c r="AC39" s="133" t="s">
        <v>1</v>
      </c>
      <c r="AD39" s="132">
        <f>SUM(AD7:AD38)</f>
        <v>0</v>
      </c>
      <c r="AE39" s="133">
        <f>SUM(AE7:AE38)</f>
        <v>0</v>
      </c>
      <c r="AF39" s="130">
        <f>SUM(AF7:AF38)</f>
        <v>0</v>
      </c>
      <c r="AG39" s="48">
        <f t="shared" ref="AG39:AI39" si="39">SUM(AG7:AG38)</f>
        <v>0</v>
      </c>
      <c r="AH39" s="48">
        <f t="shared" si="39"/>
        <v>0</v>
      </c>
      <c r="AI39" s="48">
        <f t="shared" si="39"/>
        <v>0</v>
      </c>
      <c r="AJ39" s="136"/>
      <c r="AK39" s="208">
        <f>SUM(AK7:AK38)</f>
        <v>0</v>
      </c>
      <c r="AL39" s="51">
        <f>SUM(AL7:AL38)</f>
        <v>0</v>
      </c>
      <c r="AM39" s="52"/>
      <c r="AN39" s="247">
        <f>SUM(AN7:AN38)</f>
        <v>0</v>
      </c>
      <c r="AO39" s="247">
        <f>SUM(AO7:AO38)</f>
        <v>0</v>
      </c>
      <c r="AP39" s="281"/>
      <c r="AQ39" s="284">
        <f>SUM(AQ7:AQ38)</f>
        <v>0</v>
      </c>
      <c r="AR39" s="206">
        <f t="shared" ref="AR39:AT39" si="40">SUM(AR7:AR38)</f>
        <v>0</v>
      </c>
      <c r="AS39" s="206">
        <f t="shared" si="40"/>
        <v>0</v>
      </c>
      <c r="AT39" s="206">
        <f t="shared" si="40"/>
        <v>0</v>
      </c>
      <c r="AU39" s="52"/>
      <c r="AV39" s="51">
        <f>SUM(AV7:AV38)</f>
        <v>0</v>
      </c>
      <c r="AW39" s="49"/>
      <c r="AY39" s="175" t="e">
        <f>SUM(AY7:AY38)/COUNT(AY7:AY38)</f>
        <v>#DIV/0!</v>
      </c>
      <c r="AZ39" s="253" t="e">
        <f>AY39-AZ6</f>
        <v>#DIV/0!</v>
      </c>
      <c r="BA39" s="175">
        <f>SUM(BA7:BA38)</f>
        <v>0</v>
      </c>
      <c r="BB39" s="171">
        <f>IF($AK39&gt;0,(C39-($BA39))/($BA$39),)</f>
        <v>0</v>
      </c>
      <c r="BC39" s="175">
        <f>SUM(BC7:BC38)</f>
        <v>0</v>
      </c>
      <c r="BD39" s="171" t="b">
        <f>IF($BC39&gt;0,(AN39-($BC39))/($BC$39),IF(AN39&gt;0,1))</f>
        <v>0</v>
      </c>
      <c r="BE39" s="222" t="e">
        <f>VLOOKUP("Total final",'Datos Consolidados'!A9:BF142,54,0)</f>
        <v>#N/A</v>
      </c>
      <c r="BF39" s="173" t="e">
        <f>VLOOKUP("Total final",'Datos Consolidados'!A9:BF142,55,0)</f>
        <v>#N/A</v>
      </c>
      <c r="BG39" s="173" t="e">
        <f>VLOOKUP("Total final",'Datos Consolidados'!A9:BF142,56,0)</f>
        <v>#N/A</v>
      </c>
      <c r="BH39" s="173" t="e">
        <f>VLOOKUP("Total final",'Datos Consolidados'!A9:BF142,52,0)</f>
        <v>#N/A</v>
      </c>
      <c r="BI39" s="174" t="e">
        <f>+'Biyemas S.A.'!BI39</f>
        <v>#N/A</v>
      </c>
      <c r="BJ39" s="169" t="e">
        <f>+BJ40/BJ6-1</f>
        <v>#N/A</v>
      </c>
      <c r="BK39" s="170" t="e">
        <f>+BK40/BK6-1</f>
        <v>#N/A</v>
      </c>
      <c r="BL39" s="170" t="e">
        <f t="shared" ref="BL39:BM39" si="41">+BL40/BL6-1</f>
        <v>#N/A</v>
      </c>
      <c r="BM39" s="197" t="e">
        <f t="shared" si="41"/>
        <v>#N/A</v>
      </c>
      <c r="BN39" s="171" t="e">
        <f>+'Biyemas S.A.'!BN39</f>
        <v>#N/A</v>
      </c>
      <c r="BO39" s="199"/>
    </row>
    <row r="40" spans="1:68" ht="12" thickBot="1" x14ac:dyDescent="0.25">
      <c r="A40" s="131" t="s">
        <v>26</v>
      </c>
      <c r="B40" s="129"/>
      <c r="C40" s="130" t="e">
        <f>+'Biyemas S.A.'!C40+'Kandiko S.A'!C40+'Rebisco S.A.'!C40</f>
        <v>#N/A</v>
      </c>
      <c r="D40" s="133" t="e">
        <f>SUM(D7:D37)/$D$1</f>
        <v>#DIV/0!</v>
      </c>
      <c r="E40" s="133" t="e">
        <f t="shared" ref="E40:G40" si="42">SUM(E7:E37)/$D$1</f>
        <v>#DIV/0!</v>
      </c>
      <c r="F40" s="133" t="e">
        <f t="shared" si="42"/>
        <v>#DIV/0!</v>
      </c>
      <c r="G40" s="133" t="e">
        <f t="shared" si="42"/>
        <v>#DIV/0!</v>
      </c>
      <c r="H40" s="134" t="e">
        <f>+G40/E40</f>
        <v>#DIV/0!</v>
      </c>
      <c r="I40" s="47" t="e">
        <f>+G40/F40</f>
        <v>#DIV/0!</v>
      </c>
      <c r="J40" s="135" t="e">
        <f>+G40/C40</f>
        <v>#DIV/0!</v>
      </c>
      <c r="K40" s="133" t="e">
        <f>+G40/D40</f>
        <v>#DIV/0!</v>
      </c>
      <c r="L40" s="132" t="e">
        <f>SUM(L7:L37)/$D$1</f>
        <v>#DIV/0!</v>
      </c>
      <c r="M40" s="133" t="e">
        <f>SUM(M7:M37)/$D$1</f>
        <v>#DIV/0!</v>
      </c>
      <c r="N40" s="133" t="e">
        <f t="shared" ref="N40" si="43">SUM(N7:N37)/$D$1</f>
        <v>#DIV/0!</v>
      </c>
      <c r="O40" s="133" t="e">
        <f>SUM(O7:O37)/$D$1</f>
        <v>#DIV/0!</v>
      </c>
      <c r="P40" s="134" t="e">
        <f>+O40/M40</f>
        <v>#DIV/0!</v>
      </c>
      <c r="Q40" s="134" t="e">
        <f>+O40/N40</f>
        <v>#DIV/0!</v>
      </c>
      <c r="R40" s="136" t="e">
        <f>+O40/C40</f>
        <v>#DIV/0!</v>
      </c>
      <c r="S40" s="50" t="e">
        <f>+O40/L40</f>
        <v>#DIV/0!</v>
      </c>
      <c r="T40" s="133" t="e">
        <f>SUM(T7:T37)/$D$1</f>
        <v>#DIV/0!</v>
      </c>
      <c r="U40" s="192" t="e">
        <f>SUM(U7:U37)/$D$1</f>
        <v>#DIV/0!</v>
      </c>
      <c r="V40" s="133" t="e">
        <f>SUM(V7:V37)/$D$1</f>
        <v>#DIV/0!</v>
      </c>
      <c r="W40" s="133" t="e">
        <f>SUM(W7:W37)/$D$1</f>
        <v>#DIV/0!</v>
      </c>
      <c r="X40" s="133" t="e">
        <f t="shared" ref="X40:Y40" si="44">SUM(X7:X37)/$D$1</f>
        <v>#DIV/0!</v>
      </c>
      <c r="Y40" s="133" t="e">
        <f t="shared" si="44"/>
        <v>#DIV/0!</v>
      </c>
      <c r="Z40" s="134" t="e">
        <f>+Y40/W40</f>
        <v>#DIV/0!</v>
      </c>
      <c r="AA40" s="47" t="e">
        <f>+Y40/X40</f>
        <v>#DIV/0!</v>
      </c>
      <c r="AB40" s="135" t="e">
        <f>+Y40/K40</f>
        <v>#DIV/0!</v>
      </c>
      <c r="AC40" s="133" t="e">
        <f>+Y40/V40</f>
        <v>#DIV/0!</v>
      </c>
      <c r="AD40" s="132" t="e">
        <f>SUM(AD7:AD37)/$D$1</f>
        <v>#DIV/0!</v>
      </c>
      <c r="AE40" s="133" t="e">
        <f>SUM(AE7:AE37)/$D$1</f>
        <v>#DIV/0!</v>
      </c>
      <c r="AF40" s="130" t="e">
        <f>SUM(AF7:AF37)/$D$1</f>
        <v>#DIV/0!</v>
      </c>
      <c r="AG40" s="133" t="e">
        <f t="shared" ref="AG40:AI40" si="45">SUM(AG7:AG37)/$D$1</f>
        <v>#DIV/0!</v>
      </c>
      <c r="AH40" s="133" t="e">
        <f t="shared" si="45"/>
        <v>#DIV/0!</v>
      </c>
      <c r="AI40" s="133" t="e">
        <f t="shared" si="45"/>
        <v>#DIV/0!</v>
      </c>
      <c r="AJ40" s="136" t="e">
        <f>+AI40/C40</f>
        <v>#DIV/0!</v>
      </c>
      <c r="AK40" s="192" t="e">
        <f>SUM(AK7:AK37)/$D$1</f>
        <v>#DIV/0!</v>
      </c>
      <c r="AL40" s="132" t="e">
        <f>SUM(AL7:AL37)/$D$1</f>
        <v>#DIV/0!</v>
      </c>
      <c r="AM40" s="206" t="e">
        <f>+AL40/C40</f>
        <v>#DIV/0!</v>
      </c>
      <c r="AN40" s="132" t="e">
        <f>SUM(AN7:AN37)/$D$1</f>
        <v>#DIV/0!</v>
      </c>
      <c r="AO40" s="133" t="e">
        <f>SUM(AO7:AO37)/$D$1</f>
        <v>#DIV/0!</v>
      </c>
      <c r="AP40" s="52" t="e">
        <f>+AO40/AN40</f>
        <v>#DIV/0!</v>
      </c>
      <c r="AQ40" s="206" t="e">
        <f>SUM(AQ7:AQ37)/$D$1</f>
        <v>#DIV/0!</v>
      </c>
      <c r="AR40" s="206" t="e">
        <f t="shared" ref="AR40:AT40" si="46">SUM(AR7:AR37)/$D$1</f>
        <v>#DIV/0!</v>
      </c>
      <c r="AS40" s="206" t="e">
        <f t="shared" si="46"/>
        <v>#DIV/0!</v>
      </c>
      <c r="AT40" s="206" t="e">
        <f t="shared" si="46"/>
        <v>#DIV/0!</v>
      </c>
      <c r="AU40" s="206"/>
      <c r="AV40" s="132" t="e">
        <f>SUM(AV7:AV37)/$D$1</f>
        <v>#DIV/0!</v>
      </c>
      <c r="AW40" s="49" t="e">
        <f>+AV40/C40</f>
        <v>#DIV/0!</v>
      </c>
      <c r="AY40" s="32"/>
      <c r="BB40" s="61" t="s">
        <v>48</v>
      </c>
      <c r="BC40" s="61"/>
      <c r="BD40" s="61"/>
      <c r="BE40" s="62" t="e">
        <f>+'Biyemas S.A.'!BE40+'Kandiko S.A'!BE40+'Rebisco S.A.'!BE40</f>
        <v>#N/A</v>
      </c>
      <c r="BF40" s="62" t="e">
        <f>+'Biyemas S.A.'!BF40+'Kandiko S.A'!BF40+'Rebisco S.A.'!BF40</f>
        <v>#N/A</v>
      </c>
      <c r="BG40" s="62" t="e">
        <f>+'Biyemas S.A.'!BG40+'Kandiko S.A'!BG40+'Rebisco S.A.'!BG40</f>
        <v>#N/A</v>
      </c>
      <c r="BH40" s="62" t="e">
        <f>+'Biyemas S.A.'!BH40+'Kandiko S.A'!BH40+'Rebisco S.A.'!BH40</f>
        <v>#N/A</v>
      </c>
      <c r="BI40" s="62" t="e">
        <f>+'Biyemas S.A.'!BI40+'Kandiko S.A'!BI40+'Rebisco S.A.'!BI40</f>
        <v>#N/A</v>
      </c>
      <c r="BJ40" s="62" t="e">
        <f>+'Biyemas S.A.'!BJ40+'Kandiko S.A'!BJ40+'Rebisco S.A.'!BJ40</f>
        <v>#N/A</v>
      </c>
      <c r="BK40" s="62" t="e">
        <f>+'Biyemas S.A.'!BK40+'Kandiko S.A'!BK40+'Rebisco S.A.'!BK40</f>
        <v>#N/A</v>
      </c>
      <c r="BL40" s="62" t="e">
        <f>+'Biyemas S.A.'!BL40+'Kandiko S.A'!BL40+'Rebisco S.A.'!BL40</f>
        <v>#N/A</v>
      </c>
      <c r="BM40" s="62" t="e">
        <f>+'Biyemas S.A.'!BM40+'Kandiko S.A'!BM40+'Rebisco S.A.'!BM40</f>
        <v>#N/A</v>
      </c>
      <c r="BN40" s="62" t="e">
        <f>+'Biyemas S.A.'!BN40+'Kandiko S.A'!BN40+'Rebisco S.A.'!BN40</f>
        <v>#N/A</v>
      </c>
    </row>
    <row r="41" spans="1:68" ht="12" thickBot="1" x14ac:dyDescent="0.25">
      <c r="B41" s="55"/>
      <c r="C41" s="32"/>
      <c r="D41" s="32"/>
      <c r="E41" s="32"/>
      <c r="F41" s="32"/>
      <c r="G41" s="32"/>
      <c r="H41" s="33"/>
      <c r="I41" s="33"/>
      <c r="J41" s="34"/>
      <c r="K41" s="32"/>
      <c r="L41" s="32"/>
      <c r="M41" s="32"/>
      <c r="N41" s="32"/>
      <c r="O41" s="32"/>
      <c r="P41" s="33"/>
      <c r="Q41" s="33"/>
      <c r="R41" s="34" t="s">
        <v>4</v>
      </c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/>
      <c r="AK41" s="32"/>
      <c r="AL41" s="32"/>
      <c r="AM41" s="58"/>
      <c r="AN41" s="58"/>
      <c r="AO41" s="32"/>
      <c r="AP41" s="58"/>
      <c r="AQ41" s="58"/>
      <c r="AR41" s="58"/>
      <c r="AS41" s="58"/>
      <c r="AT41" s="58"/>
      <c r="AU41" s="58"/>
      <c r="AV41" s="32"/>
      <c r="AW41" s="34"/>
      <c r="BB41" s="60" t="s">
        <v>49</v>
      </c>
      <c r="BC41" s="60"/>
      <c r="BD41" s="60"/>
      <c r="BE41" s="64" t="e">
        <f>+'Biyemas S.A.'!BE41+'Kandiko S.A'!BE41+'Rebisco S.A.'!BE41</f>
        <v>#N/A</v>
      </c>
      <c r="BF41" s="64" t="e">
        <f>+'Biyemas S.A.'!BF41+'Kandiko S.A'!BF41+'Rebisco S.A.'!BF41</f>
        <v>#N/A</v>
      </c>
      <c r="BG41" s="64" t="e">
        <f>+'Biyemas S.A.'!BG41+'Kandiko S.A'!BG41+'Rebisco S.A.'!BG41</f>
        <v>#N/A</v>
      </c>
      <c r="BH41" s="64" t="e">
        <f>+'Biyemas S.A.'!BH41+'Kandiko S.A'!BH41+'Rebisco S.A.'!BH41</f>
        <v>#N/A</v>
      </c>
      <c r="BI41" s="64" t="e">
        <f>+'Biyemas S.A.'!BI41+'Kandiko S.A'!BI41+'Rebisco S.A.'!BI41</f>
        <v>#N/A</v>
      </c>
      <c r="BJ41" s="64" t="e">
        <f>+'Biyemas S.A.'!BJ41+'Kandiko S.A'!BJ41+'Rebisco S.A.'!BJ41</f>
        <v>#N/A</v>
      </c>
      <c r="BK41" s="64" t="e">
        <f>+'Biyemas S.A.'!BK41+'Kandiko S.A'!BK41+'Rebisco S.A.'!BK41</f>
        <v>#N/A</v>
      </c>
      <c r="BL41" s="64" t="e">
        <f>+'Biyemas S.A.'!BL41+'Kandiko S.A'!BL41+'Rebisco S.A.'!BL41</f>
        <v>#N/A</v>
      </c>
      <c r="BM41" s="64" t="e">
        <f>+'Biyemas S.A.'!BM41+'Kandiko S.A'!BM41+'Rebisco S.A.'!BM41</f>
        <v>#N/A</v>
      </c>
      <c r="BN41" s="64" t="e">
        <f>+'Biyemas S.A.'!BN41+'Kandiko S.A'!BN41+'Rebisco S.A.'!BN41</f>
        <v>#N/A</v>
      </c>
    </row>
    <row r="42" spans="1:68" ht="13.5" thickTop="1" x14ac:dyDescent="0.2">
      <c r="B42" s="55"/>
      <c r="C42" s="32"/>
      <c r="D42" s="32"/>
      <c r="E42" s="32"/>
      <c r="F42" s="32"/>
      <c r="G42" s="166"/>
      <c r="H42" s="56"/>
      <c r="I42" s="33"/>
      <c r="J42" s="34"/>
      <c r="K42" s="32"/>
      <c r="L42" s="32"/>
      <c r="M42" s="32"/>
      <c r="N42" s="32"/>
      <c r="O42" s="32"/>
      <c r="P42" s="56"/>
      <c r="Q42" s="56"/>
      <c r="R42" s="34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/>
      <c r="AK42" s="32"/>
      <c r="AL42" s="32"/>
      <c r="AM42" s="58"/>
      <c r="AN42" s="58"/>
      <c r="AO42" s="32"/>
      <c r="AP42" s="58"/>
      <c r="AQ42" s="58"/>
      <c r="AR42" s="58"/>
      <c r="AS42" s="58"/>
      <c r="AT42" s="58"/>
      <c r="AU42" s="58"/>
      <c r="AV42" s="32"/>
      <c r="AW42" s="34"/>
      <c r="BB42" s="60"/>
      <c r="BC42" s="60"/>
      <c r="BD42" s="60"/>
      <c r="BE42" s="230"/>
      <c r="BF42" s="113"/>
      <c r="BG42" s="113"/>
      <c r="BH42" s="113"/>
      <c r="BI42" s="113"/>
      <c r="BJ42" s="119"/>
      <c r="BK42" s="119"/>
      <c r="BL42" s="119"/>
      <c r="BM42" s="119"/>
      <c r="BN42" s="119"/>
    </row>
    <row r="43" spans="1:68" x14ac:dyDescent="0.2">
      <c r="B43" s="55"/>
      <c r="C43" s="32"/>
      <c r="D43" s="32"/>
      <c r="E43" s="32"/>
      <c r="F43" s="32"/>
      <c r="G43" s="32"/>
      <c r="H43" s="56"/>
      <c r="I43" s="33"/>
      <c r="J43" s="34"/>
      <c r="K43" s="32"/>
      <c r="L43" s="32"/>
      <c r="M43" s="32"/>
      <c r="N43" s="32"/>
      <c r="O43" s="32"/>
      <c r="P43" s="56"/>
      <c r="Q43" s="56"/>
      <c r="R43" s="34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/>
      <c r="AK43" s="32"/>
      <c r="AL43" s="32"/>
      <c r="AM43" s="58"/>
      <c r="AN43" s="58"/>
      <c r="AO43" s="32"/>
      <c r="AP43" s="58"/>
      <c r="AQ43" s="58"/>
      <c r="AR43" s="58"/>
      <c r="AS43" s="58"/>
      <c r="AT43" s="58"/>
      <c r="AU43" s="58"/>
      <c r="AV43" s="32"/>
      <c r="AW43" s="34"/>
      <c r="BB43" s="60"/>
      <c r="BC43" s="60"/>
      <c r="BD43" s="60"/>
      <c r="BE43" s="230"/>
      <c r="BF43" s="230"/>
      <c r="BG43" s="113"/>
      <c r="BH43" s="113"/>
      <c r="BI43" s="113"/>
      <c r="BJ43" s="119"/>
      <c r="BK43" s="119"/>
      <c r="BL43" s="119"/>
      <c r="BM43" s="119"/>
      <c r="BN43" s="119"/>
    </row>
    <row r="44" spans="1:68" ht="12" thickBot="1" x14ac:dyDescent="0.25">
      <c r="A44" s="2" t="str">
        <f>+'Biyemas S.A.'!A44</f>
        <v>Reporte Flash Julio 2026</v>
      </c>
      <c r="B44" s="55"/>
      <c r="C44" s="32"/>
      <c r="D44" s="32"/>
      <c r="E44" s="32"/>
      <c r="F44" s="32"/>
      <c r="G44" s="32"/>
      <c r="H44" s="56"/>
      <c r="I44" s="33"/>
      <c r="J44" s="34"/>
      <c r="K44" s="57"/>
      <c r="L44" s="32"/>
      <c r="M44" s="32"/>
      <c r="N44" s="32"/>
      <c r="O44" s="32"/>
      <c r="P44" s="56"/>
      <c r="Q44" s="56"/>
      <c r="R44" s="34"/>
      <c r="S44" s="32"/>
      <c r="T44" s="32"/>
      <c r="U44" s="32"/>
      <c r="V44" s="32"/>
      <c r="W44" s="32"/>
      <c r="X44" s="32"/>
      <c r="Y44" s="32"/>
      <c r="Z44" s="57"/>
      <c r="AA44" s="57"/>
      <c r="AB44" s="57"/>
      <c r="AC44" s="57"/>
      <c r="AD44" s="57"/>
      <c r="AE44" s="57"/>
      <c r="AF44" s="57"/>
      <c r="AG44" s="32"/>
      <c r="AH44" s="32"/>
      <c r="AI44" s="32"/>
      <c r="AJ44" s="34"/>
      <c r="AK44" s="32"/>
      <c r="AL44" s="32"/>
      <c r="AM44" s="58"/>
      <c r="AN44" s="58"/>
      <c r="AO44" s="32"/>
      <c r="AP44" s="58"/>
      <c r="AQ44" s="58"/>
      <c r="AR44" s="58"/>
      <c r="AS44" s="58"/>
      <c r="AT44" s="58"/>
      <c r="AU44" s="58"/>
      <c r="AV44" s="59"/>
      <c r="AW44" s="34"/>
      <c r="AX44" s="34"/>
      <c r="AY44" s="34"/>
      <c r="BB44" s="60"/>
      <c r="BC44" s="60"/>
      <c r="BD44" s="60"/>
      <c r="BE44" s="117"/>
      <c r="BF44" s="117"/>
      <c r="BG44" s="117"/>
      <c r="BH44" s="117"/>
      <c r="BI44" s="117"/>
      <c r="BJ44" s="118"/>
      <c r="BK44" s="118"/>
      <c r="BL44" s="118"/>
      <c r="BM44" s="118"/>
      <c r="BN44" s="118"/>
    </row>
    <row r="45" spans="1:68" ht="13.5" customHeight="1" thickBot="1" x14ac:dyDescent="0.25">
      <c r="A45" s="92" t="s">
        <v>15</v>
      </c>
      <c r="B45" s="93" t="s">
        <v>4</v>
      </c>
      <c r="C45" s="94" t="e">
        <f>+'Biyemas S.A.'!C45+'Kandiko S.A'!C45+'Rebisco S.A.'!C45</f>
        <v>#N/A</v>
      </c>
      <c r="D45" s="98">
        <f>+'Biyemas S.A.'!D45+'Kandiko S.A'!D45+'Rebisco S.A.'!D45</f>
        <v>0</v>
      </c>
      <c r="E45" s="94" t="e">
        <f>+'Biyemas S.A.'!E45+'Kandiko S.A'!E45+'Rebisco S.A.'!E45</f>
        <v>#N/A</v>
      </c>
      <c r="F45" s="94" t="e">
        <f>+'Biyemas S.A.'!F45+'Kandiko S.A'!F45+'Rebisco S.A.'!F45</f>
        <v>#N/A</v>
      </c>
      <c r="G45" s="94" t="e">
        <f>+'Biyemas S.A.'!G45+'Kandiko S.A'!G45+'Rebisco S.A.'!G45</f>
        <v>#N/A</v>
      </c>
      <c r="H45" s="94">
        <f>+'Biyemas S.A.'!H45+'Kandiko S.A'!H45+'Rebisco S.A.'!H45</f>
        <v>0</v>
      </c>
      <c r="I45" s="94">
        <f>+'Biyemas S.A.'!I45+'Kandiko S.A'!I45+'Rebisco S.A.'!I45</f>
        <v>0</v>
      </c>
      <c r="J45" s="94">
        <f>+'Biyemas S.A.'!J45+'Kandiko S.A'!J45+'Rebisco S.A.'!J45</f>
        <v>0</v>
      </c>
      <c r="K45" s="141"/>
      <c r="L45" s="94">
        <f>+'Biyemas S.A.'!L45+'Kandiko S.A'!L45+'Rebisco S.A.'!L45</f>
        <v>0</v>
      </c>
      <c r="M45" s="94" t="e">
        <f>+'Biyemas S.A.'!M45+'Kandiko S.A'!M45+'Rebisco S.A.'!M45</f>
        <v>#N/A</v>
      </c>
      <c r="N45" s="94" t="e">
        <f>+'Biyemas S.A.'!N45+'Kandiko S.A'!N45+'Rebisco S.A.'!N45</f>
        <v>#N/A</v>
      </c>
      <c r="O45" s="94" t="e">
        <f>+'Biyemas S.A.'!O45+'Kandiko S.A'!O45+'Rebisco S.A.'!O45</f>
        <v>#N/A</v>
      </c>
      <c r="P45" s="94">
        <f>+'Biyemas S.A.'!P45+'Kandiko S.A'!P45+'Rebisco S.A.'!P45</f>
        <v>0</v>
      </c>
      <c r="Q45" s="94">
        <f>+'Biyemas S.A.'!Q45+'Kandiko S.A'!Q45+'Rebisco S.A.'!Q45</f>
        <v>0</v>
      </c>
      <c r="R45" s="94">
        <f>+'Biyemas S.A.'!R45+'Kandiko S.A'!R45+'Rebisco S.A.'!R45</f>
        <v>0</v>
      </c>
      <c r="S45" s="94">
        <f>+'Biyemas S.A.'!S45+'Kandiko S.A'!S45+'Rebisco S.A.'!S45</f>
        <v>0</v>
      </c>
      <c r="T45" s="138">
        <f>+'Biyemas S.A.'!T45+'Kandiko S.A'!T45+'Rebisco S.A.'!T45</f>
        <v>0</v>
      </c>
      <c r="U45" s="138">
        <f>+'Biyemas S.A.'!U45+'Kandiko S.A'!U45+'Rebisco S.A.'!U45</f>
        <v>0</v>
      </c>
      <c r="V45" s="98">
        <f>+'Biyemas S.A.'!V45+'Kandiko S.A'!V45+'Rebisco S.A.'!V45</f>
        <v>0</v>
      </c>
      <c r="W45" s="94" t="e">
        <f>+'Biyemas S.A.'!W45+'Kandiko S.A'!W45+'Rebisco S.A.'!W45</f>
        <v>#N/A</v>
      </c>
      <c r="X45" s="94" t="e">
        <f>+'Biyemas S.A.'!X45+'Kandiko S.A'!X45+'Rebisco S.A.'!X45</f>
        <v>#N/A</v>
      </c>
      <c r="Y45" s="94" t="e">
        <f>+'Biyemas S.A.'!Y45+'Kandiko S.A'!Y45+'Rebisco S.A.'!Y45</f>
        <v>#N/A</v>
      </c>
      <c r="Z45" s="94">
        <f>+'Biyemas S.A.'!Z45+'Kandiko S.A'!Z45+'Rebisco S.A.'!Z45</f>
        <v>0</v>
      </c>
      <c r="AA45" s="94">
        <f>+'Biyemas S.A.'!AA45+'Kandiko S.A'!AA45+'Rebisco S.A.'!AA45</f>
        <v>0</v>
      </c>
      <c r="AB45" s="94">
        <f>+'Biyemas S.A.'!AB45+'Kandiko S.A'!AB45+'Rebisco S.A.'!AB45</f>
        <v>0</v>
      </c>
      <c r="AC45" s="141">
        <f>+'Biyemas S.A.'!AC45+'Kandiko S.A'!AC45+'Rebisco S.A.'!AC45</f>
        <v>0</v>
      </c>
      <c r="AD45" s="98" t="e">
        <f>+'Biyemas S.A.'!AD45+'Kandiko S.A'!AD45+'Rebisco S.A.'!AD45</f>
        <v>#N/A</v>
      </c>
      <c r="AE45" s="94" t="e">
        <f>+'Biyemas S.A.'!AE45+'Kandiko S.A'!AE45+'Rebisco S.A.'!AE45</f>
        <v>#N/A</v>
      </c>
      <c r="AF45" s="94" t="e">
        <f>+'Biyemas S.A.'!AF45+'Kandiko S.A'!AF45+'Rebisco S.A.'!AF45</f>
        <v>#N/A</v>
      </c>
      <c r="AG45" s="98" t="e">
        <f>+'Biyemas S.A.'!AG45+'Kandiko S.A'!AG45+'Rebisco S.A.'!AG45</f>
        <v>#N/A</v>
      </c>
      <c r="AH45" s="94" t="e">
        <f>+'Biyemas S.A.'!AH45+'Kandiko S.A'!AH45+'Rebisco S.A.'!AH45</f>
        <v>#N/A</v>
      </c>
      <c r="AI45" s="94" t="e">
        <f>+'Biyemas S.A.'!AI45+'Kandiko S.A'!AI45+'Rebisco S.A.'!AI45</f>
        <v>#N/A</v>
      </c>
      <c r="AJ45" s="94">
        <f>+'Biyemas S.A.'!AJ45+'Kandiko S.A'!AJ45+'Rebisco S.A.'!AJ45</f>
        <v>0</v>
      </c>
      <c r="AK45" s="98" t="e">
        <f>+'Biyemas S.A.'!AK45+'Kandiko S.A'!AK45+'Rebisco S.A.'!AK45</f>
        <v>#N/A</v>
      </c>
      <c r="AL45" s="98" t="e">
        <f>+'Biyemas S.A.'!AL45+'Kandiko S.A'!AL45+'Rebisco S.A.'!AL45</f>
        <v>#N/A</v>
      </c>
      <c r="AM45" s="141">
        <f>+'Biyemas S.A.'!AM45+'Kandiko S.A'!AM45+'Rebisco S.A.'!AM45</f>
        <v>0</v>
      </c>
      <c r="AN45" s="51" t="e">
        <f>+'Biyemas S.A.'!AN45+'Kandiko S.A'!AN39+'Rebisco S.A.'!AN45</f>
        <v>#N/A</v>
      </c>
      <c r="AO45" s="133" t="e">
        <f>+'Biyemas S.A.'!AO45+'Kandiko S.A'!AO45+'Rebisco S.A.'!AO45</f>
        <v>#N/A</v>
      </c>
      <c r="AP45" s="52"/>
      <c r="AQ45" s="206" t="e">
        <f>+'Biyemas S.A.'!AQ45+'Kandiko S.A'!AQ39+'Rebisco S.A.'!AQ45</f>
        <v>#N/A</v>
      </c>
      <c r="AR45" s="206" t="e">
        <f>+'Biyemas S.A.'!AR45+'Kandiko S.A'!AR39+'Rebisco S.A.'!AR45</f>
        <v>#N/A</v>
      </c>
      <c r="AS45" s="206" t="e">
        <f>+'Biyemas S.A.'!AS45+'Kandiko S.A'!AS39+'Rebisco S.A.'!AS45</f>
        <v>#N/A</v>
      </c>
      <c r="AT45" s="206" t="e">
        <f>+'Biyemas S.A.'!AT45+'Kandiko S.A'!AT39+'Rebisco S.A.'!AT45</f>
        <v>#N/A</v>
      </c>
      <c r="AU45" s="206" t="e">
        <f>+'Biyemas S.A.'!AU45+'Kandiko S.A'!AU39+'Rebisco S.A.'!AU45</f>
        <v>#N/A</v>
      </c>
      <c r="AV45" s="98" t="e">
        <f>+'Biyemas S.A.'!AV45+'Kandiko S.A'!AV45+'Rebisco S.A.'!AV45</f>
        <v>#N/A</v>
      </c>
      <c r="AW45" s="103"/>
      <c r="BA45" s="175" t="e">
        <f>+'Biyemas S.A.'!BA45+'Kandiko S.A'!BA45+'Rebisco S.A.'!BA45</f>
        <v>#N/A</v>
      </c>
      <c r="BB45" s="197" t="e">
        <f>IF($AK45&gt;0,(C45-($BA45))/($BA$45),)</f>
        <v>#N/A</v>
      </c>
      <c r="BC45" s="175" t="e">
        <f>+'Biyemas S.A.'!BC45+'Kandiko S.A'!BC45+'Rebisco S.A.'!BC45</f>
        <v>#N/A</v>
      </c>
      <c r="BD45" s="171" t="e">
        <f>IF($BC45&gt;0,(AN45-($BC45))/($BC$45),IF(AN45&gt;0,1))</f>
        <v>#N/A</v>
      </c>
      <c r="BE45" s="222" t="e">
        <f>IF(A45="","",+AV45/SUM(('Biyemas S.A.'!AV45/(1+'Biyemas S.A.'!BE45)),('Kandiko S.A'!AV45/(1+'Kandiko S.A'!BE45)),('Rebisco S.A.'!AV45/(1+'Rebisco S.A.'!BE45)))-1)</f>
        <v>#N/A</v>
      </c>
      <c r="BF45" s="173" t="e">
        <f>IF(A45="","",+AD45/(SUM(('Biyemas S.A.'!AD45/(1+'Biyemas S.A.'!BF45)),('Kandiko S.A'!AD45/(1+'Kandiko S.A'!BF45)),('Rebisco S.A.'!AD45/(1+'Rebisco S.A.'!BF45))))-1)</f>
        <v>#N/A</v>
      </c>
      <c r="BG45" s="173" t="e">
        <f>IF(A45="","",+AI45/SUM(('Biyemas S.A.'!AI45/(1+'Biyemas S.A.'!BG45)),(+'Kandiko S.A'!AI45/(1+'Kandiko S.A'!BG45)),('Rebisco S.A.'!AI45/(1+'Rebisco S.A.'!BG45)))-1)</f>
        <v>#N/A</v>
      </c>
      <c r="BH45" s="173" t="e">
        <f>IF(A45="","",+AL45/SUM(('Biyemas S.A.'!AL45/(1+'Biyemas S.A.'!BH45)),('Kandiko S.A'!AL45/(1+'Kandiko S.A'!BH45)),('Rebisco S.A.'!AL45/(1+'Rebisco S.A.'!BH45)))-1)</f>
        <v>#N/A</v>
      </c>
      <c r="BI45" s="174" t="e">
        <f>+'Biyemas S.A.'!BI45</f>
        <v>#N/A</v>
      </c>
      <c r="BJ45" s="169" t="e">
        <f>BJ46/SUM(BJ46-BJ47)-1</f>
        <v>#N/A</v>
      </c>
      <c r="BK45" s="170" t="e">
        <f>BK46/SUM(BK46-BK47)-1</f>
        <v>#N/A</v>
      </c>
      <c r="BL45" s="170" t="e">
        <f>BL46/SUM(BL46-BL47)-1</f>
        <v>#N/A</v>
      </c>
      <c r="BM45" s="197" t="e">
        <f>BM46/SUM(BM46-BM47)-1</f>
        <v>#N/A</v>
      </c>
      <c r="BN45" s="171" t="e">
        <f>+'Biyemas S.A.'!BN45</f>
        <v>#N/A</v>
      </c>
      <c r="BP45" s="39" t="s">
        <v>106</v>
      </c>
    </row>
    <row r="46" spans="1:68" ht="12" thickBot="1" x14ac:dyDescent="0.25">
      <c r="A46" s="88" t="s">
        <v>26</v>
      </c>
      <c r="B46" s="83"/>
      <c r="C46" s="91" t="e">
        <f>+C45/$D$1</f>
        <v>#N/A</v>
      </c>
      <c r="D46" s="84" t="e">
        <f>+'Biyemas S.A.'!D46+'Kandiko S.A'!D46+'Rebisco S.A.'!D46</f>
        <v>#N/A</v>
      </c>
      <c r="E46" s="84" t="e">
        <f>+'Biyemas S.A.'!E46+'Kandiko S.A'!E46+'Rebisco S.A.'!E46</f>
        <v>#N/A</v>
      </c>
      <c r="F46" s="84" t="e">
        <f>+'Biyemas S.A.'!F46+'Kandiko S.A'!F46+'Rebisco S.A.'!F46</f>
        <v>#N/A</v>
      </c>
      <c r="G46" s="84" t="e">
        <f>+'Biyemas S.A.'!G46+'Kandiko S.A'!G46+'Rebisco S.A.'!G46</f>
        <v>#N/A</v>
      </c>
      <c r="H46" s="85" t="e">
        <f>+G46/E46</f>
        <v>#N/A</v>
      </c>
      <c r="I46" s="78" t="e">
        <f>+G46/F46</f>
        <v>#N/A</v>
      </c>
      <c r="J46" s="86" t="e">
        <f>+G46/C46</f>
        <v>#N/A</v>
      </c>
      <c r="K46" s="84" t="e">
        <f>+G46/D46</f>
        <v>#N/A</v>
      </c>
      <c r="L46" s="89" t="e">
        <f>+'Biyemas S.A.'!L46+'Kandiko S.A'!L46+'Rebisco S.A.'!L46</f>
        <v>#N/A</v>
      </c>
      <c r="M46" s="84" t="e">
        <f>+'Biyemas S.A.'!M46+'Kandiko S.A'!M46+'Rebisco S.A.'!M46</f>
        <v>#N/A</v>
      </c>
      <c r="N46" s="84" t="e">
        <f>+'Biyemas S.A.'!N46+'Kandiko S.A'!N46+'Rebisco S.A.'!N46</f>
        <v>#N/A</v>
      </c>
      <c r="O46" s="84" t="e">
        <f>+'Biyemas S.A.'!O46+'Kandiko S.A'!O46+'Rebisco S.A.'!O46</f>
        <v>#N/A</v>
      </c>
      <c r="P46" s="85" t="e">
        <f>+O46/M46</f>
        <v>#N/A</v>
      </c>
      <c r="Q46" s="85" t="e">
        <f>+O46/N46</f>
        <v>#N/A</v>
      </c>
      <c r="R46" s="87" t="e">
        <f>+O46/C46</f>
        <v>#N/A</v>
      </c>
      <c r="S46" s="84" t="e">
        <f>IF(A46="","",IF(C46&gt;0,+O46/L46,0))</f>
        <v>#N/A</v>
      </c>
      <c r="T46" s="90" t="e">
        <f t="shared" ref="T46" si="47">IF(A46="","",IF(G46&gt;0,(G46+O46)/(D46+L46),0))</f>
        <v>#N/A</v>
      </c>
      <c r="U46" s="90" t="e">
        <f>+'Biyemas S.A.'!U46+'Kandiko S.A'!U46+'Rebisco S.A.'!U46</f>
        <v>#N/A</v>
      </c>
      <c r="V46" s="84" t="e">
        <f>+'Biyemas S.A.'!V46+'Kandiko S.A'!V46+'Rebisco S.A.'!V46</f>
        <v>#N/A</v>
      </c>
      <c r="W46" s="84" t="e">
        <f>+'Biyemas S.A.'!W46+'Kandiko S.A'!W46+'Rebisco S.A.'!W46</f>
        <v>#N/A</v>
      </c>
      <c r="X46" s="84" t="e">
        <f>+'Biyemas S.A.'!X46+'Kandiko S.A'!X46+'Rebisco S.A.'!X46</f>
        <v>#N/A</v>
      </c>
      <c r="Y46" s="84" t="e">
        <f>+'Biyemas S.A.'!Y46+'Kandiko S.A'!Y46+'Rebisco S.A.'!Y46</f>
        <v>#N/A</v>
      </c>
      <c r="Z46" s="85" t="e">
        <f>+Y46/W46</f>
        <v>#N/A</v>
      </c>
      <c r="AA46" s="85" t="e">
        <f>+Y46/X46</f>
        <v>#N/A</v>
      </c>
      <c r="AB46" s="87" t="e">
        <f>+Y46/M46</f>
        <v>#N/A</v>
      </c>
      <c r="AC46" s="80" t="e">
        <f>+Y46/V46</f>
        <v>#N/A</v>
      </c>
      <c r="AD46" s="140" t="e">
        <f>+'Biyemas S.A.'!AD46+'Kandiko S.A'!AD46+'Rebisco S.A.'!AD46</f>
        <v>#N/A</v>
      </c>
      <c r="AE46" s="84" t="e">
        <f>+'Biyemas S.A.'!AE46+'Kandiko S.A'!AE46+'Rebisco S.A.'!AE46</f>
        <v>#N/A</v>
      </c>
      <c r="AF46" s="84" t="e">
        <f>+AF45/$D$1</f>
        <v>#N/A</v>
      </c>
      <c r="AG46" s="140" t="e">
        <f>+'Biyemas S.A.'!AG46+'Kandiko S.A'!AG46+'Rebisco S.A.'!AG46</f>
        <v>#N/A</v>
      </c>
      <c r="AH46" s="84" t="e">
        <f>+'Biyemas S.A.'!AH46+'Kandiko S.A'!AH46+'Rebisco S.A.'!AH46</f>
        <v>#N/A</v>
      </c>
      <c r="AI46" s="84" t="e">
        <f>+'Biyemas S.A.'!AI46+'Kandiko S.A'!AI46+'Rebisco S.A.'!AI46</f>
        <v>#N/A</v>
      </c>
      <c r="AJ46" s="193" t="e">
        <f>+AI46/C46</f>
        <v>#N/A</v>
      </c>
      <c r="AK46" s="137" t="e">
        <f>+'Biyemas S.A.'!AK46+'Kandiko S.A'!AK46+'Rebisco S.A.'!AK46</f>
        <v>#N/A</v>
      </c>
      <c r="AL46" s="140" t="e">
        <f>+'Biyemas S.A.'!AL46+'Kandiko S.A'!AL46+'Rebisco S.A.'!AL46</f>
        <v>#N/A</v>
      </c>
      <c r="AM46" s="194" t="e">
        <f>+AL46/C46</f>
        <v>#N/A</v>
      </c>
      <c r="AN46" s="74" t="e">
        <f>+AN45/D1</f>
        <v>#N/A</v>
      </c>
      <c r="AO46" s="74" t="e">
        <f>+'Kandiko S.A'!AO46+'Rebisco S.A.'!AO46+'Biyemas S.A.'!AO46</f>
        <v>#N/A</v>
      </c>
      <c r="AP46" s="82" t="e">
        <f>+AO46/AN46</f>
        <v>#N/A</v>
      </c>
      <c r="AQ46" s="74" t="e">
        <f>+'Kandiko S.A'!AQ46+'Rebisco S.A.'!AQ46+'Biyemas S.A.'!AQ46</f>
        <v>#N/A</v>
      </c>
      <c r="AR46" s="74" t="e">
        <f>+'Kandiko S.A'!AR46+'Rebisco S.A.'!AR46+'Biyemas S.A.'!AR46</f>
        <v>#N/A</v>
      </c>
      <c r="AS46" s="74" t="e">
        <f>+'Kandiko S.A'!AS46+'Rebisco S.A.'!AS46+'Biyemas S.A.'!AS46</f>
        <v>#N/A</v>
      </c>
      <c r="AT46" s="74" t="e">
        <f>+'Kandiko S.A'!AT46+'Rebisco S.A.'!AT46+'Biyemas S.A.'!AT46</f>
        <v>#N/A</v>
      </c>
      <c r="AU46" s="74" t="e">
        <f>+'Kandiko S.A'!AU46+'Rebisco S.A.'!AU46+'Biyemas S.A.'!AU46</f>
        <v>#N/A</v>
      </c>
      <c r="AV46" s="140" t="e">
        <f>+'Biyemas S.A.'!AV46+'Kandiko S.A'!AV46+'Rebisco S.A.'!AV46</f>
        <v>#N/A</v>
      </c>
      <c r="AW46" s="82" t="e">
        <f>+AV46/C46</f>
        <v>#N/A</v>
      </c>
      <c r="BB46" s="61" t="s">
        <v>48</v>
      </c>
      <c r="BC46" s="61"/>
      <c r="BD46" s="61"/>
      <c r="BE46" s="62" t="e">
        <f>+'Biyemas S.A.'!BE46+'Kandiko S.A'!BE46+'Rebisco S.A.'!BE46</f>
        <v>#N/A</v>
      </c>
      <c r="BF46" s="62" t="e">
        <f>+'Biyemas S.A.'!BF46+'Kandiko S.A'!BF46+'Rebisco S.A.'!BF46</f>
        <v>#N/A</v>
      </c>
      <c r="BG46" s="62" t="e">
        <f>+'Biyemas S.A.'!BG46+'Kandiko S.A'!BG46+'Rebisco S.A.'!BG46</f>
        <v>#N/A</v>
      </c>
      <c r="BH46" s="62" t="e">
        <f>+'Biyemas S.A.'!BH46+'Kandiko S.A'!BH46+'Rebisco S.A.'!BH46</f>
        <v>#N/A</v>
      </c>
      <c r="BI46" s="62" t="e">
        <f>+'Biyemas S.A.'!BI46+'Kandiko S.A'!BI46+'Rebisco S.A.'!BI46</f>
        <v>#N/A</v>
      </c>
      <c r="BJ46" s="62" t="e">
        <f>+'Biyemas S.A.'!BJ46+'Kandiko S.A'!BJ46+'Rebisco S.A.'!BJ46</f>
        <v>#N/A</v>
      </c>
      <c r="BK46" s="62" t="e">
        <f>+'Biyemas S.A.'!BK46+'Kandiko S.A'!BK46+'Rebisco S.A.'!BK46</f>
        <v>#N/A</v>
      </c>
      <c r="BL46" s="62" t="e">
        <f>+'Biyemas S.A.'!BL46+'Kandiko S.A'!BL46+'Rebisco S.A.'!BL46</f>
        <v>#N/A</v>
      </c>
      <c r="BM46" s="62" t="e">
        <f>+'Biyemas S.A.'!BM46+'Kandiko S.A'!BM46+'Rebisco S.A.'!BM46</f>
        <v>#N/A</v>
      </c>
      <c r="BN46" s="62" t="e">
        <f>+'Biyemas S.A.'!BN46+'Kandiko S.A'!BN46+'Rebisco S.A.'!BN46</f>
        <v>#N/A</v>
      </c>
      <c r="BP46" s="39" t="s">
        <v>107</v>
      </c>
    </row>
    <row r="47" spans="1:68" ht="12" thickBot="1" x14ac:dyDescent="0.25">
      <c r="C47" s="32"/>
      <c r="D47" s="32"/>
      <c r="E47" s="32"/>
      <c r="F47" s="32"/>
      <c r="G47" s="32"/>
      <c r="H47" s="56"/>
      <c r="I47" s="33"/>
      <c r="J47" s="34"/>
      <c r="K47" s="57"/>
      <c r="L47" s="32"/>
      <c r="M47" s="32"/>
      <c r="N47" s="32"/>
      <c r="O47" s="32"/>
      <c r="P47" s="56"/>
      <c r="Q47" s="56"/>
      <c r="R47" s="34"/>
      <c r="S47" s="32"/>
      <c r="T47" s="32"/>
      <c r="U47" s="32"/>
      <c r="V47" s="32"/>
      <c r="W47" s="32"/>
      <c r="X47" s="32"/>
      <c r="Y47" s="32"/>
      <c r="Z47" s="57"/>
      <c r="AA47" s="57"/>
      <c r="AB47" s="57"/>
      <c r="AC47" s="57"/>
      <c r="AD47" s="57"/>
      <c r="AE47" s="57"/>
      <c r="AF47" s="57"/>
      <c r="AG47" s="32"/>
      <c r="AH47" s="32"/>
      <c r="AI47" s="32"/>
      <c r="AJ47" s="34"/>
      <c r="AK47" s="32"/>
      <c r="AL47" s="32"/>
      <c r="AM47" s="58"/>
      <c r="AN47" s="58"/>
      <c r="AO47" s="32"/>
      <c r="AP47" s="58"/>
      <c r="AQ47" s="58"/>
      <c r="AR47" s="58"/>
      <c r="AS47" s="58"/>
      <c r="AT47" s="58"/>
      <c r="AU47" s="58"/>
      <c r="AV47" s="59"/>
      <c r="AW47" s="34"/>
      <c r="AX47" s="34"/>
      <c r="AY47" s="34"/>
      <c r="BB47" s="60" t="s">
        <v>49</v>
      </c>
      <c r="BC47" s="60"/>
      <c r="BD47" s="60"/>
      <c r="BE47" s="64" t="e">
        <f>+'Biyemas S.A.'!BE47+'Kandiko S.A'!BE47+'Rebisco S.A.'!BE47</f>
        <v>#N/A</v>
      </c>
      <c r="BF47" s="64" t="e">
        <f>+'Biyemas S.A.'!BF47+'Kandiko S.A'!BF47+'Rebisco S.A.'!BF47</f>
        <v>#N/A</v>
      </c>
      <c r="BG47" s="64" t="e">
        <f>+'Biyemas S.A.'!BG47+'Kandiko S.A'!BG47+'Rebisco S.A.'!BG47</f>
        <v>#N/A</v>
      </c>
      <c r="BH47" s="64" t="e">
        <f>+'Biyemas S.A.'!BH47+'Kandiko S.A'!BH47+'Rebisco S.A.'!BH47</f>
        <v>#N/A</v>
      </c>
      <c r="BI47" s="64" t="e">
        <f>+'Biyemas S.A.'!BI47+'Kandiko S.A'!BI47+'Rebisco S.A.'!BI47</f>
        <v>#N/A</v>
      </c>
      <c r="BJ47" s="64" t="e">
        <f>+'Biyemas S.A.'!BJ47+'Kandiko S.A'!BJ47+'Rebisco S.A.'!BJ47</f>
        <v>#N/A</v>
      </c>
      <c r="BK47" s="64" t="e">
        <f>+'Biyemas S.A.'!BK47+'Kandiko S.A'!BK47+'Rebisco S.A.'!BK47</f>
        <v>#N/A</v>
      </c>
      <c r="BL47" s="64" t="e">
        <f>+'Biyemas S.A.'!BL47+'Kandiko S.A'!BL47+'Rebisco S.A.'!BL47</f>
        <v>#N/A</v>
      </c>
      <c r="BM47" s="64" t="e">
        <f>+'Biyemas S.A.'!BM47+'Kandiko S.A'!BM47+'Rebisco S.A.'!BM47</f>
        <v>#N/A</v>
      </c>
      <c r="BN47" s="64" t="e">
        <f>+'Biyemas S.A.'!BN47+'Kandiko S.A'!BN47+'Rebisco S.A.'!BN47</f>
        <v>#N/A</v>
      </c>
      <c r="BP47" s="39" t="s">
        <v>116</v>
      </c>
    </row>
    <row r="48" spans="1:68" ht="12.75" thickTop="1" thickBot="1" x14ac:dyDescent="0.25">
      <c r="A48" s="66" t="s">
        <v>82</v>
      </c>
      <c r="B48" s="67"/>
      <c r="C48" s="68" t="e">
        <f>(+C40-C46)/C46</f>
        <v>#N/A</v>
      </c>
      <c r="D48" s="66"/>
      <c r="E48" s="68" t="e">
        <f>(+E40-E46)/E46</f>
        <v>#DIV/0!</v>
      </c>
      <c r="F48" s="68" t="e">
        <f>(+F40-F46)/F46</f>
        <v>#DIV/0!</v>
      </c>
      <c r="G48" s="68" t="e">
        <f>(+G40-G46)/G46</f>
        <v>#DIV/0!</v>
      </c>
      <c r="H48" s="67"/>
      <c r="I48" s="67"/>
      <c r="J48" s="67"/>
      <c r="K48" s="69" t="e">
        <f>(+K40-K46)/K46</f>
        <v>#DIV/0!</v>
      </c>
      <c r="L48" s="67"/>
      <c r="M48" s="68" t="e">
        <f>(+M40-M46)/M46</f>
        <v>#DIV/0!</v>
      </c>
      <c r="N48" s="68" t="e">
        <f>(+N40-N46)/N46</f>
        <v>#DIV/0!</v>
      </c>
      <c r="O48" s="68" t="e">
        <f>(+O40-O46)/O46</f>
        <v>#DIV/0!</v>
      </c>
      <c r="P48" s="67"/>
      <c r="Q48" s="67"/>
      <c r="R48" s="67"/>
      <c r="S48" s="68" t="e">
        <f>(+S40-S46)/S46</f>
        <v>#DIV/0!</v>
      </c>
      <c r="T48" s="139" t="e">
        <f>(+T40-T46)/T46</f>
        <v>#DIV/0!</v>
      </c>
      <c r="U48" s="70" t="e">
        <f>(+U40-U46)/U46</f>
        <v>#DIV/0!</v>
      </c>
      <c r="V48" s="66"/>
      <c r="W48" s="68" t="e">
        <f>(+W40-W46)/W46</f>
        <v>#DIV/0!</v>
      </c>
      <c r="X48" s="68" t="e">
        <f>(+X40-X46)/X46</f>
        <v>#DIV/0!</v>
      </c>
      <c r="Y48" s="68" t="e">
        <f>(+Y40-Y46)/Y46</f>
        <v>#DIV/0!</v>
      </c>
      <c r="Z48" s="68"/>
      <c r="AA48" s="68"/>
      <c r="AB48" s="68"/>
      <c r="AC48" s="68"/>
      <c r="AD48" s="139" t="e">
        <f t="shared" ref="AD48:AI48" si="48">(+AD40-AD46)/AD46</f>
        <v>#DIV/0!</v>
      </c>
      <c r="AE48" s="68" t="e">
        <f t="shared" si="48"/>
        <v>#DIV/0!</v>
      </c>
      <c r="AF48" s="69" t="e">
        <f t="shared" si="48"/>
        <v>#DIV/0!</v>
      </c>
      <c r="AG48" s="68" t="e">
        <f t="shared" si="48"/>
        <v>#DIV/0!</v>
      </c>
      <c r="AH48" s="68" t="e">
        <f t="shared" si="48"/>
        <v>#DIV/0!</v>
      </c>
      <c r="AI48" s="68" t="e">
        <f t="shared" si="48"/>
        <v>#DIV/0!</v>
      </c>
      <c r="AJ48" s="67"/>
      <c r="AK48" s="70" t="e">
        <f>(+AK40-AK46)/AK46</f>
        <v>#DIV/0!</v>
      </c>
      <c r="AL48" s="68" t="e">
        <f>(+AL40-AL46)/AL46</f>
        <v>#DIV/0!</v>
      </c>
      <c r="AM48" s="69"/>
      <c r="AN48" s="68" t="e">
        <f>(+AN40-AN46)/AN46</f>
        <v>#DIV/0!</v>
      </c>
      <c r="AO48" s="68" t="e">
        <f>(+AO40-AO46)/AO46</f>
        <v>#DIV/0!</v>
      </c>
      <c r="AP48" s="69"/>
      <c r="AQ48" s="68" t="e">
        <f t="shared" ref="AQ48:AV48" si="49">(+AQ40-AQ46)/AQ46</f>
        <v>#DIV/0!</v>
      </c>
      <c r="AR48" s="68" t="e">
        <f t="shared" si="49"/>
        <v>#DIV/0!</v>
      </c>
      <c r="AS48" s="68" t="e">
        <f t="shared" si="49"/>
        <v>#DIV/0!</v>
      </c>
      <c r="AT48" s="68" t="e">
        <f t="shared" si="49"/>
        <v>#DIV/0!</v>
      </c>
      <c r="AU48" s="68" t="e">
        <f t="shared" si="49"/>
        <v>#N/A</v>
      </c>
      <c r="AV48" s="68" t="e">
        <f t="shared" si="49"/>
        <v>#DIV/0!</v>
      </c>
      <c r="AW48" s="71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8" ht="12" thickBot="1" x14ac:dyDescent="0.25">
      <c r="A49" s="72" t="s">
        <v>83</v>
      </c>
      <c r="B49" s="73"/>
      <c r="C49" s="277"/>
      <c r="D49" s="72"/>
      <c r="E49" s="74" t="e">
        <f>+E40-E46</f>
        <v>#DIV/0!</v>
      </c>
      <c r="F49" s="74" t="e">
        <f>+F40-F46</f>
        <v>#DIV/0!</v>
      </c>
      <c r="G49" s="74" t="e">
        <f>+G40-G46</f>
        <v>#DIV/0!</v>
      </c>
      <c r="H49" s="73"/>
      <c r="I49" s="73"/>
      <c r="J49" s="73"/>
      <c r="K49" s="75" t="e">
        <f>+K40-K46</f>
        <v>#DIV/0!</v>
      </c>
      <c r="L49" s="73"/>
      <c r="M49" s="74" t="e">
        <f>+M40-M46</f>
        <v>#DIV/0!</v>
      </c>
      <c r="N49" s="74" t="e">
        <f>+N40-N46</f>
        <v>#DIV/0!</v>
      </c>
      <c r="O49" s="74" t="e">
        <f>+O40-O46</f>
        <v>#DIV/0!</v>
      </c>
      <c r="P49" s="73"/>
      <c r="Q49" s="73"/>
      <c r="R49" s="73"/>
      <c r="S49" s="74" t="e">
        <f>+S40-S46</f>
        <v>#DIV/0!</v>
      </c>
      <c r="T49" s="140" t="e">
        <f>+T40-T46</f>
        <v>#DIV/0!</v>
      </c>
      <c r="U49" s="76" t="e">
        <f>+U40-U46</f>
        <v>#DIV/0!</v>
      </c>
      <c r="V49" s="72"/>
      <c r="W49" s="74" t="e">
        <f>+W40-W46</f>
        <v>#DIV/0!</v>
      </c>
      <c r="X49" s="74" t="e">
        <f>+X40-X46</f>
        <v>#DIV/0!</v>
      </c>
      <c r="Y49" s="74" t="e">
        <f>+Y40-Y46</f>
        <v>#DIV/0!</v>
      </c>
      <c r="Z49" s="74"/>
      <c r="AA49" s="74"/>
      <c r="AB49" s="74"/>
      <c r="AC49" s="74"/>
      <c r="AD49" s="140" t="e">
        <f t="shared" ref="AD49:AI49" si="50">+AD40-AD46</f>
        <v>#DIV/0!</v>
      </c>
      <c r="AE49" s="74" t="e">
        <f t="shared" si="50"/>
        <v>#DIV/0!</v>
      </c>
      <c r="AF49" s="75" t="e">
        <f t="shared" si="50"/>
        <v>#DIV/0!</v>
      </c>
      <c r="AG49" s="74" t="e">
        <f t="shared" si="50"/>
        <v>#DIV/0!</v>
      </c>
      <c r="AH49" s="74" t="e">
        <f t="shared" si="50"/>
        <v>#DIV/0!</v>
      </c>
      <c r="AI49" s="74" t="e">
        <f t="shared" si="50"/>
        <v>#DIV/0!</v>
      </c>
      <c r="AJ49" s="73"/>
      <c r="AK49" s="76" t="e">
        <f>+AK40-AK46</f>
        <v>#DIV/0!</v>
      </c>
      <c r="AL49" s="74" t="e">
        <f>+AL40-AL46</f>
        <v>#DIV/0!</v>
      </c>
      <c r="AM49" s="77"/>
      <c r="AN49" s="74" t="e">
        <f>+AN40-AN46</f>
        <v>#DIV/0!</v>
      </c>
      <c r="AO49" s="74" t="e">
        <f>+AO40-AO46</f>
        <v>#DIV/0!</v>
      </c>
      <c r="AP49" s="77"/>
      <c r="AQ49" s="74" t="e">
        <f>+AQ40-AQ46</f>
        <v>#DIV/0!</v>
      </c>
      <c r="AR49" s="74" t="e">
        <f t="shared" ref="AR49:AU49" si="51">+AR40-AR46</f>
        <v>#DIV/0!</v>
      </c>
      <c r="AS49" s="74" t="e">
        <f t="shared" si="51"/>
        <v>#DIV/0!</v>
      </c>
      <c r="AT49" s="74" t="e">
        <f t="shared" si="51"/>
        <v>#DIV/0!</v>
      </c>
      <c r="AU49" s="74" t="e">
        <f t="shared" si="51"/>
        <v>#N/A</v>
      </c>
      <c r="AV49" s="74" t="e">
        <f>+AV40-AV46</f>
        <v>#DIV/0!</v>
      </c>
      <c r="AW49" s="77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8" x14ac:dyDescent="0.2"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8" x14ac:dyDescent="0.2"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8" x14ac:dyDescent="0.2">
      <c r="BE52" s="3"/>
      <c r="BF52" s="3"/>
      <c r="BG52" s="3"/>
      <c r="BH52" s="3"/>
      <c r="BI52" s="3"/>
      <c r="BJ52" s="229"/>
      <c r="BK52" s="3"/>
      <c r="BL52" s="3"/>
      <c r="BM52" s="3"/>
      <c r="BN52" s="3"/>
    </row>
    <row r="53" spans="1:68" ht="12" thickBot="1" x14ac:dyDescent="0.25">
      <c r="A53" s="2" t="str">
        <f>+'Biyemas S.A.'!A53</f>
        <v>Reporte Flash Agosto 25</v>
      </c>
      <c r="B53" s="55"/>
      <c r="C53" s="32"/>
      <c r="D53" s="32"/>
      <c r="E53" s="115"/>
      <c r="F53" s="32"/>
      <c r="G53" s="32"/>
      <c r="H53" s="56"/>
      <c r="I53" s="33"/>
      <c r="J53" s="34"/>
      <c r="K53" s="57"/>
      <c r="L53" s="32"/>
      <c r="M53" s="116"/>
      <c r="N53" s="116"/>
      <c r="O53" s="116"/>
      <c r="P53" s="56"/>
      <c r="Q53" s="56"/>
      <c r="R53" s="34"/>
      <c r="S53" s="32"/>
      <c r="T53" s="32"/>
      <c r="U53" s="32"/>
      <c r="V53" s="32"/>
      <c r="W53" s="115"/>
      <c r="X53" s="32"/>
      <c r="Y53" s="32"/>
      <c r="Z53" s="57"/>
      <c r="AA53" s="57"/>
      <c r="AB53" s="57"/>
      <c r="AC53" s="57"/>
      <c r="AD53" s="57"/>
      <c r="AE53" s="57"/>
      <c r="AF53" s="57"/>
      <c r="AG53" s="32"/>
      <c r="AH53" s="32"/>
      <c r="AI53" s="32"/>
      <c r="AJ53" s="34"/>
      <c r="AK53" s="32"/>
      <c r="AL53" s="32"/>
      <c r="AM53" s="58"/>
      <c r="AN53" s="58"/>
      <c r="AO53" s="32"/>
      <c r="AP53" s="58"/>
      <c r="AQ53" s="58"/>
      <c r="AR53" s="58"/>
      <c r="AS53" s="58"/>
      <c r="AT53" s="58"/>
      <c r="AU53" s="58"/>
      <c r="AV53" s="59"/>
      <c r="AW53" s="34"/>
      <c r="AX53" s="34"/>
      <c r="AY53" s="34"/>
      <c r="BB53" s="60"/>
      <c r="BC53" s="60"/>
      <c r="BD53" s="60"/>
      <c r="BE53" s="60"/>
      <c r="BF53" s="60"/>
      <c r="BG53" s="60"/>
      <c r="BH53" s="60"/>
      <c r="BI53" s="60"/>
      <c r="BJ53" s="114"/>
      <c r="BK53" s="114"/>
      <c r="BL53" s="114"/>
      <c r="BM53" s="114"/>
      <c r="BN53" s="114"/>
    </row>
    <row r="54" spans="1:68" ht="13.5" customHeight="1" thickBot="1" x14ac:dyDescent="0.25">
      <c r="A54" s="92">
        <v>0</v>
      </c>
      <c r="B54" s="93" t="s">
        <v>4</v>
      </c>
      <c r="C54" s="94" t="e">
        <f>+'Biyemas S.A.'!C54+'Kandiko S.A'!C54+'Rebisco S.A.'!C54</f>
        <v>#N/A</v>
      </c>
      <c r="D54" s="98"/>
      <c r="E54" s="94" t="e">
        <f>+'Biyemas S.A.'!E54+'Kandiko S.A'!E54+'Rebisco S.A.'!E54</f>
        <v>#N/A</v>
      </c>
      <c r="F54" s="94" t="e">
        <f>+'Biyemas S.A.'!F54+'Kandiko S.A'!F54+'Rebisco S.A.'!F54</f>
        <v>#N/A</v>
      </c>
      <c r="G54" s="94" t="e">
        <f>+'Biyemas S.A.'!G54+'Kandiko S.A'!G54+'Rebisco S.A.'!G54</f>
        <v>#N/A</v>
      </c>
      <c r="H54" s="94">
        <f>+'Biyemas S.A.'!H54+'Kandiko S.A'!H54+'Rebisco S.A.'!H54</f>
        <v>0</v>
      </c>
      <c r="I54" s="94">
        <f>+'Biyemas S.A.'!I54+'Kandiko S.A'!I54+'Rebisco S.A.'!I54</f>
        <v>0</v>
      </c>
      <c r="J54" s="94">
        <f>+'Biyemas S.A.'!J54+'Kandiko S.A'!J54+'Rebisco S.A.'!J54</f>
        <v>0</v>
      </c>
      <c r="K54" s="141"/>
      <c r="L54" s="94">
        <f>+'Biyemas S.A.'!L54+'Kandiko S.A'!L54+'Rebisco S.A.'!L54</f>
        <v>0</v>
      </c>
      <c r="M54" s="94" t="e">
        <f>+'Biyemas S.A.'!M54+'Kandiko S.A'!M54+'Rebisco S.A.'!M54</f>
        <v>#N/A</v>
      </c>
      <c r="N54" s="94" t="e">
        <f>+'Biyemas S.A.'!N54+'Kandiko S.A'!N54+'Rebisco S.A.'!N54</f>
        <v>#N/A</v>
      </c>
      <c r="O54" s="94" t="e">
        <f>+'Biyemas S.A.'!O54+'Kandiko S.A'!O54+'Rebisco S.A.'!O54</f>
        <v>#N/A</v>
      </c>
      <c r="P54" s="94">
        <f>+'Biyemas S.A.'!P54+'Kandiko S.A'!P54+'Rebisco S.A.'!P54</f>
        <v>0</v>
      </c>
      <c r="Q54" s="95"/>
      <c r="R54" s="99"/>
      <c r="S54" s="100"/>
      <c r="T54" s="101"/>
      <c r="U54" s="101"/>
      <c r="V54" s="98"/>
      <c r="W54" s="94" t="e">
        <f>VLOOKUP(+BP54,'Datos Biyemas'!A9:BB145,23,0)</f>
        <v>#N/A</v>
      </c>
      <c r="X54" s="94" t="e">
        <f>VLOOKUP(+BP54,'Datos Biyemas'!A9:BB145,24,0)</f>
        <v>#N/A</v>
      </c>
      <c r="Y54" s="94" t="e">
        <f>VLOOKUP(+BP54,'Datos Biyemas'!A9:BB145,25,0)</f>
        <v>#N/A</v>
      </c>
      <c r="Z54" s="94"/>
      <c r="AA54" s="94"/>
      <c r="AB54" s="94"/>
      <c r="AC54" s="94"/>
      <c r="AD54" s="195" t="e">
        <f>+'Biyemas S.A.'!AD54+'Kandiko S.A'!AD54+'Rebisco S.A.'!AD54</f>
        <v>#N/A</v>
      </c>
      <c r="AE54" s="196" t="e">
        <f>+'Biyemas S.A.'!AE54+'Kandiko S.A'!AE54+'Rebisco S.A.'!AE54</f>
        <v>#N/A</v>
      </c>
      <c r="AF54" s="196" t="e">
        <f>+'Biyemas S.A.'!AF54+'Kandiko S.A'!AF54+'Rebisco S.A.'!AF54</f>
        <v>#N/A</v>
      </c>
      <c r="AG54" s="98" t="e">
        <f>+'Biyemas S.A.'!AG54+'Kandiko S.A'!AG54+'Rebisco S.A.'!AG54</f>
        <v>#N/A</v>
      </c>
      <c r="AH54" s="94" t="e">
        <f>+'Biyemas S.A.'!AH54+'Kandiko S.A'!AH54+'Rebisco S.A.'!AH54</f>
        <v>#N/A</v>
      </c>
      <c r="AI54" s="94" t="e">
        <f>+'Biyemas S.A.'!AI54+'Kandiko S.A'!AI54+'Rebisco S.A.'!AI54</f>
        <v>#N/A</v>
      </c>
      <c r="AJ54" s="141">
        <f>+'Biyemas S.A.'!AJ54+'Kandiko S.A'!AJ54+'Rebisco S.A.'!AJ54</f>
        <v>0</v>
      </c>
      <c r="AK54" s="138" t="e">
        <f>+'Biyemas S.A.'!AK54+'Kandiko S.A'!AK54+'Rebisco S.A.'!AK54</f>
        <v>#N/A</v>
      </c>
      <c r="AL54" s="51" t="e">
        <f>+'Biyemas S.A.'!AL54+'Kandiko S.A'!AL54+'Rebisco S.A.'!AL54</f>
        <v>#N/A</v>
      </c>
      <c r="AM54" s="52">
        <f>+'Biyemas S.A.'!AM54+'Kandiko S.A'!AM54+'Rebisco S.A.'!AM54</f>
        <v>0</v>
      </c>
      <c r="AN54" s="51" t="e">
        <f>+'Biyemas S.A.'!AN54+'Kandiko S.A'!AN54+'Rebisco S.A.'!AN54</f>
        <v>#N/A</v>
      </c>
      <c r="AO54" s="248" t="e">
        <f>+'Biyemas S.A.'!AO54+'Kandiko S.A'!AO54+'Rebisco S.A.'!AO54</f>
        <v>#N/A</v>
      </c>
      <c r="AP54" s="249"/>
      <c r="AQ54" s="282"/>
      <c r="AR54" s="282"/>
      <c r="AS54" s="282"/>
      <c r="AT54" s="282"/>
      <c r="AU54" s="282"/>
      <c r="AV54" s="98" t="e">
        <f>+'Biyemas S.A.'!AV54+'Kandiko S.A'!AV54+'Rebisco S.A.'!AV54</f>
        <v>#N/A</v>
      </c>
      <c r="AW54" s="103"/>
      <c r="BA54" s="175" t="e">
        <f>+'Biyemas S.A.'!BA54+'Kandiko S.A'!BA54+'Rebisco S.A.'!BA54</f>
        <v>#N/A</v>
      </c>
      <c r="BB54" s="171" t="e">
        <f>IF($AK54&gt;0,(C54-($BA54))/($BA$54),)</f>
        <v>#N/A</v>
      </c>
      <c r="BC54" s="175" t="e">
        <f>+'Biyemas S.A.'!BC54+'Kandiko S.A'!BC54+'Rebisco S.A.'!BC54</f>
        <v>#N/A</v>
      </c>
      <c r="BD54" s="171" t="e">
        <f>IF($BC54&gt;0,(AN54-($BC54))/($BC$54),IF(AN54&gt;0,1))</f>
        <v>#N/A</v>
      </c>
      <c r="BE54" s="222" t="e">
        <f>IF(A54="","",+AV54/SUM(('Biyemas S.A.'!AV54/(1+'Biyemas S.A.'!BE54)),('Kandiko S.A'!AV54/(1+'Kandiko S.A'!BE54)),('Rebisco S.A.'!AV54/(1+'Rebisco S.A.'!BE54)))-1)</f>
        <v>#N/A</v>
      </c>
      <c r="BF54" s="173" t="e">
        <f>IF(A54="","",+AD54/(SUM(('Biyemas S.A.'!AD54/(1+'Biyemas S.A.'!BF54)),('Kandiko S.A'!AD54/(1+'Kandiko S.A'!BF54)),('Rebisco S.A.'!AD54/(1+'Rebisco S.A.'!BF54))))-1)</f>
        <v>#N/A</v>
      </c>
      <c r="BG54" s="173" t="e">
        <f>IF(A54="","",+AI54/SUM(('Biyemas S.A.'!AI54/(1+'Biyemas S.A.'!BG54)),(+'Kandiko S.A'!AI54/(1+'Kandiko S.A'!BG54)),('Rebisco S.A.'!AI54/(1+'Rebisco S.A.'!BG54)))-1)</f>
        <v>#N/A</v>
      </c>
      <c r="BH54" s="173" t="e">
        <f>IF(A54="","",+AL54/SUM(('Biyemas S.A.'!AL54/(1+'Biyemas S.A.'!BH54)),('Kandiko S.A'!AL54/(1+'Kandiko S.A'!BH54)),('Rebisco S.A.'!AL54/(1+'Rebisco S.A.'!BH54)))-1)</f>
        <v>#N/A</v>
      </c>
      <c r="BI54" s="174" t="e">
        <f>+'Biyemas S.A.'!BI54</f>
        <v>#N/A</v>
      </c>
      <c r="BJ54" s="169" t="e">
        <f>BJ55/SUM(BJ55-BJ56)-1</f>
        <v>#N/A</v>
      </c>
      <c r="BK54" s="170" t="e">
        <f>BK55/SUM(BK55-BK56)-1</f>
        <v>#N/A</v>
      </c>
      <c r="BL54" s="170" t="e">
        <f>BL55/SUM(BL55-BL56)-1</f>
        <v>#N/A</v>
      </c>
      <c r="BM54" s="197" t="e">
        <f>BM55/SUM(BM55-BM56)-1</f>
        <v>#N/A</v>
      </c>
      <c r="BN54" s="171" t="e">
        <f>+'Biyemas S.A.'!BN54</f>
        <v>#N/A</v>
      </c>
      <c r="BP54" s="39" t="s">
        <v>108</v>
      </c>
    </row>
    <row r="55" spans="1:68" ht="12" thickBot="1" x14ac:dyDescent="0.25">
      <c r="A55" s="88" t="s">
        <v>26</v>
      </c>
      <c r="B55" s="83"/>
      <c r="C55" s="84" t="e">
        <f>+C54/$D$1</f>
        <v>#N/A</v>
      </c>
      <c r="D55" s="89" t="e">
        <f>+'Biyemas S.A.'!D55+'Kandiko S.A'!D55+'Rebisco S.A.'!D55</f>
        <v>#N/A</v>
      </c>
      <c r="E55" s="84" t="e">
        <f>+E54/$D$1</f>
        <v>#N/A</v>
      </c>
      <c r="F55" s="84" t="e">
        <f t="shared" ref="F55:G55" si="52">+F54/$D$1</f>
        <v>#N/A</v>
      </c>
      <c r="G55" s="84" t="e">
        <f t="shared" si="52"/>
        <v>#N/A</v>
      </c>
      <c r="H55" s="85" t="e">
        <f>+G55/E55</f>
        <v>#N/A</v>
      </c>
      <c r="I55" s="78" t="e">
        <f>+G55/F55</f>
        <v>#N/A</v>
      </c>
      <c r="J55" s="86" t="e">
        <f>+G55/C55</f>
        <v>#N/A</v>
      </c>
      <c r="K55" s="91" t="e">
        <f>+G55/D55</f>
        <v>#N/A</v>
      </c>
      <c r="L55" s="89" t="e">
        <f>+'Biyemas S.A.'!L55+'Kandiko S.A'!L55+'Rebisco S.A.'!L55</f>
        <v>#N/A</v>
      </c>
      <c r="M55" s="84" t="e">
        <f t="shared" ref="M55:O55" si="53">+M54/$D$1</f>
        <v>#N/A</v>
      </c>
      <c r="N55" s="84" t="e">
        <f t="shared" si="53"/>
        <v>#N/A</v>
      </c>
      <c r="O55" s="84" t="e">
        <f t="shared" si="53"/>
        <v>#N/A</v>
      </c>
      <c r="P55" s="85" t="e">
        <f>+O55/M55</f>
        <v>#N/A</v>
      </c>
      <c r="Q55" s="85" t="e">
        <f>+O55/N55</f>
        <v>#N/A</v>
      </c>
      <c r="R55" s="87" t="e">
        <f>+O55/C55</f>
        <v>#N/A</v>
      </c>
      <c r="S55" s="84" t="e">
        <f>IF(A55="","",IF(C55&gt;0,+O55/L55,0))</f>
        <v>#N/A</v>
      </c>
      <c r="T55" s="90" t="e">
        <f t="shared" ref="T55" si="54">IF(A55="","",IF(G55&gt;0,(G55+O55)/(D55+L55),0))</f>
        <v>#N/A</v>
      </c>
      <c r="U55" s="137" t="e">
        <f>+'Biyemas S.A.'!U55+'Kandiko S.A'!U55+'Rebisco S.A.'!U55</f>
        <v>#N/A</v>
      </c>
      <c r="V55" s="84" t="e">
        <f>VLOOKUP(+BP55,'Datos Biyemas'!A9:BB145,22,0)</f>
        <v>#N/A</v>
      </c>
      <c r="W55" s="84" t="e">
        <f>VLOOKUP(+BP55,'Datos Biyemas'!A9:BB145,23,0)</f>
        <v>#N/A</v>
      </c>
      <c r="X55" s="84" t="e">
        <f>VLOOKUP(+BP55,'Datos Biyemas'!A9:BB145,24,0)</f>
        <v>#N/A</v>
      </c>
      <c r="Y55" s="84" t="e">
        <f>VLOOKUP(+BP55,'Datos Biyemas'!A9:BB145,25,0)</f>
        <v>#N/A</v>
      </c>
      <c r="Z55" s="85" t="e">
        <f>+Y55/W55</f>
        <v>#N/A</v>
      </c>
      <c r="AA55" s="85" t="e">
        <f>+Y55/X55</f>
        <v>#N/A</v>
      </c>
      <c r="AB55" s="87" t="e">
        <f>+Y55/M55</f>
        <v>#N/A</v>
      </c>
      <c r="AC55" s="80" t="e">
        <f>+Y55/V55</f>
        <v>#N/A</v>
      </c>
      <c r="AD55" s="89" t="e">
        <f>+AD54/$D$1</f>
        <v>#N/A</v>
      </c>
      <c r="AE55" s="84" t="e">
        <f>+AE54/$D$1</f>
        <v>#N/A</v>
      </c>
      <c r="AF55" s="84" t="e">
        <f>+AF54/$D$1</f>
        <v>#N/A</v>
      </c>
      <c r="AG55" s="84" t="e">
        <f t="shared" ref="AG55:AH55" si="55">+AG54/$D$1</f>
        <v>#N/A</v>
      </c>
      <c r="AH55" s="84" t="e">
        <f t="shared" si="55"/>
        <v>#N/A</v>
      </c>
      <c r="AI55" s="84" t="e">
        <f>+AI54/$D$1</f>
        <v>#N/A</v>
      </c>
      <c r="AJ55" s="87" t="e">
        <f>+AI55/C55</f>
        <v>#N/A</v>
      </c>
      <c r="AK55" s="137" t="e">
        <f>+AK54/$D$1</f>
        <v>#N/A</v>
      </c>
      <c r="AL55" s="84" t="e">
        <f>+AL54/$D$1</f>
        <v>#N/A</v>
      </c>
      <c r="AM55" s="143" t="e">
        <f>+AL55/C55</f>
        <v>#N/A</v>
      </c>
      <c r="AN55" s="245" t="e">
        <f>+AN54/D1</f>
        <v>#N/A</v>
      </c>
      <c r="AO55" s="84" t="e">
        <f>+'Biyemas S.A.'!AO55+'Kandiko S.A'!AO55+'Rebisco S.A.'!AO55</f>
        <v>#N/A</v>
      </c>
      <c r="AP55" s="143" t="e">
        <f>+AO55/AN55</f>
        <v>#N/A</v>
      </c>
      <c r="AQ55" s="283"/>
      <c r="AR55" s="283"/>
      <c r="AS55" s="283"/>
      <c r="AT55" s="283"/>
      <c r="AU55" s="283"/>
      <c r="AV55" s="140" t="e">
        <f>+'Biyemas S.A.'!AV55+'Kandiko S.A'!AV55+'Rebisco S.A.'!AV55</f>
        <v>#N/A</v>
      </c>
      <c r="AW55" s="82" t="e">
        <f>+AV55/C55</f>
        <v>#N/A</v>
      </c>
      <c r="BB55" s="61" t="s">
        <v>48</v>
      </c>
      <c r="BC55" s="61"/>
      <c r="BD55" s="61"/>
      <c r="BE55" s="62" t="e">
        <f>+'Biyemas S.A.'!BE55+'Kandiko S.A'!BE55+'Rebisco S.A.'!BE55</f>
        <v>#N/A</v>
      </c>
      <c r="BF55" s="62" t="e">
        <f>+'Biyemas S.A.'!BF55+'Kandiko S.A'!BF55+'Rebisco S.A.'!BF55</f>
        <v>#N/A</v>
      </c>
      <c r="BG55" s="62" t="e">
        <f>+'Biyemas S.A.'!BG55+'Kandiko S.A'!BG55+'Rebisco S.A.'!BG55</f>
        <v>#N/A</v>
      </c>
      <c r="BH55" s="62" t="e">
        <f>+'Biyemas S.A.'!BH55+'Kandiko S.A'!BH55+'Rebisco S.A.'!BH55</f>
        <v>#N/A</v>
      </c>
      <c r="BI55" s="62" t="e">
        <f>+'Biyemas S.A.'!BI55+'Kandiko S.A'!BI55+'Rebisco S.A.'!BI55</f>
        <v>#N/A</v>
      </c>
      <c r="BJ55" s="62" t="e">
        <f>+'Biyemas S.A.'!BJ55+'Kandiko S.A'!BJ55+'Rebisco S.A.'!BJ55</f>
        <v>#N/A</v>
      </c>
      <c r="BK55" s="62" t="e">
        <f>+'Biyemas S.A.'!BK55+'Kandiko S.A'!BK55+'Rebisco S.A.'!BK55</f>
        <v>#N/A</v>
      </c>
      <c r="BL55" s="62" t="e">
        <f>+'Biyemas S.A.'!BL55+'Kandiko S.A'!BL55+'Rebisco S.A.'!BL55</f>
        <v>#N/A</v>
      </c>
      <c r="BM55" s="62" t="e">
        <f>+'Biyemas S.A.'!BM55+'Kandiko S.A'!BM55+'Rebisco S.A.'!BM55</f>
        <v>#N/A</v>
      </c>
      <c r="BN55" s="62" t="e">
        <f>+'Biyemas S.A.'!BN55+'Kandiko S.A'!BN55+'Rebisco S.A.'!BN55</f>
        <v>#N/A</v>
      </c>
      <c r="BP55" s="39" t="s">
        <v>109</v>
      </c>
    </row>
    <row r="56" spans="1:68" ht="12" thickBot="1" x14ac:dyDescent="0.25">
      <c r="C56" s="32"/>
      <c r="D56" s="32"/>
      <c r="E56" s="32"/>
      <c r="F56" s="32"/>
      <c r="G56" s="32"/>
      <c r="H56" s="56"/>
      <c r="I56" s="33"/>
      <c r="J56" s="34"/>
      <c r="K56" s="57"/>
      <c r="L56" s="32"/>
      <c r="M56" s="32"/>
      <c r="N56" s="32"/>
      <c r="O56" s="32"/>
      <c r="P56" s="56"/>
      <c r="Q56" s="56"/>
      <c r="R56" s="34"/>
      <c r="S56" s="32"/>
      <c r="T56" s="32"/>
      <c r="U56" s="32"/>
      <c r="V56" s="32"/>
      <c r="W56" s="32"/>
      <c r="X56" s="32"/>
      <c r="Y56" s="32"/>
      <c r="Z56" s="57"/>
      <c r="AA56" s="57"/>
      <c r="AB56" s="57"/>
      <c r="AC56" s="57"/>
      <c r="AD56" s="32"/>
      <c r="AE56" s="32"/>
      <c r="AF56" s="32"/>
      <c r="AG56" s="32"/>
      <c r="AH56" s="32"/>
      <c r="AI56" s="32"/>
      <c r="AJ56" s="34"/>
      <c r="AK56" s="32"/>
      <c r="AL56" s="32"/>
      <c r="AM56" s="58"/>
      <c r="AN56" s="58"/>
      <c r="AO56" s="32"/>
      <c r="AP56" s="58"/>
      <c r="AQ56" s="58"/>
      <c r="AR56" s="58"/>
      <c r="AS56" s="58"/>
      <c r="AT56" s="58"/>
      <c r="AU56" s="58"/>
      <c r="AV56" s="59"/>
      <c r="AW56" s="34"/>
      <c r="AX56" s="34"/>
      <c r="AY56" s="34"/>
      <c r="BB56" s="60" t="s">
        <v>49</v>
      </c>
      <c r="BC56" s="60"/>
      <c r="BD56" s="60"/>
      <c r="BE56" s="64" t="e">
        <f>+'Biyemas S.A.'!BE56+'Kandiko S.A'!BE56+'Rebisco S.A.'!BE56</f>
        <v>#N/A</v>
      </c>
      <c r="BF56" s="64" t="e">
        <f>+'Biyemas S.A.'!BF56+'Kandiko S.A'!BF56+'Rebisco S.A.'!BF56</f>
        <v>#N/A</v>
      </c>
      <c r="BG56" s="64" t="e">
        <f>+'Biyemas S.A.'!BG56+'Kandiko S.A'!BG56+'Rebisco S.A.'!BG56</f>
        <v>#N/A</v>
      </c>
      <c r="BH56" s="64" t="e">
        <f>+'Biyemas S.A.'!BH56+'Kandiko S.A'!BH56+'Rebisco S.A.'!BH56</f>
        <v>#N/A</v>
      </c>
      <c r="BI56" s="64" t="e">
        <f>+'Biyemas S.A.'!BI56+'Kandiko S.A'!BI56+'Rebisco S.A.'!BI56</f>
        <v>#N/A</v>
      </c>
      <c r="BJ56" s="64" t="e">
        <f>+'Biyemas S.A.'!BJ56+'Kandiko S.A'!BJ56+'Rebisco S.A.'!BJ56</f>
        <v>#N/A</v>
      </c>
      <c r="BK56" s="64" t="e">
        <f>+'Biyemas S.A.'!BK56+'Kandiko S.A'!BK56+'Rebisco S.A.'!BK56</f>
        <v>#N/A</v>
      </c>
      <c r="BL56" s="64" t="e">
        <f>+'Biyemas S.A.'!BL56+'Kandiko S.A'!BL56+'Rebisco S.A.'!BL56</f>
        <v>#N/A</v>
      </c>
      <c r="BM56" s="64" t="e">
        <f>+'Biyemas S.A.'!BM56+'Kandiko S.A'!BM56+'Rebisco S.A.'!BM56</f>
        <v>#N/A</v>
      </c>
      <c r="BN56" s="64" t="e">
        <f>+'Biyemas S.A.'!BN56+'Kandiko S.A'!BN56+'Rebisco S.A.'!BN56</f>
        <v>#N/A</v>
      </c>
      <c r="BP56" s="39" t="s">
        <v>117</v>
      </c>
    </row>
    <row r="57" spans="1:68" ht="12.75" thickTop="1" thickBot="1" x14ac:dyDescent="0.25">
      <c r="A57" s="66" t="s">
        <v>82</v>
      </c>
      <c r="B57" s="67"/>
      <c r="C57" s="68" t="e">
        <f>(+C40-C55)/C55</f>
        <v>#N/A</v>
      </c>
      <c r="D57" s="66"/>
      <c r="E57" s="68" t="e">
        <f>(+E40-E55)/E55</f>
        <v>#DIV/0!</v>
      </c>
      <c r="F57" s="68" t="e">
        <f>(+F40-F55)/F55</f>
        <v>#DIV/0!</v>
      </c>
      <c r="G57" s="68" t="e">
        <f>(+G40-G55)/G55</f>
        <v>#DIV/0!</v>
      </c>
      <c r="H57" s="67"/>
      <c r="I57" s="67"/>
      <c r="J57" s="67"/>
      <c r="K57" s="69" t="e">
        <f>(+K40-K55)/K55</f>
        <v>#DIV/0!</v>
      </c>
      <c r="L57" s="67"/>
      <c r="M57" s="68" t="e">
        <f>(+M40-M55)/M55</f>
        <v>#DIV/0!</v>
      </c>
      <c r="N57" s="68" t="e">
        <f>(+N40-N55)/N55</f>
        <v>#DIV/0!</v>
      </c>
      <c r="O57" s="68" t="e">
        <f>(+O40-O55)/O55</f>
        <v>#DIV/0!</v>
      </c>
      <c r="P57" s="67"/>
      <c r="Q57" s="67"/>
      <c r="R57" s="67"/>
      <c r="S57" s="69" t="e">
        <f>(+S40-S55)/S55</f>
        <v>#DIV/0!</v>
      </c>
      <c r="T57" s="69" t="e">
        <f>(+T40-T55)/T55</f>
        <v>#DIV/0!</v>
      </c>
      <c r="U57" s="69" t="e">
        <f>(+U40-U55)/U55</f>
        <v>#DIV/0!</v>
      </c>
      <c r="V57" s="66"/>
      <c r="W57" s="68" t="e">
        <f>(+W40-W55)/W55</f>
        <v>#DIV/0!</v>
      </c>
      <c r="X57" s="68" t="e">
        <f>(+X40-X55)/X55</f>
        <v>#DIV/0!</v>
      </c>
      <c r="Y57" s="68" t="e">
        <f>(+Y40-Y55)/Y55</f>
        <v>#DIV/0!</v>
      </c>
      <c r="Z57" s="68"/>
      <c r="AA57" s="68"/>
      <c r="AB57" s="68"/>
      <c r="AC57" s="68"/>
      <c r="AD57" s="139" t="e">
        <f t="shared" ref="AD57:AI57" si="56">(+AD40-AD55)/AD55</f>
        <v>#DIV/0!</v>
      </c>
      <c r="AE57" s="68" t="e">
        <f t="shared" si="56"/>
        <v>#DIV/0!</v>
      </c>
      <c r="AF57" s="69" t="e">
        <f t="shared" si="56"/>
        <v>#DIV/0!</v>
      </c>
      <c r="AG57" s="68" t="e">
        <f t="shared" si="56"/>
        <v>#DIV/0!</v>
      </c>
      <c r="AH57" s="68" t="e">
        <f t="shared" si="56"/>
        <v>#DIV/0!</v>
      </c>
      <c r="AI57" s="68" t="e">
        <f t="shared" si="56"/>
        <v>#DIV/0!</v>
      </c>
      <c r="AJ57" s="67"/>
      <c r="AK57" s="70" t="e">
        <f>(+AK40-AK55)/AK55</f>
        <v>#DIV/0!</v>
      </c>
      <c r="AL57" s="68" t="e">
        <f>(+AL40-AL55)/AL55</f>
        <v>#DIV/0!</v>
      </c>
      <c r="AM57" s="69"/>
      <c r="AN57" s="68" t="e">
        <f>(+AN40-AN55)/AN55</f>
        <v>#DIV/0!</v>
      </c>
      <c r="AO57" s="68" t="e">
        <f>(+AO40-AO55)/AO55</f>
        <v>#DIV/0!</v>
      </c>
      <c r="AP57" s="69"/>
      <c r="AQ57" s="68"/>
      <c r="AR57" s="68"/>
      <c r="AS57" s="68"/>
      <c r="AT57" s="68"/>
      <c r="AU57" s="68"/>
      <c r="AV57" s="68" t="e">
        <f>(+AV40-AV55)/AV55</f>
        <v>#DIV/0!</v>
      </c>
      <c r="AW57" s="71"/>
      <c r="BE57" s="3"/>
      <c r="BF57" s="3"/>
      <c r="BG57" s="3"/>
      <c r="BH57" s="3"/>
      <c r="BI57" s="3"/>
      <c r="BJ57" s="3"/>
      <c r="BK57" s="3"/>
      <c r="BL57" s="3"/>
    </row>
    <row r="58" spans="1:68" ht="12" thickBot="1" x14ac:dyDescent="0.25">
      <c r="A58" s="72" t="s">
        <v>83</v>
      </c>
      <c r="B58" s="73"/>
      <c r="C58" s="277"/>
      <c r="D58" s="72"/>
      <c r="E58" s="74" t="e">
        <f>+E40-E55</f>
        <v>#DIV/0!</v>
      </c>
      <c r="F58" s="74" t="e">
        <f>+F40-F55</f>
        <v>#DIV/0!</v>
      </c>
      <c r="G58" s="74" t="e">
        <f>+G40-G55</f>
        <v>#DIV/0!</v>
      </c>
      <c r="H58" s="73"/>
      <c r="I58" s="73"/>
      <c r="J58" s="73"/>
      <c r="K58" s="75" t="e">
        <f>+K40-K55</f>
        <v>#DIV/0!</v>
      </c>
      <c r="L58" s="73"/>
      <c r="M58" s="74" t="e">
        <f>+M40-M55</f>
        <v>#DIV/0!</v>
      </c>
      <c r="N58" s="74" t="e">
        <f>+N40-N55</f>
        <v>#DIV/0!</v>
      </c>
      <c r="O58" s="74" t="e">
        <f>+O40-O55</f>
        <v>#DIV/0!</v>
      </c>
      <c r="P58" s="73"/>
      <c r="Q58" s="73"/>
      <c r="R58" s="73"/>
      <c r="S58" s="75" t="e">
        <f>+S40-S55</f>
        <v>#DIV/0!</v>
      </c>
      <c r="T58" s="75" t="e">
        <f>+T40-T55</f>
        <v>#DIV/0!</v>
      </c>
      <c r="U58" s="75" t="e">
        <f>+U40-U55</f>
        <v>#DIV/0!</v>
      </c>
      <c r="V58" s="72"/>
      <c r="W58" s="74" t="e">
        <f>+W40-W55</f>
        <v>#DIV/0!</v>
      </c>
      <c r="X58" s="74" t="e">
        <f>+X40-X55</f>
        <v>#DIV/0!</v>
      </c>
      <c r="Y58" s="74" t="e">
        <f>+Y40-Y55</f>
        <v>#DIV/0!</v>
      </c>
      <c r="Z58" s="74"/>
      <c r="AA58" s="74"/>
      <c r="AB58" s="74"/>
      <c r="AC58" s="74"/>
      <c r="AD58" s="140" t="e">
        <f t="shared" ref="AD58:AI58" si="57">+AD40-AD55</f>
        <v>#DIV/0!</v>
      </c>
      <c r="AE58" s="74" t="e">
        <f t="shared" si="57"/>
        <v>#DIV/0!</v>
      </c>
      <c r="AF58" s="75" t="e">
        <f t="shared" si="57"/>
        <v>#DIV/0!</v>
      </c>
      <c r="AG58" s="74" t="e">
        <f t="shared" si="57"/>
        <v>#DIV/0!</v>
      </c>
      <c r="AH58" s="74" t="e">
        <f t="shared" si="57"/>
        <v>#DIV/0!</v>
      </c>
      <c r="AI58" s="74" t="e">
        <f t="shared" si="57"/>
        <v>#DIV/0!</v>
      </c>
      <c r="AJ58" s="73"/>
      <c r="AK58" s="76" t="e">
        <f>+AK40-AK55</f>
        <v>#DIV/0!</v>
      </c>
      <c r="AL58" s="74" t="e">
        <f>+AL40-AL55</f>
        <v>#DIV/0!</v>
      </c>
      <c r="AM58" s="77"/>
      <c r="AN58" s="74" t="e">
        <f>+AN40-AN55</f>
        <v>#DIV/0!</v>
      </c>
      <c r="AO58" s="74" t="e">
        <f>+AO40-AO55</f>
        <v>#DIV/0!</v>
      </c>
      <c r="AP58" s="77"/>
      <c r="AQ58" s="73"/>
      <c r="AR58" s="73"/>
      <c r="AS58" s="73"/>
      <c r="AT58" s="73"/>
      <c r="AU58" s="73"/>
      <c r="AV58" s="74" t="e">
        <f>+AV40-AV55</f>
        <v>#DIV/0!</v>
      </c>
      <c r="AW58" s="77"/>
      <c r="BJ58" s="231"/>
    </row>
    <row r="59" spans="1:68" x14ac:dyDescent="0.2">
      <c r="BJ59" s="32"/>
    </row>
  </sheetData>
  <mergeCells count="23">
    <mergeCell ref="D4:K4"/>
    <mergeCell ref="L4:S4"/>
    <mergeCell ref="V4:AC4"/>
    <mergeCell ref="AG4:AJ4"/>
    <mergeCell ref="AL4:AM4"/>
    <mergeCell ref="D5:K5"/>
    <mergeCell ref="V5:AC5"/>
    <mergeCell ref="BA5:BA6"/>
    <mergeCell ref="BB5:BB6"/>
    <mergeCell ref="BE5:BE6"/>
    <mergeCell ref="AY4:AZ4"/>
    <mergeCell ref="AN4:AP4"/>
    <mergeCell ref="BC4:BD4"/>
    <mergeCell ref="BC5:BC6"/>
    <mergeCell ref="BD5:BD6"/>
    <mergeCell ref="AQ4:AU4"/>
    <mergeCell ref="BE4:BI4"/>
    <mergeCell ref="BI5:BI6"/>
    <mergeCell ref="BJ4:BN4"/>
    <mergeCell ref="BA4:BB4"/>
    <mergeCell ref="BF5:BF6"/>
    <mergeCell ref="BG5:BG6"/>
    <mergeCell ref="BH5:BH6"/>
  </mergeCells>
  <printOptions horizontalCentered="1"/>
  <pageMargins left="0.23622047244094491" right="0.11811023622047245" top="0.39370078740157483" bottom="0.98425196850393704" header="0" footer="0"/>
  <pageSetup paperSize="5" scale="71" orientation="landscape" r:id="rId1"/>
  <headerFooter alignWithMargins="0"/>
  <ignoredErrors>
    <ignoredError sqref="AJ40 AM40 D46 AM46 D55 AJ55 AP40 BB3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X60"/>
  <sheetViews>
    <sheetView showGridLines="0" showZeros="0" tabSelected="1" workbookViewId="0">
      <pane xSplit="3" ySplit="6" topLeftCell="D7" activePane="bottomRight" state="frozen"/>
      <selection activeCell="AO7" sqref="AO7"/>
      <selection pane="topRight" activeCell="AO7" sqref="AO7"/>
      <selection pane="bottomLeft" activeCell="AO7" sqref="AO7"/>
      <selection pane="bottomRight" activeCell="E13" sqref="E13"/>
    </sheetView>
  </sheetViews>
  <sheetFormatPr defaultColWidth="11.42578125" defaultRowHeight="11.25" x14ac:dyDescent="0.2"/>
  <cols>
    <col min="1" max="1" width="11.88671875" style="39" customWidth="1"/>
    <col min="2" max="2" width="9.6640625" style="39" bestFit="1" customWidth="1"/>
    <col min="3" max="3" width="9.109375" style="39" customWidth="1"/>
    <col min="4" max="4" width="5.33203125" style="39" customWidth="1"/>
    <col min="5" max="5" width="11.6640625" style="39" bestFit="1" customWidth="1"/>
    <col min="6" max="7" width="10.88671875" style="39" bestFit="1" customWidth="1"/>
    <col min="8" max="8" width="7.109375" style="39" customWidth="1"/>
    <col min="9" max="9" width="6.33203125" style="39" customWidth="1"/>
    <col min="10" max="10" width="6.5546875" style="39" bestFit="1" customWidth="1"/>
    <col min="11" max="11" width="8" style="39" bestFit="1" customWidth="1"/>
    <col min="12" max="12" width="6.33203125" style="39" customWidth="1"/>
    <col min="13" max="13" width="11.6640625" style="39" bestFit="1" customWidth="1"/>
    <col min="14" max="14" width="10.88671875" style="39" bestFit="1" customWidth="1"/>
    <col min="15" max="15" width="9.5546875" style="39" bestFit="1" customWidth="1"/>
    <col min="16" max="16" width="7.44140625" style="39" bestFit="1" customWidth="1"/>
    <col min="17" max="17" width="6.5546875" style="39" customWidth="1"/>
    <col min="18" max="18" width="7.44140625" style="39" bestFit="1" customWidth="1"/>
    <col min="19" max="19" width="8" style="39" customWidth="1"/>
    <col min="20" max="20" width="10.44140625" style="39" bestFit="1" customWidth="1"/>
    <col min="21" max="21" width="10.44140625" style="39" customWidth="1"/>
    <col min="22" max="22" width="6.5546875" style="39" hidden="1" customWidth="1"/>
    <col min="23" max="23" width="11.109375" style="39" hidden="1" customWidth="1"/>
    <col min="24" max="25" width="10.109375" style="39" hidden="1" customWidth="1"/>
    <col min="26" max="26" width="8.88671875" style="39" hidden="1" customWidth="1"/>
    <col min="27" max="29" width="6.5546875" style="39" hidden="1" customWidth="1"/>
    <col min="30" max="32" width="10.6640625" style="39" customWidth="1"/>
    <col min="33" max="33" width="9.109375" style="39" bestFit="1" customWidth="1"/>
    <col min="34" max="34" width="9.109375" style="39" customWidth="1"/>
    <col min="35" max="35" width="9.109375" style="39" bestFit="1" customWidth="1"/>
    <col min="36" max="36" width="6.33203125" style="39" customWidth="1"/>
    <col min="37" max="37" width="10.88671875" style="39" bestFit="1" customWidth="1"/>
    <col min="38" max="38" width="9.6640625" style="39" customWidth="1"/>
    <col min="39" max="42" width="9.44140625" style="39" customWidth="1"/>
    <col min="43" max="43" width="11.109375" style="39" bestFit="1" customWidth="1"/>
    <col min="44" max="44" width="10.88671875" style="39" bestFit="1" customWidth="1"/>
    <col min="45" max="45" width="10" style="39" bestFit="1" customWidth="1"/>
    <col min="46" max="46" width="10.5546875" style="39" bestFit="1" customWidth="1"/>
    <col min="47" max="47" width="10" style="39" bestFit="1" customWidth="1"/>
    <col min="48" max="48" width="12.5546875" style="39" bestFit="1" customWidth="1"/>
    <col min="49" max="49" width="7.33203125" style="39" customWidth="1"/>
    <col min="50" max="50" width="4.5546875" style="39" customWidth="1"/>
    <col min="51" max="56" width="8.6640625" style="39" customWidth="1"/>
    <col min="57" max="58" width="10" style="39" bestFit="1" customWidth="1"/>
    <col min="59" max="59" width="7.88671875" style="39" bestFit="1" customWidth="1"/>
    <col min="60" max="61" width="9.44140625" style="39" customWidth="1"/>
    <col min="62" max="62" width="11.5546875" style="39" customWidth="1"/>
    <col min="63" max="63" width="10" style="39" bestFit="1" customWidth="1"/>
    <col min="64" max="66" width="9.44140625" style="39" customWidth="1"/>
    <col min="67" max="67" width="10.109375" style="39" customWidth="1"/>
    <col min="68" max="76" width="11.44140625" style="39" hidden="1" customWidth="1"/>
    <col min="77" max="77" width="11.44140625" style="39" customWidth="1"/>
    <col min="78" max="78" width="11.33203125" style="39" customWidth="1"/>
    <col min="79" max="94" width="11.44140625" style="39" customWidth="1"/>
    <col min="95" max="16384" width="11.44140625" style="39"/>
  </cols>
  <sheetData>
    <row r="1" spans="1:68" x14ac:dyDescent="0.2">
      <c r="A1" s="2" t="s">
        <v>32</v>
      </c>
      <c r="C1" s="191" t="s">
        <v>115</v>
      </c>
      <c r="D1" s="146">
        <f>COUNT(C7:C37)</f>
        <v>0</v>
      </c>
      <c r="F1" s="189"/>
      <c r="X1" s="57"/>
    </row>
    <row r="2" spans="1:68" ht="10.5" customHeight="1" x14ac:dyDescent="0.2">
      <c r="A2" s="2"/>
      <c r="E2" s="61"/>
      <c r="N2" s="32"/>
      <c r="W2" s="61"/>
      <c r="X2" s="32"/>
      <c r="Y2" s="32"/>
      <c r="AL2" s="278"/>
      <c r="BE2" s="104"/>
      <c r="BF2" s="104"/>
      <c r="BG2" s="104"/>
      <c r="BH2" s="104"/>
      <c r="BI2" s="104"/>
    </row>
    <row r="3" spans="1:68" ht="12" customHeight="1" thickBot="1" x14ac:dyDescent="0.25">
      <c r="A3" s="234" t="s">
        <v>132</v>
      </c>
      <c r="B3" s="235"/>
      <c r="C3" s="235"/>
      <c r="D3" s="236"/>
      <c r="E3" s="144"/>
      <c r="F3" s="144"/>
      <c r="G3" s="144"/>
      <c r="H3" s="144"/>
      <c r="I3" s="144"/>
      <c r="J3" s="144"/>
      <c r="K3" s="144"/>
    </row>
    <row r="4" spans="1:68" ht="14.25" customHeight="1" thickBot="1" x14ac:dyDescent="0.25">
      <c r="A4" s="17" t="s">
        <v>1</v>
      </c>
      <c r="B4" s="44" t="s">
        <v>2</v>
      </c>
      <c r="C4" s="53" t="s">
        <v>2</v>
      </c>
      <c r="D4" s="299" t="s">
        <v>16</v>
      </c>
      <c r="E4" s="300"/>
      <c r="F4" s="300"/>
      <c r="G4" s="300"/>
      <c r="H4" s="300"/>
      <c r="I4" s="300"/>
      <c r="J4" s="300"/>
      <c r="K4" s="301"/>
      <c r="L4" s="286" t="s">
        <v>114</v>
      </c>
      <c r="M4" s="302"/>
      <c r="N4" s="302"/>
      <c r="O4" s="302"/>
      <c r="P4" s="302"/>
      <c r="Q4" s="302"/>
      <c r="R4" s="302"/>
      <c r="S4" s="303"/>
      <c r="T4" s="18" t="s">
        <v>21</v>
      </c>
      <c r="U4" s="18" t="s">
        <v>39</v>
      </c>
      <c r="V4" s="299" t="s">
        <v>86</v>
      </c>
      <c r="W4" s="300"/>
      <c r="X4" s="300"/>
      <c r="Y4" s="300"/>
      <c r="Z4" s="300"/>
      <c r="AA4" s="300"/>
      <c r="AB4" s="300"/>
      <c r="AC4" s="301"/>
      <c r="AD4" s="147" t="s">
        <v>94</v>
      </c>
      <c r="AE4" s="148" t="s">
        <v>21</v>
      </c>
      <c r="AF4" s="148"/>
      <c r="AG4" s="286" t="s">
        <v>18</v>
      </c>
      <c r="AH4" s="302"/>
      <c r="AI4" s="302"/>
      <c r="AJ4" s="303"/>
      <c r="AK4" s="2"/>
      <c r="AL4" s="286" t="s">
        <v>85</v>
      </c>
      <c r="AM4" s="303"/>
      <c r="AN4" s="286" t="s">
        <v>121</v>
      </c>
      <c r="AO4" s="302"/>
      <c r="AP4" s="303"/>
      <c r="AQ4" s="286" t="s">
        <v>131</v>
      </c>
      <c r="AR4" s="287"/>
      <c r="AS4" s="287"/>
      <c r="AT4" s="287"/>
      <c r="AU4" s="288"/>
      <c r="AV4" s="2"/>
      <c r="AW4" s="2"/>
      <c r="AY4" s="316" t="s">
        <v>41</v>
      </c>
      <c r="AZ4" s="315"/>
      <c r="BA4" s="314" t="s">
        <v>47</v>
      </c>
      <c r="BB4" s="315"/>
      <c r="BC4" s="316" t="s">
        <v>123</v>
      </c>
      <c r="BD4" s="315"/>
      <c r="BE4" s="296" t="s">
        <v>110</v>
      </c>
      <c r="BF4" s="297"/>
      <c r="BG4" s="297"/>
      <c r="BH4" s="297"/>
      <c r="BI4" s="298"/>
      <c r="BJ4" s="291" t="s">
        <v>81</v>
      </c>
      <c r="BK4" s="292"/>
      <c r="BL4" s="292"/>
      <c r="BM4" s="292"/>
      <c r="BN4" s="293"/>
    </row>
    <row r="5" spans="1:68" ht="14.25" customHeight="1" x14ac:dyDescent="0.2">
      <c r="A5" s="20" t="s">
        <v>1</v>
      </c>
      <c r="B5" s="21" t="s">
        <v>2</v>
      </c>
      <c r="C5" s="54" t="s">
        <v>2</v>
      </c>
      <c r="D5" s="304" t="s">
        <v>113</v>
      </c>
      <c r="E5" s="305"/>
      <c r="F5" s="305"/>
      <c r="G5" s="305"/>
      <c r="H5" s="305"/>
      <c r="I5" s="305"/>
      <c r="J5" s="305"/>
      <c r="K5" s="306"/>
      <c r="L5" s="45"/>
      <c r="M5" s="46"/>
      <c r="N5" s="46"/>
      <c r="O5" s="146" t="s">
        <v>84</v>
      </c>
      <c r="P5" s="21" t="s">
        <v>31</v>
      </c>
      <c r="Q5" s="21" t="s">
        <v>31</v>
      </c>
      <c r="R5" s="21" t="s">
        <v>5</v>
      </c>
      <c r="S5" s="22" t="s">
        <v>5</v>
      </c>
      <c r="T5" s="165" t="s">
        <v>35</v>
      </c>
      <c r="U5" s="19" t="s">
        <v>37</v>
      </c>
      <c r="V5" s="307" t="s">
        <v>113</v>
      </c>
      <c r="W5" s="308"/>
      <c r="X5" s="308"/>
      <c r="Y5" s="308"/>
      <c r="Z5" s="308"/>
      <c r="AA5" s="308"/>
      <c r="AB5" s="308"/>
      <c r="AC5" s="309"/>
      <c r="AD5" s="152" t="s">
        <v>42</v>
      </c>
      <c r="AE5" s="153" t="s">
        <v>95</v>
      </c>
      <c r="AF5" s="153" t="s">
        <v>96</v>
      </c>
      <c r="AG5" s="20" t="s">
        <v>20</v>
      </c>
      <c r="AH5" s="21"/>
      <c r="AI5" s="21" t="s">
        <v>22</v>
      </c>
      <c r="AJ5" s="22"/>
      <c r="AK5" s="44" t="s">
        <v>6</v>
      </c>
      <c r="AL5" s="20" t="s">
        <v>3</v>
      </c>
      <c r="AM5" s="22"/>
      <c r="AN5" s="20"/>
      <c r="AO5" s="21"/>
      <c r="AP5" s="22"/>
      <c r="AQ5" s="20"/>
      <c r="AR5" s="21"/>
      <c r="AS5" s="21"/>
      <c r="AT5" s="21"/>
      <c r="AU5" s="22"/>
      <c r="AV5" s="44" t="s">
        <v>45</v>
      </c>
      <c r="AW5" s="105" t="s">
        <v>5</v>
      </c>
      <c r="AY5" s="217" t="s">
        <v>84</v>
      </c>
      <c r="AZ5" s="240" t="s">
        <v>40</v>
      </c>
      <c r="BA5" s="310" t="s">
        <v>50</v>
      </c>
      <c r="BB5" s="312" t="s">
        <v>46</v>
      </c>
      <c r="BC5" s="317" t="s">
        <v>50</v>
      </c>
      <c r="BD5" s="312" t="s">
        <v>46</v>
      </c>
      <c r="BE5" s="289" t="s">
        <v>39</v>
      </c>
      <c r="BF5" s="289" t="s">
        <v>42</v>
      </c>
      <c r="BG5" s="289" t="s">
        <v>43</v>
      </c>
      <c r="BH5" s="289" t="s">
        <v>44</v>
      </c>
      <c r="BI5" s="294" t="s">
        <v>122</v>
      </c>
      <c r="BJ5" s="218" t="s">
        <v>39</v>
      </c>
      <c r="BK5" s="219" t="s">
        <v>42</v>
      </c>
      <c r="BL5" s="220" t="s">
        <v>43</v>
      </c>
      <c r="BM5" s="239" t="s">
        <v>44</v>
      </c>
      <c r="BN5" s="240" t="s">
        <v>122</v>
      </c>
    </row>
    <row r="6" spans="1:68" ht="14.25" customHeight="1" thickBot="1" x14ac:dyDescent="0.25">
      <c r="A6" s="187" t="s">
        <v>7</v>
      </c>
      <c r="B6" s="23" t="s">
        <v>8</v>
      </c>
      <c r="C6" s="26" t="s">
        <v>28</v>
      </c>
      <c r="D6" s="24" t="s">
        <v>11</v>
      </c>
      <c r="E6" s="23" t="s">
        <v>17</v>
      </c>
      <c r="F6" s="23" t="s">
        <v>29</v>
      </c>
      <c r="G6" s="23" t="s">
        <v>10</v>
      </c>
      <c r="H6" s="23" t="s">
        <v>30</v>
      </c>
      <c r="I6" s="23" t="s">
        <v>29</v>
      </c>
      <c r="J6" s="23" t="s">
        <v>9</v>
      </c>
      <c r="K6" s="26" t="s">
        <v>12</v>
      </c>
      <c r="L6" s="24" t="s">
        <v>27</v>
      </c>
      <c r="M6" s="23" t="s">
        <v>17</v>
      </c>
      <c r="N6" s="23" t="s">
        <v>29</v>
      </c>
      <c r="O6" s="23" t="s">
        <v>21</v>
      </c>
      <c r="P6" s="23" t="s">
        <v>30</v>
      </c>
      <c r="Q6" s="23" t="s">
        <v>29</v>
      </c>
      <c r="R6" s="23" t="s">
        <v>9</v>
      </c>
      <c r="S6" s="26" t="s">
        <v>13</v>
      </c>
      <c r="T6" s="25" t="s">
        <v>36</v>
      </c>
      <c r="U6" s="25" t="s">
        <v>38</v>
      </c>
      <c r="V6" s="24" t="s">
        <v>11</v>
      </c>
      <c r="W6" s="23" t="s">
        <v>17</v>
      </c>
      <c r="X6" s="23" t="s">
        <v>29</v>
      </c>
      <c r="Y6" s="23" t="s">
        <v>10</v>
      </c>
      <c r="Z6" s="23" t="s">
        <v>30</v>
      </c>
      <c r="AA6" s="23" t="s">
        <v>29</v>
      </c>
      <c r="AB6" s="23" t="s">
        <v>9</v>
      </c>
      <c r="AC6" s="26" t="s">
        <v>12</v>
      </c>
      <c r="AD6" s="149" t="s">
        <v>21</v>
      </c>
      <c r="AE6" s="150" t="s">
        <v>21</v>
      </c>
      <c r="AF6" s="151"/>
      <c r="AG6" s="24" t="s">
        <v>19</v>
      </c>
      <c r="AH6" s="23" t="s">
        <v>24</v>
      </c>
      <c r="AI6" s="23" t="s">
        <v>23</v>
      </c>
      <c r="AJ6" s="26" t="s">
        <v>9</v>
      </c>
      <c r="AK6" s="23" t="s">
        <v>14</v>
      </c>
      <c r="AL6" s="24" t="s">
        <v>24</v>
      </c>
      <c r="AM6" s="26" t="s">
        <v>9</v>
      </c>
      <c r="AN6" s="20" t="s">
        <v>123</v>
      </c>
      <c r="AO6" s="21" t="s">
        <v>24</v>
      </c>
      <c r="AP6" s="22" t="s">
        <v>124</v>
      </c>
      <c r="AQ6" s="24" t="s">
        <v>126</v>
      </c>
      <c r="AR6" s="23" t="s">
        <v>127</v>
      </c>
      <c r="AS6" s="23" t="s">
        <v>128</v>
      </c>
      <c r="AT6" s="23" t="s">
        <v>129</v>
      </c>
      <c r="AU6" s="26" t="s">
        <v>130</v>
      </c>
      <c r="AV6" s="23" t="s">
        <v>25</v>
      </c>
      <c r="AW6" s="26" t="s">
        <v>9</v>
      </c>
      <c r="AY6" s="182"/>
      <c r="AZ6" s="257">
        <f>+'Datos Biyemas'!AT8</f>
        <v>0</v>
      </c>
      <c r="BA6" s="311"/>
      <c r="BB6" s="313"/>
      <c r="BC6" s="311"/>
      <c r="BD6" s="313"/>
      <c r="BE6" s="290"/>
      <c r="BF6" s="290"/>
      <c r="BG6" s="290"/>
      <c r="BH6" s="290"/>
      <c r="BI6" s="295"/>
      <c r="BJ6" s="216">
        <f>+BK6+BL6+BM6+BN6</f>
        <v>0</v>
      </c>
      <c r="BK6" s="183">
        <f>+'Datos Biyemas'!BH8</f>
        <v>0</v>
      </c>
      <c r="BL6" s="183">
        <f>+'Datos Biyemas'!BD8</f>
        <v>0</v>
      </c>
      <c r="BM6" s="183">
        <f>+'Datos Biyemas'!BE8</f>
        <v>0</v>
      </c>
      <c r="BN6" s="184">
        <f>+'Datos Biyemas'!BF8</f>
        <v>0</v>
      </c>
    </row>
    <row r="7" spans="1:68" ht="11.25" customHeight="1" x14ac:dyDescent="0.2">
      <c r="A7" s="201" t="str">
        <f>IF(BP7='Datos Biyemas'!A9,'Datos Biyemas'!A9,"")</f>
        <v/>
      </c>
      <c r="B7" s="202" t="str">
        <f>IF(BP7=A7,'Datos Biyemas'!B9,"")</f>
        <v/>
      </c>
      <c r="C7" s="203" t="str">
        <f>IF(BP7=A7,'Datos Biyemas'!C9,"")</f>
        <v/>
      </c>
      <c r="D7" s="111" t="str">
        <f>IF(BP7=A7,VLOOKUP(B7,'Datos Biyemas'!B9:BB46,3,0),"")</f>
        <v/>
      </c>
      <c r="E7" s="107" t="str">
        <f>IF(BP7=A7,VLOOKUP(B7,'Datos Biyemas'!B9:BB46,4,0),"")</f>
        <v/>
      </c>
      <c r="F7" s="107" t="str">
        <f>IF(BP7=A7,VLOOKUP(B7,'Datos Biyemas'!B9:BB46,5,0),"")</f>
        <v/>
      </c>
      <c r="G7" s="107" t="str">
        <f>IF(BP7=A7,VLOOKUP(B7,'Datos Biyemas'!B9:BB46,6,0),"")</f>
        <v/>
      </c>
      <c r="H7" s="108" t="str">
        <f t="shared" ref="H7:H12" si="0">IF(BP7=A7,IF(E7&gt;0,+G7/E7,0),"")</f>
        <v/>
      </c>
      <c r="I7" s="108" t="str">
        <f t="shared" ref="I7:I37" si="1">IF(A7="","",IF(F7&gt;0,+G7/F7,0))</f>
        <v/>
      </c>
      <c r="J7" s="109" t="str">
        <f t="shared" ref="J7:J37" si="2">IF(A7="","",IF(G7&gt;0,+G7/C7,0))</f>
        <v/>
      </c>
      <c r="K7" s="106" t="str">
        <f t="shared" ref="K7:K37" si="3">IF(A7="","",IF(G7&gt;0,+G7/D7,0))</f>
        <v/>
      </c>
      <c r="L7" s="111" t="str">
        <f>IF(A7="","",VLOOKUP(B7,'Datos Biyemas'!B9:BB46,11,0))</f>
        <v/>
      </c>
      <c r="M7" s="107" t="str">
        <f>IF(A7="","",VLOOKUP(B7,'Datos Biyemas'!B9:BB46,12,0))</f>
        <v/>
      </c>
      <c r="N7" s="107" t="str">
        <f>IF(A7="","",VLOOKUP(B7,'Datos Biyemas'!B9:BB46,13,0))</f>
        <v/>
      </c>
      <c r="O7" s="107" t="str">
        <f>IF(A7="","",VLOOKUP(B7,'Datos Biyemas'!B9:BB46,14,0))</f>
        <v/>
      </c>
      <c r="P7" s="108" t="str">
        <f>IF(A7="","",IF(M7&gt;0,+O7/M7,0))</f>
        <v/>
      </c>
      <c r="Q7" s="108" t="str">
        <f>IF(A7="","",IF(N7&gt;0,+O7/N7,0))</f>
        <v/>
      </c>
      <c r="R7" s="109" t="str">
        <f t="shared" ref="R7:R37" si="4">IF(A7="","",IF(C7&gt;0,+O7/C7,0))</f>
        <v/>
      </c>
      <c r="S7" s="106" t="str">
        <f t="shared" ref="S7:S37" si="5">IF(A7="","",IF(C7&gt;0,+O7/L7,0))</f>
        <v/>
      </c>
      <c r="T7" s="110" t="str">
        <f>IF(A7="","",IF(G7&gt;0,(G7+O7)/(D7+L7),0))</f>
        <v/>
      </c>
      <c r="U7" s="110" t="str">
        <f>IF(A7="","",IF(D7&gt;0,+L7+D7,0))</f>
        <v/>
      </c>
      <c r="V7" s="111" t="str">
        <f>IF(A7="","",VLOOKUP(B7,'Datos Biyemas'!B9:BB46,21,0))</f>
        <v/>
      </c>
      <c r="W7" s="107" t="str">
        <f>IF(A7="","",VLOOKUP(B7,'Datos Biyemas'!B9:BB46,22,0))</f>
        <v/>
      </c>
      <c r="X7" s="107" t="str">
        <f>IF(A7="","",VLOOKUP(B7,'Datos Biyemas'!B9:BB46,23,0))</f>
        <v/>
      </c>
      <c r="Y7" s="107" t="str">
        <f>IF(A7="","",VLOOKUP(B7,'Datos Biyemas'!B9:BB46,24,0))</f>
        <v/>
      </c>
      <c r="Z7" s="108" t="str">
        <f>IF(A7="","",IF(W7&gt;0,+Y7/W7,0))</f>
        <v/>
      </c>
      <c r="AA7" s="108" t="str">
        <f>IF(A7="","",IF(X7&gt;0,+Y7/X7,0))</f>
        <v/>
      </c>
      <c r="AB7" s="109" t="str">
        <f>IF(A7="","",IF(Y7&gt;0,+Y7/K7,0))</f>
        <v/>
      </c>
      <c r="AC7" s="106" t="str">
        <f>IF(A7="","",IF(Y7&gt;0,+Y7/V7,0))</f>
        <v/>
      </c>
      <c r="AD7" s="111" t="str">
        <f>IF(A7="","",+G7+O7+Y7)</f>
        <v/>
      </c>
      <c r="AE7" s="107" t="str">
        <f>IF(A7="","",VLOOKUP(B7,'Datos Biyemas'!B9:BB46,30,0))</f>
        <v/>
      </c>
      <c r="AF7" s="106" t="str">
        <f>IF(A7="","",+AD7-AE7)</f>
        <v/>
      </c>
      <c r="AG7" s="107" t="str">
        <f>IF(A7="","",VLOOKUP(B7,'Datos Biyemas'!B9:BB46,32,0))</f>
        <v/>
      </c>
      <c r="AH7" s="107" t="str">
        <f>IF(A7="","",VLOOKUP(B7,'Datos Biyemas'!B9:BB46,33,0))</f>
        <v/>
      </c>
      <c r="AI7" s="107" t="str">
        <f>IF(A7="","",VLOOKUP(B7,'Datos Biyemas'!B9:BB46,34,0))</f>
        <v/>
      </c>
      <c r="AJ7" s="109" t="str">
        <f>IF(A7="","",IF(AI7&gt;0,+AI7/C7,0))</f>
        <v/>
      </c>
      <c r="AK7" s="110" t="str">
        <f>IF(A7="","",+G7+O7+AI7+Y7)</f>
        <v/>
      </c>
      <c r="AL7" s="111" t="str">
        <f>IF(A7="","",VLOOKUP(B7,'Datos Biyemas'!B9:BB46,37,0))</f>
        <v/>
      </c>
      <c r="AM7" s="244" t="str">
        <f>IF(A7="","",IF(AL7&gt;0,+AL7/C7,0))</f>
        <v/>
      </c>
      <c r="AN7" s="261" t="str">
        <f>IF(BP7=A7,'Datos Biyemas'!BL9,"")</f>
        <v/>
      </c>
      <c r="AO7" s="32" t="str">
        <f>IF(A7="","",VLOOKUP(B7,'Datos Biyemas'!B9:BF46,39,0))</f>
        <v/>
      </c>
      <c r="AP7" s="112" t="str">
        <f>IF(A7="","",IF(AN7&gt;0,+AO7/AN7,0))</f>
        <v/>
      </c>
      <c r="AQ7" s="32" t="str">
        <f>IF(A7="","",VLOOKUP(B7,'Datos Biyemas'!B9:BH46,41,0))</f>
        <v/>
      </c>
      <c r="AR7" s="32" t="str">
        <f>IF(A7="","",VLOOKUP(B7,'Datos Biyemas'!B9:BI46,42,0))</f>
        <v/>
      </c>
      <c r="AS7" s="32" t="str">
        <f>IF(A7="","",VLOOKUP(B7,'Datos Biyemas'!B9:BJ46,43,0))</f>
        <v/>
      </c>
      <c r="AT7" s="32" t="str">
        <f>IF(A7="","",VLOOKUP(B7,'Datos Biyemas'!B9:BK46,44,0))</f>
        <v/>
      </c>
      <c r="AU7" s="32" t="str">
        <f>IF(A7="","",VLOOKUP(C7,'Datos Biyemas'!C9:BL46,44,0))</f>
        <v/>
      </c>
      <c r="AV7" s="111" t="str">
        <f>IF(A7="","",+AD7+AI7+AL7+AO7)</f>
        <v/>
      </c>
      <c r="AW7" s="209" t="str">
        <f>IF(A7="","",IF(AV7&gt;0,+AV7/C7,0))</f>
        <v/>
      </c>
      <c r="AY7" s="176" t="str">
        <f>IF(A7="","",+'Datos Biyemas'!AY9)</f>
        <v/>
      </c>
      <c r="AZ7" s="258" t="str">
        <f>IF(A7="","",IF($AZ$6&gt;0,+AY7-$AZ$6,))</f>
        <v/>
      </c>
      <c r="BA7" s="254" t="str">
        <f>IF(A7="","",VLOOKUP(B7,'Datos Biyemas'!B9:BF46,51,0))</f>
        <v/>
      </c>
      <c r="BB7" s="28" t="str">
        <f>IF(A7="","",IF(BA7&gt;0,(C7-BA7)/BA7,100%))</f>
        <v/>
      </c>
      <c r="BC7" s="176" t="str">
        <f>IF(BP7=A7,'Datos Biyemas'!BL9,"")</f>
        <v/>
      </c>
      <c r="BD7" s="181" t="str">
        <f>IF(A7="","",IF(AN7=BC7,0,IF(BC7&gt;0,(AN7-BC7)/BC7,1)))</f>
        <v/>
      </c>
      <c r="BE7" s="29" t="str">
        <f>IF(A7="","",VLOOKUP(B7,'Datos Biyemas'!B9:BF46,53,0))</f>
        <v/>
      </c>
      <c r="BF7" s="28" t="str">
        <f>IF(A7="","",VLOOKUP(B7,'Datos Biyemas'!B9:BF46,54,0))</f>
        <v/>
      </c>
      <c r="BG7" s="28" t="str">
        <f>IF(A7="","",VLOOKUP(B7,'Datos Biyemas'!B9:BF46,55,0))</f>
        <v/>
      </c>
      <c r="BH7" s="28" t="str">
        <f>IF(A7="","",VLOOKUP(B7,'Datos Biyemas'!B9:BF46,51,0))</f>
        <v/>
      </c>
      <c r="BI7" s="28" t="str">
        <f>IF(A7="","",VLOOKUP(B7,'Datos Biyemas'!B9:BF46,52,0))</f>
        <v/>
      </c>
      <c r="BJ7" s="210" t="str">
        <f>IF(A7="","",VLOOKUP(B7,'Datos Biyemas'!B9:BH46,58,0))</f>
        <v/>
      </c>
      <c r="BK7" s="177" t="str">
        <f>IF(A7="","",VLOOKUP(B7,'Datos Biyemas'!B9:BH46,59,0))</f>
        <v/>
      </c>
      <c r="BL7" s="178" t="str">
        <f>IF(A7="","",VLOOKUP(B7,'Datos Biyemas'!B9:BF46,55,0))</f>
        <v/>
      </c>
      <c r="BM7" s="241" t="str">
        <f>IF(A7="","",VLOOKUP(B7,'Datos Biyemas'!B9:BF46,56,0))</f>
        <v/>
      </c>
      <c r="BN7" s="181" t="str">
        <f>IF(A7="","",VLOOKUP(B7,'Datos Biyemas'!B9:BF46,57,0))</f>
        <v/>
      </c>
      <c r="BO7" s="59"/>
      <c r="BP7" s="190" t="s">
        <v>111</v>
      </c>
    </row>
    <row r="8" spans="1:68" ht="11.25" customHeight="1" x14ac:dyDescent="0.2">
      <c r="A8" s="188" t="str">
        <f>IF(BP8='Datos Biyemas'!A10,'Datos Biyemas'!A10,"")</f>
        <v/>
      </c>
      <c r="B8" s="185" t="str">
        <f>IF(BP8=A8,'Datos Biyemas'!B10,"")</f>
        <v/>
      </c>
      <c r="C8" s="186" t="str">
        <f>IF(BP8=A8,'Datos Biyemas'!C10,"")</f>
        <v/>
      </c>
      <c r="D8" s="37" t="str">
        <f>IF(BP8=A8,VLOOKUP(B8,'Datos Biyemas'!B10:BB47,3,0),"")</f>
        <v/>
      </c>
      <c r="E8" s="32" t="str">
        <f>IF(BP8=A8,VLOOKUP(B8,'Datos Biyemas'!B10:BB47,4,0),"")</f>
        <v/>
      </c>
      <c r="F8" s="32" t="str">
        <f>IF(BP8=A8,VLOOKUP(B8,'Datos Biyemas'!B10:BB47,5,0),"")</f>
        <v/>
      </c>
      <c r="G8" s="32" t="str">
        <f>IF(BP8=A8,VLOOKUP(B8,'Datos Biyemas'!B10:BB47,6,0),"")</f>
        <v/>
      </c>
      <c r="H8" s="33" t="str">
        <f t="shared" si="0"/>
        <v/>
      </c>
      <c r="I8" s="33" t="str">
        <f t="shared" si="1"/>
        <v/>
      </c>
      <c r="J8" s="34" t="str">
        <f t="shared" si="2"/>
        <v/>
      </c>
      <c r="K8" s="31" t="str">
        <f t="shared" si="3"/>
        <v/>
      </c>
      <c r="L8" s="37" t="str">
        <f>IF(A8="","",VLOOKUP(B8,'Datos Biyemas'!B10:BB47,11,0))</f>
        <v/>
      </c>
      <c r="M8" s="32" t="str">
        <f>IF(A8="","",VLOOKUP(B8,'Datos Biyemas'!B10:BB47,12,0))</f>
        <v/>
      </c>
      <c r="N8" s="32" t="str">
        <f>IF(A8="","",VLOOKUP(B8,'Datos Biyemas'!B10:BB47,13,0))</f>
        <v/>
      </c>
      <c r="O8" s="32" t="str">
        <f>IF(A8="","",VLOOKUP(B8,'Datos Biyemas'!B10:BB47,14,0))</f>
        <v/>
      </c>
      <c r="P8" s="33" t="str">
        <f t="shared" ref="P8:P37" si="6">IF(A8="","",IF(M8&gt;0,+O8/M8,0))</f>
        <v/>
      </c>
      <c r="Q8" s="33" t="str">
        <f t="shared" ref="Q8:Q36" si="7">IF(A8="","",IF(N8&gt;0,+O8/N8,0))</f>
        <v/>
      </c>
      <c r="R8" s="34" t="str">
        <f t="shared" si="4"/>
        <v/>
      </c>
      <c r="S8" s="31" t="str">
        <f t="shared" si="5"/>
        <v/>
      </c>
      <c r="T8" s="35" t="str">
        <f t="shared" ref="T8:T37" si="8">IF(A8="","",IF(G8&gt;0,(G8+O8)/(D8+L8),0))</f>
        <v/>
      </c>
      <c r="U8" s="35" t="str">
        <f t="shared" ref="U8:U37" si="9">IF(A8="","",IF(D8&gt;0,+L8+D8,0))</f>
        <v/>
      </c>
      <c r="V8" s="37" t="str">
        <f>IF(A8="","",VLOOKUP(B8,'Datos Biyemas'!B10:BB47,21,0))</f>
        <v/>
      </c>
      <c r="W8" s="32" t="str">
        <f>IF(A8="","",VLOOKUP(B8,'Datos Biyemas'!B10:BB47,22,0))</f>
        <v/>
      </c>
      <c r="X8" s="32" t="str">
        <f>IF(A8="","",VLOOKUP(B8,'Datos Biyemas'!B10:BB47,23,0))</f>
        <v/>
      </c>
      <c r="Y8" s="32" t="str">
        <f>IF(A8="","",VLOOKUP(B8,'Datos Biyemas'!B10:BB47,24,0))</f>
        <v/>
      </c>
      <c r="Z8" s="33" t="str">
        <f t="shared" ref="Z8" si="10">IF(A8="","",IF(W8&gt;0,+Y8/W8,0))</f>
        <v/>
      </c>
      <c r="AA8" s="33" t="str">
        <f t="shared" ref="AA8" si="11">IF(A8="","",IF(X8&gt;0,+Y8/X8,0))</f>
        <v/>
      </c>
      <c r="AB8" s="34" t="str">
        <f t="shared" ref="AB8" si="12">IF(A8="","",IF(Y8&gt;0,+Y8/K8,0))</f>
        <v/>
      </c>
      <c r="AC8" s="31" t="str">
        <f t="shared" ref="AC8" si="13">IF(A8="","",IF(Y8&gt;0,+Y8/V8,0))</f>
        <v/>
      </c>
      <c r="AD8" s="37" t="str">
        <f t="shared" ref="AD8:AD37" si="14">IF(A8="","",+G8+O8+Y8)</f>
        <v/>
      </c>
      <c r="AE8" s="32" t="str">
        <f>IF(A8="","",VLOOKUP(B8,'Datos Biyemas'!B10:BB47,30,0))</f>
        <v/>
      </c>
      <c r="AF8" s="31" t="str">
        <f t="shared" ref="AF8:AF37" si="15">IF(A8="","",+AD8-AE8)</f>
        <v/>
      </c>
      <c r="AG8" s="32" t="str">
        <f>IF(A8="","",VLOOKUP(B8,'Datos Biyemas'!B10:BB47,32,0))</f>
        <v/>
      </c>
      <c r="AH8" s="32" t="str">
        <f>IF(A8="","",VLOOKUP(B8,'Datos Biyemas'!B10:BB47,33,0))</f>
        <v/>
      </c>
      <c r="AI8" s="32" t="str">
        <f>IF(A8="","",VLOOKUP(B8,'Datos Biyemas'!B10:BB47,34,0))</f>
        <v/>
      </c>
      <c r="AJ8" s="34" t="str">
        <f t="shared" ref="AJ8" si="16">IF(A8="","",IF(AI8&gt;0,+AI8/C8,0))</f>
        <v/>
      </c>
      <c r="AK8" s="35" t="str">
        <f t="shared" ref="AK8:AK37" si="17">IF(A8="","",+G8+O8+AI8+Y8)</f>
        <v/>
      </c>
      <c r="AL8" s="37" t="str">
        <f>IF(A8="","",VLOOKUP(B8,'Datos Biyemas'!B10:BB47,37,0))</f>
        <v/>
      </c>
      <c r="AM8" s="58" t="str">
        <f t="shared" ref="AM8:AM37" si="18">IF(A8="","",IF(AL8&gt;0,+AL8/C8,0))</f>
        <v/>
      </c>
      <c r="AN8" s="262" t="str">
        <f>IF(BP8=A8,'Datos Biyemas'!BL10,"")</f>
        <v/>
      </c>
      <c r="AO8" s="32" t="str">
        <f>IF(A8="","",VLOOKUP(B8,'Datos Biyemas'!B10:BF47,39,0))</f>
        <v/>
      </c>
      <c r="AP8" s="36" t="str">
        <f>IF(A8="","",IF(AN8&gt;0,+AO8/AN8,0))</f>
        <v/>
      </c>
      <c r="AQ8" s="32" t="str">
        <f>IF(A8="","",VLOOKUP(B8,'Datos Biyemas'!B10:BH47,41,0))</f>
        <v/>
      </c>
      <c r="AR8" s="32" t="str">
        <f>IF(A8="","",VLOOKUP(B8,'Datos Biyemas'!B10:BI47,42,0))</f>
        <v/>
      </c>
      <c r="AS8" s="32" t="str">
        <f>IF(A8="","",VLOOKUP(B8,'Datos Biyemas'!B10:BJ47,43,0))</f>
        <v/>
      </c>
      <c r="AT8" s="32" t="str">
        <f>IF(A8="","",VLOOKUP(B8,'Datos Biyemas'!B10:BK47,44,0))</f>
        <v/>
      </c>
      <c r="AU8" s="58" t="str">
        <f>IF(A8="","",VLOOKUP(C8,'Datos Biyemas'!C10:BL47,44,0))</f>
        <v/>
      </c>
      <c r="AV8" s="37" t="str">
        <f>IF(A8="","",+AD8+AI8+AL8+AO8)</f>
        <v/>
      </c>
      <c r="AW8" s="38" t="str">
        <f t="shared" ref="AW8:AW37" si="19">IF(A8="","",IF(AV8&gt;0,+AV8/C8,0))</f>
        <v/>
      </c>
      <c r="AY8" s="180" t="str">
        <f>IF(A8="","",+'Datos Biyemas'!AY10)</f>
        <v/>
      </c>
      <c r="AZ8" s="258" t="str">
        <f t="shared" ref="AZ8:AZ38" si="20">IF(A8="","",IF($AZ$6&gt;0,+AY8-$AZ$6,))</f>
        <v/>
      </c>
      <c r="BA8" s="255" t="str">
        <f>IF(A8="","",VLOOKUP(B8,'Datos Biyemas'!B10:BF47,51,0))</f>
        <v/>
      </c>
      <c r="BB8" s="28" t="str">
        <f t="shared" ref="BB8:BB38" si="21">IF(A8="","",IF(BA8&gt;0,(C8-BA8)/BA8,100%))</f>
        <v/>
      </c>
      <c r="BC8" s="180" t="str">
        <f>IF(BP8=A8,'Datos Biyemas'!BL10,"")</f>
        <v/>
      </c>
      <c r="BD8" s="181" t="str">
        <f t="shared" ref="BD8:BD29" si="22">IF(A8="","",IF(AN8=BC8,0,IF(BC8&gt;0,(AN8-BC8)/BC8,1)))</f>
        <v/>
      </c>
      <c r="BE8" s="29" t="str">
        <f>IF(A8="","",VLOOKUP(B8,'Datos Biyemas'!B10:BF47,53,0))</f>
        <v/>
      </c>
      <c r="BF8" s="28" t="str">
        <f>IF(A8="","",VLOOKUP(B8,'Datos Biyemas'!B10:BF47,54,0))</f>
        <v/>
      </c>
      <c r="BG8" s="28" t="str">
        <f>IF(A8="","",VLOOKUP(B8,'Datos Biyemas'!B10:BF47,55,0))</f>
        <v/>
      </c>
      <c r="BH8" s="28" t="str">
        <f>IF(A8="","",VLOOKUP(B8,'Datos Biyemas'!B10:BF47,51,0))</f>
        <v/>
      </c>
      <c r="BI8" s="28" t="str">
        <f>IF(A8="","",VLOOKUP(B8,'Datos Biyemas'!B10:BF47,52,0))</f>
        <v/>
      </c>
      <c r="BJ8" s="211" t="str">
        <f>IF(A8="","",VLOOKUP(B8,'Datos Biyemas'!B10:BH47,58,0))</f>
        <v/>
      </c>
      <c r="BK8" s="27" t="str">
        <f>IF(A8="","",VLOOKUP(B8,'Datos Biyemas'!B10:BH47,59,0))</f>
        <v/>
      </c>
      <c r="BL8" s="29" t="str">
        <f>IF(A8="","",VLOOKUP(B8,'Datos Biyemas'!B10:BF47,55,0))</f>
        <v/>
      </c>
      <c r="BM8" s="28" t="str">
        <f>IF(A8="","",VLOOKUP(B8,'Datos Biyemas'!B10:BF47,56,0))</f>
        <v/>
      </c>
      <c r="BN8" s="181" t="str">
        <f>IF(A8="","",VLOOKUP(B8,'Datos Biyemas'!B10:BF47,57,0))</f>
        <v/>
      </c>
      <c r="BO8" s="59"/>
      <c r="BP8" s="190" t="s">
        <v>112</v>
      </c>
    </row>
    <row r="9" spans="1:68" s="30" customFormat="1" ht="11.25" customHeight="1" x14ac:dyDescent="0.2">
      <c r="A9" s="188" t="str">
        <f>IF(BP9='Datos Biyemas'!A11,'Datos Biyemas'!A11,"")</f>
        <v/>
      </c>
      <c r="B9" s="185" t="str">
        <f>IF(BP9=A9,'Datos Biyemas'!B11,"")</f>
        <v/>
      </c>
      <c r="C9" s="186" t="str">
        <f>IF(BP9=A9,'Datos Biyemas'!C11,"")</f>
        <v/>
      </c>
      <c r="D9" s="37" t="str">
        <f>IF(BP9=A9,VLOOKUP(B9,'Datos Biyemas'!B11:BB48,3,0),"")</f>
        <v/>
      </c>
      <c r="E9" s="32" t="str">
        <f>IF(BP9=A9,VLOOKUP(B9,'Datos Biyemas'!B11:BB48,4,0),"")</f>
        <v/>
      </c>
      <c r="F9" s="32" t="str">
        <f>IF(BP9=A9,VLOOKUP(B9,'Datos Biyemas'!B11:BB48,5,0),"")</f>
        <v/>
      </c>
      <c r="G9" s="32" t="str">
        <f>IF(BP9=A9,VLOOKUP(B9,'Datos Biyemas'!B11:BB48,6,0),"")</f>
        <v/>
      </c>
      <c r="H9" s="33" t="str">
        <f t="shared" si="0"/>
        <v/>
      </c>
      <c r="I9" s="33" t="str">
        <f t="shared" si="1"/>
        <v/>
      </c>
      <c r="J9" s="34" t="str">
        <f t="shared" si="2"/>
        <v/>
      </c>
      <c r="K9" s="31" t="str">
        <f t="shared" si="3"/>
        <v/>
      </c>
      <c r="L9" s="37" t="str">
        <f>IF(A9="","",VLOOKUP(B9,'Datos Biyemas'!B11:BB48,11,0))</f>
        <v/>
      </c>
      <c r="M9" s="32" t="str">
        <f>IF(A9="","",VLOOKUP(B9,'Datos Biyemas'!B11:BB48,12,0))</f>
        <v/>
      </c>
      <c r="N9" s="32" t="str">
        <f>IF(A9="","",VLOOKUP(B9,'Datos Biyemas'!B11:BB48,13,0))</f>
        <v/>
      </c>
      <c r="O9" s="32" t="str">
        <f>IF(A9="","",VLOOKUP(B9,'Datos Biyemas'!B11:BB48,14,0))</f>
        <v/>
      </c>
      <c r="P9" s="33" t="str">
        <f t="shared" si="6"/>
        <v/>
      </c>
      <c r="Q9" s="33" t="str">
        <f t="shared" si="7"/>
        <v/>
      </c>
      <c r="R9" s="34" t="str">
        <f t="shared" si="4"/>
        <v/>
      </c>
      <c r="S9" s="31" t="str">
        <f t="shared" si="5"/>
        <v/>
      </c>
      <c r="T9" s="35" t="str">
        <f t="shared" si="8"/>
        <v/>
      </c>
      <c r="U9" s="35" t="str">
        <f t="shared" si="9"/>
        <v/>
      </c>
      <c r="V9" s="37" t="str">
        <f>IF(A9="","",VLOOKUP(B9,'Datos Biyemas'!B11:BB48,21,0))</f>
        <v/>
      </c>
      <c r="W9" s="32" t="str">
        <f>IF(A9="","",VLOOKUP(B9,'Datos Biyemas'!B11:BB48,22,0))</f>
        <v/>
      </c>
      <c r="X9" s="32" t="str">
        <f>IF(A9="","",VLOOKUP(B9,'Datos Biyemas'!B11:BB48,23,0))</f>
        <v/>
      </c>
      <c r="Y9" s="32" t="str">
        <f>IF(A9="","",VLOOKUP(B9,'Datos Biyemas'!B11:BB48,24,0))</f>
        <v/>
      </c>
      <c r="Z9" s="33" t="str">
        <f t="shared" ref="Z9:Z37" si="23">IF(A9="","",IF(W9&gt;0,+Y9/W9,0))</f>
        <v/>
      </c>
      <c r="AA9" s="33" t="str">
        <f t="shared" ref="AA9:AA37" si="24">IF(A9="","",IF(X9&gt;0,+Y9/X9,0))</f>
        <v/>
      </c>
      <c r="AB9" s="34" t="str">
        <f t="shared" ref="AB9:AB37" si="25">IF(A9="","",IF(Y9&gt;0,+Y9/K9,0))</f>
        <v/>
      </c>
      <c r="AC9" s="31" t="str">
        <f t="shared" ref="AC9:AC37" si="26">IF(A9="","",IF(Y9&gt;0,+Y9/V9,0))</f>
        <v/>
      </c>
      <c r="AD9" s="37" t="str">
        <f t="shared" si="14"/>
        <v/>
      </c>
      <c r="AE9" s="32" t="str">
        <f>IF(A9="","",VLOOKUP(B9,'Datos Biyemas'!B11:BB48,30,0))</f>
        <v/>
      </c>
      <c r="AF9" s="31" t="str">
        <f t="shared" si="15"/>
        <v/>
      </c>
      <c r="AG9" s="32" t="str">
        <f>IF(A9="","",VLOOKUP(B9,'Datos Biyemas'!B11:BB48,32,0))</f>
        <v/>
      </c>
      <c r="AH9" s="32" t="str">
        <f>IF(A9="","",VLOOKUP(B9,'Datos Biyemas'!B11:BB48,33,0))</f>
        <v/>
      </c>
      <c r="AI9" s="32" t="str">
        <f>IF(A9="","",VLOOKUP(B9,'Datos Biyemas'!B11:BB48,34,0))</f>
        <v/>
      </c>
      <c r="AJ9" s="34" t="str">
        <f t="shared" ref="AJ9:AJ37" si="27">IF(A9="","",IF(AI9&gt;0,+AI9/C9,0))</f>
        <v/>
      </c>
      <c r="AK9" s="35" t="str">
        <f t="shared" si="17"/>
        <v/>
      </c>
      <c r="AL9" s="37" t="str">
        <f>IF(A9="","",VLOOKUP(B9,'Datos Biyemas'!B11:BB48,37,0))</f>
        <v/>
      </c>
      <c r="AM9" s="58" t="str">
        <f t="shared" si="18"/>
        <v/>
      </c>
      <c r="AN9" s="262" t="str">
        <f>IF(BP9=A9,'Datos Biyemas'!BL11,"")</f>
        <v/>
      </c>
      <c r="AO9" s="32" t="str">
        <f>IF(A9="","",VLOOKUP(B9,'Datos Biyemas'!B11:BF48,39,0))</f>
        <v/>
      </c>
      <c r="AP9" s="36" t="str">
        <f t="shared" ref="AP9:AP37" si="28">IF(A9="","",IF(AN9&gt;0,+AO9/AN9,0))</f>
        <v/>
      </c>
      <c r="AQ9" s="32" t="str">
        <f>IF(A9="","",VLOOKUP(B9,'Datos Biyemas'!B11:BH48,41,0))</f>
        <v/>
      </c>
      <c r="AR9" s="32" t="str">
        <f>IF(A9="","",VLOOKUP(B9,'Datos Biyemas'!B11:BI48,42,0))</f>
        <v/>
      </c>
      <c r="AS9" s="32" t="str">
        <f>IF(A9="","",VLOOKUP(B9,'Datos Biyemas'!B11:BJ48,43,0))</f>
        <v/>
      </c>
      <c r="AT9" s="32" t="str">
        <f>IF(A9="","",VLOOKUP(B9,'Datos Biyemas'!B11:BK48,44,0))</f>
        <v/>
      </c>
      <c r="AU9" s="58" t="str">
        <f>IF(A9="","",VLOOKUP(C9,'Datos Biyemas'!C11:BL48,44,0))</f>
        <v/>
      </c>
      <c r="AV9" s="37" t="str">
        <f t="shared" ref="AV9:AV37" si="29">IF(A9="","",+AD9+AI9+AL9+AO9)</f>
        <v/>
      </c>
      <c r="AW9" s="38" t="str">
        <f>IF(A9="","",IF(AV9&gt;0,+AV9/C9,0))</f>
        <v/>
      </c>
      <c r="AY9" s="180" t="str">
        <f>IF(A9="","",+'Datos Biyemas'!AY11)</f>
        <v/>
      </c>
      <c r="AZ9" s="258" t="str">
        <f t="shared" si="20"/>
        <v/>
      </c>
      <c r="BA9" s="255" t="str">
        <f>IF(A9="","",VLOOKUP(B9,'Datos Biyemas'!B11:BF48,51,0))</f>
        <v/>
      </c>
      <c r="BB9" s="28" t="str">
        <f t="shared" si="21"/>
        <v/>
      </c>
      <c r="BC9" s="180" t="str">
        <f>IF(BP9=A9,'Datos Biyemas'!BL11,"")</f>
        <v/>
      </c>
      <c r="BD9" s="181" t="str">
        <f t="shared" si="22"/>
        <v/>
      </c>
      <c r="BE9" s="29" t="str">
        <f>IF(A9="","",VLOOKUP(B9,'Datos Biyemas'!B11:BF48,53,0))</f>
        <v/>
      </c>
      <c r="BF9" s="28" t="str">
        <f>IF(A9="","",VLOOKUP(B9,'Datos Biyemas'!B11:BF48,54,0))</f>
        <v/>
      </c>
      <c r="BG9" s="28" t="str">
        <f>IF(A9="","",VLOOKUP(B9,'Datos Biyemas'!B11:BF48,55,0))</f>
        <v/>
      </c>
      <c r="BH9" s="28" t="str">
        <f>IF(A9="","",VLOOKUP(B9,'Datos Biyemas'!B11:BF48,51,0))</f>
        <v/>
      </c>
      <c r="BI9" s="28" t="str">
        <f>IF(A9="","",VLOOKUP(B9,'Datos Biyemas'!B11:BF48,52,0))</f>
        <v/>
      </c>
      <c r="BJ9" s="211" t="str">
        <f>IF(A9="","",VLOOKUP(B9,'Datos Biyemas'!B11:BH48,58,0))</f>
        <v/>
      </c>
      <c r="BK9" s="27" t="str">
        <f>IF(A9="","",VLOOKUP(B9,'Datos Biyemas'!B11:BH48,59,0))</f>
        <v/>
      </c>
      <c r="BL9" s="29" t="str">
        <f>IF(A9="","",VLOOKUP(B9,'Datos Biyemas'!B11:BF48,55,0))</f>
        <v/>
      </c>
      <c r="BM9" s="28" t="str">
        <f>IF(A9="","",VLOOKUP(B9,'Datos Biyemas'!B11:BF48,56,0))</f>
        <v/>
      </c>
      <c r="BN9" s="181" t="str">
        <f>IF(A9="","",VLOOKUP(B9,'Datos Biyemas'!B11:BF48,57,0))</f>
        <v/>
      </c>
      <c r="BO9" s="59"/>
      <c r="BP9" s="190" t="s">
        <v>101</v>
      </c>
    </row>
    <row r="10" spans="1:68" s="30" customFormat="1" x14ac:dyDescent="0.2">
      <c r="A10" s="188" t="str">
        <f>IF(BP10='Datos Biyemas'!A12,'Datos Biyemas'!A12,"")</f>
        <v/>
      </c>
      <c r="B10" s="185" t="str">
        <f>IF(BP10=A10,'Datos Biyemas'!B12,"")</f>
        <v/>
      </c>
      <c r="C10" s="186" t="str">
        <f>IF(BP10=A10,'Datos Biyemas'!C12,"")</f>
        <v/>
      </c>
      <c r="D10" s="37" t="str">
        <f>IF(BP10=A10,VLOOKUP(B10,'Datos Biyemas'!B12:BB49,3,0),"")</f>
        <v/>
      </c>
      <c r="E10" s="32" t="str">
        <f>IF(BP10=A10,VLOOKUP(B10,'Datos Biyemas'!B12:BB49,4,0),"")</f>
        <v/>
      </c>
      <c r="F10" s="32" t="str">
        <f>IF(BP10=A10,VLOOKUP(B10,'Datos Biyemas'!B12:BB49,5,0),"")</f>
        <v/>
      </c>
      <c r="G10" s="32" t="str">
        <f>IF(BP10=A10,VLOOKUP(B10,'Datos Biyemas'!B12:BB49,6,0),"")</f>
        <v/>
      </c>
      <c r="H10" s="33" t="str">
        <f t="shared" si="0"/>
        <v/>
      </c>
      <c r="I10" s="33" t="str">
        <f t="shared" si="1"/>
        <v/>
      </c>
      <c r="J10" s="34" t="str">
        <f t="shared" si="2"/>
        <v/>
      </c>
      <c r="K10" s="31" t="str">
        <f t="shared" si="3"/>
        <v/>
      </c>
      <c r="L10" s="37" t="str">
        <f>IF(A10="","",VLOOKUP(B10,'Datos Biyemas'!B12:BB49,11,0))</f>
        <v/>
      </c>
      <c r="M10" s="32" t="str">
        <f>IF(A10="","",VLOOKUP(B10,'Datos Biyemas'!B12:BB49,12,0))</f>
        <v/>
      </c>
      <c r="N10" s="32" t="str">
        <f>IF(A10="","",VLOOKUP(B10,'Datos Biyemas'!B12:BB49,13,0))</f>
        <v/>
      </c>
      <c r="O10" s="32" t="str">
        <f>IF(A10="","",VLOOKUP(B10,'Datos Biyemas'!B12:BB49,14,0))</f>
        <v/>
      </c>
      <c r="P10" s="33" t="str">
        <f t="shared" si="6"/>
        <v/>
      </c>
      <c r="Q10" s="33" t="str">
        <f t="shared" si="7"/>
        <v/>
      </c>
      <c r="R10" s="34" t="str">
        <f t="shared" si="4"/>
        <v/>
      </c>
      <c r="S10" s="31" t="str">
        <f t="shared" si="5"/>
        <v/>
      </c>
      <c r="T10" s="35" t="str">
        <f t="shared" si="8"/>
        <v/>
      </c>
      <c r="U10" s="35" t="str">
        <f t="shared" si="9"/>
        <v/>
      </c>
      <c r="V10" s="37" t="str">
        <f>IF(A10="","",VLOOKUP(B10,'Datos Biyemas'!B12:BB49,21,0))</f>
        <v/>
      </c>
      <c r="W10" s="32" t="str">
        <f>IF(A10="","",VLOOKUP(B10,'Datos Biyemas'!B12:BB49,22,0))</f>
        <v/>
      </c>
      <c r="X10" s="32" t="str">
        <f>IF(A10="","",VLOOKUP(B10,'Datos Biyemas'!B12:BB49,23,0))</f>
        <v/>
      </c>
      <c r="Y10" s="32" t="str">
        <f>IF(A10="","",VLOOKUP(B10,'Datos Biyemas'!B12:BB49,24,0))</f>
        <v/>
      </c>
      <c r="Z10" s="33" t="str">
        <f t="shared" si="23"/>
        <v/>
      </c>
      <c r="AA10" s="33" t="str">
        <f t="shared" si="24"/>
        <v/>
      </c>
      <c r="AB10" s="34" t="str">
        <f t="shared" si="25"/>
        <v/>
      </c>
      <c r="AC10" s="31" t="str">
        <f t="shared" si="26"/>
        <v/>
      </c>
      <c r="AD10" s="37" t="str">
        <f t="shared" si="14"/>
        <v/>
      </c>
      <c r="AE10" s="32" t="str">
        <f>IF(A10="","",VLOOKUP(B10,'Datos Biyemas'!B12:BB49,30,0))</f>
        <v/>
      </c>
      <c r="AF10" s="31" t="str">
        <f t="shared" si="15"/>
        <v/>
      </c>
      <c r="AG10" s="32" t="str">
        <f>IF(A10="","",VLOOKUP(B10,'Datos Biyemas'!B12:BB49,32,0))</f>
        <v/>
      </c>
      <c r="AH10" s="32" t="str">
        <f>IF(A10="","",VLOOKUP(B10,'Datos Biyemas'!B12:BB49,33,0))</f>
        <v/>
      </c>
      <c r="AI10" s="32" t="str">
        <f>IF(A10="","",VLOOKUP(B10,'Datos Biyemas'!B12:BB49,34,0))</f>
        <v/>
      </c>
      <c r="AJ10" s="34" t="str">
        <f t="shared" si="27"/>
        <v/>
      </c>
      <c r="AK10" s="35" t="str">
        <f t="shared" si="17"/>
        <v/>
      </c>
      <c r="AL10" s="37" t="str">
        <f>IF(A10="","",VLOOKUP(B10,'Datos Biyemas'!B12:BB49,37,0))</f>
        <v/>
      </c>
      <c r="AM10" s="58" t="str">
        <f t="shared" si="18"/>
        <v/>
      </c>
      <c r="AN10" s="262" t="str">
        <f>IF(BP10=A10,'Datos Biyemas'!BL12,"")</f>
        <v/>
      </c>
      <c r="AO10" s="32" t="str">
        <f>IF(A10="","",VLOOKUP(B10,'Datos Biyemas'!B12:BF49,39,0))</f>
        <v/>
      </c>
      <c r="AP10" s="36" t="str">
        <f>IF(A10="","",IF(AN10&gt;0,+AO10/AN10,0))</f>
        <v/>
      </c>
      <c r="AQ10" s="32" t="str">
        <f>IF(A10="","",VLOOKUP(B10,'Datos Biyemas'!B12:BH49,41,0))</f>
        <v/>
      </c>
      <c r="AR10" s="32" t="str">
        <f>IF(A10="","",VLOOKUP(B10,'Datos Biyemas'!B12:BI49,42,0))</f>
        <v/>
      </c>
      <c r="AS10" s="32" t="str">
        <f>IF(A10="","",VLOOKUP(B10,'Datos Biyemas'!B12:BJ49,43,0))</f>
        <v/>
      </c>
      <c r="AT10" s="32" t="str">
        <f>IF(A10="","",VLOOKUP(B10,'Datos Biyemas'!B12:BK49,44,0))</f>
        <v/>
      </c>
      <c r="AU10" s="58" t="str">
        <f>IF(A10="","",VLOOKUP(C10,'Datos Biyemas'!C12:BL49,44,0))</f>
        <v/>
      </c>
      <c r="AV10" s="37" t="str">
        <f t="shared" si="29"/>
        <v/>
      </c>
      <c r="AW10" s="38" t="str">
        <f t="shared" si="19"/>
        <v/>
      </c>
      <c r="AY10" s="180" t="str">
        <f>IF(A10="","",+'Datos Biyemas'!AY12)</f>
        <v/>
      </c>
      <c r="AZ10" s="258" t="str">
        <f t="shared" si="20"/>
        <v/>
      </c>
      <c r="BA10" s="255" t="str">
        <f>IF(A10="","",VLOOKUP(B10,'Datos Biyemas'!B12:BF49,51,0))</f>
        <v/>
      </c>
      <c r="BB10" s="28" t="str">
        <f t="shared" si="21"/>
        <v/>
      </c>
      <c r="BC10" s="180" t="str">
        <f>IF(BP10=A10,'Datos Biyemas'!BL12,"")</f>
        <v/>
      </c>
      <c r="BD10" s="181" t="str">
        <f t="shared" si="22"/>
        <v/>
      </c>
      <c r="BE10" s="29" t="str">
        <f>IF(A10="","",VLOOKUP(B10,'Datos Biyemas'!B12:BF49,53,0))</f>
        <v/>
      </c>
      <c r="BF10" s="28" t="str">
        <f>IF(A10="","",VLOOKUP(B10,'Datos Biyemas'!B12:BF49,54,0))</f>
        <v/>
      </c>
      <c r="BG10" s="28" t="str">
        <f>IF(A10="","",VLOOKUP(B10,'Datos Biyemas'!B12:BF49,55,0))</f>
        <v/>
      </c>
      <c r="BH10" s="28" t="str">
        <f>IF(A10="","",VLOOKUP(B10,'Datos Biyemas'!B12:BF49,51,0))</f>
        <v/>
      </c>
      <c r="BI10" s="28" t="str">
        <f>IF(A10="","",VLOOKUP(B10,'Datos Biyemas'!B12:BF49,52,0))</f>
        <v/>
      </c>
      <c r="BJ10" s="211" t="str">
        <f>IF(A10="","",VLOOKUP(B10,'Datos Biyemas'!B12:BH49,58,0))</f>
        <v/>
      </c>
      <c r="BK10" s="27" t="str">
        <f>IF(A10="","",VLOOKUP(B10,'Datos Biyemas'!B12:BH49,59,0))</f>
        <v/>
      </c>
      <c r="BL10" s="29" t="str">
        <f>IF(A10="","",VLOOKUP(B10,'Datos Biyemas'!B12:BF49,55,0))</f>
        <v/>
      </c>
      <c r="BM10" s="28" t="str">
        <f>IF(A10="","",VLOOKUP(B10,'Datos Biyemas'!B12:BF49,56,0))</f>
        <v/>
      </c>
      <c r="BN10" s="181" t="str">
        <f>IF(A10="","",VLOOKUP(B10,'Datos Biyemas'!B12:BF49,57,0))</f>
        <v/>
      </c>
      <c r="BO10" s="59"/>
      <c r="BP10" s="190" t="s">
        <v>102</v>
      </c>
    </row>
    <row r="11" spans="1:68" s="30" customFormat="1" x14ac:dyDescent="0.2">
      <c r="A11" s="188" t="str">
        <f>IF(BP11='Datos Biyemas'!A13,'Datos Biyemas'!A13,"")</f>
        <v/>
      </c>
      <c r="B11" s="185" t="str">
        <f>IF(BP11=A11,'Datos Biyemas'!B13,"")</f>
        <v/>
      </c>
      <c r="C11" s="186" t="str">
        <f>IF(BP11=A11,'Datos Biyemas'!C13,"")</f>
        <v/>
      </c>
      <c r="D11" s="37" t="str">
        <f>IF(BP11=A11,VLOOKUP(B11,'Datos Biyemas'!B13:BB50,3,0),"")</f>
        <v/>
      </c>
      <c r="E11" s="32" t="str">
        <f>IF(BP11=A11,VLOOKUP(B11,'Datos Biyemas'!B13:BB50,4,0),"")</f>
        <v/>
      </c>
      <c r="F11" s="32" t="str">
        <f>IF(BP11=A11,VLOOKUP(B11,'Datos Biyemas'!B13:BB50,5,0),"")</f>
        <v/>
      </c>
      <c r="G11" s="32" t="str">
        <f>IF(BP11=A11,VLOOKUP(B11,'Datos Biyemas'!B13:BB50,6,0),"")</f>
        <v/>
      </c>
      <c r="H11" s="33" t="str">
        <f t="shared" si="0"/>
        <v/>
      </c>
      <c r="I11" s="33" t="str">
        <f t="shared" si="1"/>
        <v/>
      </c>
      <c r="J11" s="34" t="str">
        <f t="shared" si="2"/>
        <v/>
      </c>
      <c r="K11" s="31" t="str">
        <f t="shared" si="3"/>
        <v/>
      </c>
      <c r="L11" s="37" t="str">
        <f>IF(A11="","",VLOOKUP(B11,'Datos Biyemas'!B13:BB50,11,0))</f>
        <v/>
      </c>
      <c r="M11" s="32" t="str">
        <f>IF(A11="","",VLOOKUP(B11,'Datos Biyemas'!B13:BB50,12,0))</f>
        <v/>
      </c>
      <c r="N11" s="32" t="str">
        <f>IF(A11="","",VLOOKUP(B11,'Datos Biyemas'!B13:BB50,13,0))</f>
        <v/>
      </c>
      <c r="O11" s="32" t="str">
        <f>IF(A11="","",VLOOKUP(B11,'Datos Biyemas'!B13:BB50,14,0))</f>
        <v/>
      </c>
      <c r="P11" s="33" t="str">
        <f t="shared" si="6"/>
        <v/>
      </c>
      <c r="Q11" s="33" t="str">
        <f t="shared" si="7"/>
        <v/>
      </c>
      <c r="R11" s="34" t="str">
        <f t="shared" si="4"/>
        <v/>
      </c>
      <c r="S11" s="31" t="str">
        <f t="shared" si="5"/>
        <v/>
      </c>
      <c r="T11" s="35" t="str">
        <f t="shared" si="8"/>
        <v/>
      </c>
      <c r="U11" s="35" t="str">
        <f t="shared" si="9"/>
        <v/>
      </c>
      <c r="V11" s="37" t="str">
        <f>IF(A11="","",VLOOKUP(B11,'Datos Biyemas'!B13:BB50,21,0))</f>
        <v/>
      </c>
      <c r="W11" s="32" t="str">
        <f>IF(A11="","",VLOOKUP(B11,'Datos Biyemas'!B13:BB50,22,0))</f>
        <v/>
      </c>
      <c r="X11" s="32" t="str">
        <f>IF(A11="","",VLOOKUP(B11,'Datos Biyemas'!B13:BB50,23,0))</f>
        <v/>
      </c>
      <c r="Y11" s="32" t="str">
        <f>IF(A11="","",VLOOKUP(B11,'Datos Biyemas'!B13:BB50,24,0))</f>
        <v/>
      </c>
      <c r="Z11" s="33" t="str">
        <f t="shared" si="23"/>
        <v/>
      </c>
      <c r="AA11" s="33" t="str">
        <f t="shared" si="24"/>
        <v/>
      </c>
      <c r="AB11" s="34" t="str">
        <f t="shared" si="25"/>
        <v/>
      </c>
      <c r="AC11" s="31" t="str">
        <f t="shared" si="26"/>
        <v/>
      </c>
      <c r="AD11" s="37" t="str">
        <f t="shared" si="14"/>
        <v/>
      </c>
      <c r="AE11" s="32" t="str">
        <f>IF(A11="","",VLOOKUP(B11,'Datos Biyemas'!B13:BB50,30,0))</f>
        <v/>
      </c>
      <c r="AF11" s="31" t="str">
        <f t="shared" si="15"/>
        <v/>
      </c>
      <c r="AG11" s="32" t="str">
        <f>IF(A11="","",VLOOKUP(B11,'Datos Biyemas'!B13:BB50,32,0))</f>
        <v/>
      </c>
      <c r="AH11" s="32" t="str">
        <f>IF(A11="","",VLOOKUP(B11,'Datos Biyemas'!B13:BB50,33,0))</f>
        <v/>
      </c>
      <c r="AI11" s="32" t="str">
        <f>IF(A11="","",VLOOKUP(B11,'Datos Biyemas'!B13:BB50,34,0))</f>
        <v/>
      </c>
      <c r="AJ11" s="34" t="str">
        <f t="shared" si="27"/>
        <v/>
      </c>
      <c r="AK11" s="35" t="str">
        <f t="shared" si="17"/>
        <v/>
      </c>
      <c r="AL11" s="37" t="str">
        <f>IF(A11="","",VLOOKUP(B11,'Datos Biyemas'!B13:BB50,37,0))</f>
        <v/>
      </c>
      <c r="AM11" s="58" t="str">
        <f t="shared" si="18"/>
        <v/>
      </c>
      <c r="AN11" s="262" t="str">
        <f>IF(BP11=A11,'Datos Biyemas'!BL13,"")</f>
        <v/>
      </c>
      <c r="AO11" s="32" t="str">
        <f>IF(A11="","",VLOOKUP(B11,'Datos Biyemas'!B13:BF50,39,0))</f>
        <v/>
      </c>
      <c r="AP11" s="36" t="str">
        <f t="shared" si="28"/>
        <v/>
      </c>
      <c r="AQ11" s="32" t="str">
        <f>IF(A11="","",VLOOKUP(B11,'Datos Biyemas'!B13:BH50,41,0))</f>
        <v/>
      </c>
      <c r="AR11" s="32" t="str">
        <f>IF(A11="","",VLOOKUP(B11,'Datos Biyemas'!B13:BI50,42,0))</f>
        <v/>
      </c>
      <c r="AS11" s="32" t="str">
        <f>IF(A11="","",VLOOKUP(B11,'Datos Biyemas'!B13:BJ50,43,0))</f>
        <v/>
      </c>
      <c r="AT11" s="32" t="str">
        <f>IF(A11="","",VLOOKUP(B11,'Datos Biyemas'!B13:BK50,44,0))</f>
        <v/>
      </c>
      <c r="AU11" s="58" t="str">
        <f>IF(A11="","",VLOOKUP(C11,'Datos Biyemas'!C13:BL50,44,0))</f>
        <v/>
      </c>
      <c r="AV11" s="37" t="str">
        <f t="shared" si="29"/>
        <v/>
      </c>
      <c r="AW11" s="38" t="str">
        <f t="shared" si="19"/>
        <v/>
      </c>
      <c r="AY11" s="180" t="str">
        <f>IF(A11="","",+'Datos Biyemas'!AY13)</f>
        <v/>
      </c>
      <c r="AZ11" s="258" t="str">
        <f t="shared" si="20"/>
        <v/>
      </c>
      <c r="BA11" s="255" t="str">
        <f>IF(A11="","",VLOOKUP(B11,'Datos Biyemas'!B13:BF50,51,0))</f>
        <v/>
      </c>
      <c r="BB11" s="28" t="str">
        <f t="shared" si="21"/>
        <v/>
      </c>
      <c r="BC11" s="180" t="str">
        <f>IF(BP11=A11,'Datos Biyemas'!BL13,"")</f>
        <v/>
      </c>
      <c r="BD11" s="181" t="str">
        <f t="shared" si="22"/>
        <v/>
      </c>
      <c r="BE11" s="29" t="str">
        <f>IF(A11="","",VLOOKUP(B11,'Datos Biyemas'!B13:BF50,53,0))</f>
        <v/>
      </c>
      <c r="BF11" s="28" t="str">
        <f>IF(A11="","",VLOOKUP(B11,'Datos Biyemas'!B13:BF50,54,0))</f>
        <v/>
      </c>
      <c r="BG11" s="28" t="str">
        <f>IF(A11="","",VLOOKUP(B11,'Datos Biyemas'!B13:BF50,55,0))</f>
        <v/>
      </c>
      <c r="BH11" s="28" t="str">
        <f>IF(A11="","",VLOOKUP(B11,'Datos Biyemas'!B13:BF50,51,0))</f>
        <v/>
      </c>
      <c r="BI11" s="28" t="str">
        <f>IF(A11="","",VLOOKUP(B11,'Datos Biyemas'!B13:BF50,52,0))</f>
        <v/>
      </c>
      <c r="BJ11" s="211" t="str">
        <f>IF(A11="","",VLOOKUP(B11,'Datos Biyemas'!B13:BH50,58,0))</f>
        <v/>
      </c>
      <c r="BK11" s="27" t="str">
        <f>IF(A11="","",VLOOKUP(B11,'Datos Biyemas'!B13:BH50,59,0))</f>
        <v/>
      </c>
      <c r="BL11" s="29" t="str">
        <f>IF(A11="","",VLOOKUP(B11,'Datos Biyemas'!B13:BF50,55,0))</f>
        <v/>
      </c>
      <c r="BM11" s="28" t="str">
        <f>IF(A11="","",VLOOKUP(B11,'Datos Biyemas'!B13:BF50,56,0))</f>
        <v/>
      </c>
      <c r="BN11" s="181" t="str">
        <f>IF(A11="","",VLOOKUP(B11,'Datos Biyemas'!B13:BF50,57,0))</f>
        <v/>
      </c>
      <c r="BO11" s="59"/>
      <c r="BP11" s="190" t="s">
        <v>103</v>
      </c>
    </row>
    <row r="12" spans="1:68" s="30" customFormat="1" x14ac:dyDescent="0.2">
      <c r="A12" s="188" t="str">
        <f>IF(BP12='Datos Biyemas'!A14,'Datos Biyemas'!A14,"")</f>
        <v/>
      </c>
      <c r="B12" s="185" t="str">
        <f>IF(BP12=A12,'Datos Biyemas'!B14,"")</f>
        <v/>
      </c>
      <c r="C12" s="186" t="str">
        <f>IF(BP12=A12,'Datos Biyemas'!C14,"")</f>
        <v/>
      </c>
      <c r="D12" s="37" t="str">
        <f>IF(BP12=A12,VLOOKUP(B12,'Datos Biyemas'!B14:BB51,3,0),"")</f>
        <v/>
      </c>
      <c r="E12" s="32" t="str">
        <f>IF(BP12=A12,VLOOKUP(B12,'Datos Biyemas'!B14:BB51,4,0),"")</f>
        <v/>
      </c>
      <c r="F12" s="32" t="str">
        <f>IF(BP12=A12,VLOOKUP(B12,'Datos Biyemas'!B14:BB51,5,0),"")</f>
        <v/>
      </c>
      <c r="G12" s="32" t="str">
        <f>IF(BP12=A12,VLOOKUP(B12,'Datos Biyemas'!B14:BB51,6,0),"")</f>
        <v/>
      </c>
      <c r="H12" s="33" t="str">
        <f t="shared" si="0"/>
        <v/>
      </c>
      <c r="I12" s="33" t="str">
        <f t="shared" si="1"/>
        <v/>
      </c>
      <c r="J12" s="34" t="str">
        <f t="shared" si="2"/>
        <v/>
      </c>
      <c r="K12" s="31" t="str">
        <f t="shared" si="3"/>
        <v/>
      </c>
      <c r="L12" s="37" t="str">
        <f>IF(A12="","",VLOOKUP(B12,'Datos Biyemas'!B14:BB51,11,0))</f>
        <v/>
      </c>
      <c r="M12" s="32" t="str">
        <f>IF(A12="","",VLOOKUP(B12,'Datos Biyemas'!B14:BB51,12,0))</f>
        <v/>
      </c>
      <c r="N12" s="32" t="str">
        <f>IF(A12="","",VLOOKUP(B12,'Datos Biyemas'!B14:BB51,13,0))</f>
        <v/>
      </c>
      <c r="O12" s="32" t="str">
        <f>IF(A12="","",VLOOKUP(B12,'Datos Biyemas'!B14:BB51,14,0))</f>
        <v/>
      </c>
      <c r="P12" s="33" t="str">
        <f t="shared" si="6"/>
        <v/>
      </c>
      <c r="Q12" s="33" t="str">
        <f t="shared" si="7"/>
        <v/>
      </c>
      <c r="R12" s="34" t="str">
        <f t="shared" si="4"/>
        <v/>
      </c>
      <c r="S12" s="31" t="str">
        <f t="shared" si="5"/>
        <v/>
      </c>
      <c r="T12" s="35" t="str">
        <f t="shared" si="8"/>
        <v/>
      </c>
      <c r="U12" s="35" t="str">
        <f t="shared" si="9"/>
        <v/>
      </c>
      <c r="V12" s="37" t="str">
        <f>IF(A12="","",VLOOKUP(B12,'Datos Biyemas'!B14:BB51,21,0))</f>
        <v/>
      </c>
      <c r="W12" s="32" t="str">
        <f>IF(A12="","",VLOOKUP(B12,'Datos Biyemas'!B14:BB51,22,0))</f>
        <v/>
      </c>
      <c r="X12" s="32" t="str">
        <f>IF(A12="","",VLOOKUP(B12,'Datos Biyemas'!B14:BB51,23,0))</f>
        <v/>
      </c>
      <c r="Y12" s="32" t="str">
        <f>IF(A12="","",VLOOKUP(B12,'Datos Biyemas'!B14:BB51,24,0))</f>
        <v/>
      </c>
      <c r="Z12" s="33" t="str">
        <f t="shared" si="23"/>
        <v/>
      </c>
      <c r="AA12" s="33" t="str">
        <f t="shared" si="24"/>
        <v/>
      </c>
      <c r="AB12" s="34" t="str">
        <f t="shared" si="25"/>
        <v/>
      </c>
      <c r="AC12" s="31" t="str">
        <f t="shared" si="26"/>
        <v/>
      </c>
      <c r="AD12" s="37" t="str">
        <f t="shared" si="14"/>
        <v/>
      </c>
      <c r="AE12" s="32" t="str">
        <f>IF(A12="","",VLOOKUP(B12,'Datos Biyemas'!B14:BB51,30,0))</f>
        <v/>
      </c>
      <c r="AF12" s="31" t="str">
        <f t="shared" si="15"/>
        <v/>
      </c>
      <c r="AG12" s="32" t="str">
        <f>IF(A12="","",VLOOKUP(B12,'Datos Biyemas'!B14:BB51,32,0))</f>
        <v/>
      </c>
      <c r="AH12" s="32" t="str">
        <f>IF(A12="","",VLOOKUP(B12,'Datos Biyemas'!B14:BB51,33,0))</f>
        <v/>
      </c>
      <c r="AI12" s="32" t="str">
        <f>IF(A12="","",VLOOKUP(B12,'Datos Biyemas'!B14:BB51,34,0))</f>
        <v/>
      </c>
      <c r="AJ12" s="34" t="str">
        <f t="shared" si="27"/>
        <v/>
      </c>
      <c r="AK12" s="35" t="str">
        <f t="shared" si="17"/>
        <v/>
      </c>
      <c r="AL12" s="37" t="str">
        <f>IF(A12="","",VLOOKUP(B12,'Datos Biyemas'!B14:BB51,37,0))</f>
        <v/>
      </c>
      <c r="AM12" s="58" t="str">
        <f t="shared" si="18"/>
        <v/>
      </c>
      <c r="AN12" s="262" t="str">
        <f>IF(BP12=A12,'Datos Biyemas'!BL14,"")</f>
        <v/>
      </c>
      <c r="AO12" s="32" t="str">
        <f>IF(A12="","",VLOOKUP(B12,'Datos Biyemas'!B14:BF51,39,0))</f>
        <v/>
      </c>
      <c r="AP12" s="36" t="str">
        <f t="shared" si="28"/>
        <v/>
      </c>
      <c r="AQ12" s="32" t="str">
        <f>IF(A12="","",VLOOKUP(B12,'Datos Biyemas'!B14:BH51,41,0))</f>
        <v/>
      </c>
      <c r="AR12" s="32" t="str">
        <f>IF(A12="","",VLOOKUP(B12,'Datos Biyemas'!B14:BI51,42,0))</f>
        <v/>
      </c>
      <c r="AS12" s="32" t="str">
        <f>IF(A12="","",VLOOKUP(B12,'Datos Biyemas'!B14:BJ51,43,0))</f>
        <v/>
      </c>
      <c r="AT12" s="32" t="str">
        <f>IF(A12="","",VLOOKUP(B12,'Datos Biyemas'!B14:BK51,44,0))</f>
        <v/>
      </c>
      <c r="AU12" s="58" t="str">
        <f>IF(A12="","",VLOOKUP(C12,'Datos Biyemas'!C14:BL51,44,0))</f>
        <v/>
      </c>
      <c r="AV12" s="37" t="str">
        <f t="shared" si="29"/>
        <v/>
      </c>
      <c r="AW12" s="38" t="str">
        <f t="shared" si="19"/>
        <v/>
      </c>
      <c r="AY12" s="180" t="str">
        <f>IF(A12="","",+'Datos Biyemas'!AY14)</f>
        <v/>
      </c>
      <c r="AZ12" s="258" t="str">
        <f t="shared" si="20"/>
        <v/>
      </c>
      <c r="BA12" s="255" t="str">
        <f>IF(A12="","",VLOOKUP(B12,'Datos Biyemas'!B14:BF51,51,0))</f>
        <v/>
      </c>
      <c r="BB12" s="28" t="str">
        <f t="shared" si="21"/>
        <v/>
      </c>
      <c r="BC12" s="180" t="str">
        <f>IF(BP12=A12,'Datos Biyemas'!BL14,"")</f>
        <v/>
      </c>
      <c r="BD12" s="181" t="str">
        <f t="shared" si="22"/>
        <v/>
      </c>
      <c r="BE12" s="29" t="str">
        <f>IF(A12="","",VLOOKUP(B12,'Datos Biyemas'!B14:BF51,53,0))</f>
        <v/>
      </c>
      <c r="BF12" s="28" t="str">
        <f>IF(A12="","",VLOOKUP(B12,'Datos Biyemas'!B14:BF51,54,0))</f>
        <v/>
      </c>
      <c r="BG12" s="28" t="str">
        <f>IF(A12="","",VLOOKUP(B12,'Datos Biyemas'!B14:BF51,55,0))</f>
        <v/>
      </c>
      <c r="BH12" s="28" t="str">
        <f>IF(A12="","",VLOOKUP(B12,'Datos Biyemas'!B14:BF51,51,0))</f>
        <v/>
      </c>
      <c r="BI12" s="28" t="str">
        <f>IF(A12="","",VLOOKUP(B12,'Datos Biyemas'!B14:BF51,52,0))</f>
        <v/>
      </c>
      <c r="BJ12" s="211" t="str">
        <f>IF(A12="","",VLOOKUP(B12,'Datos Biyemas'!B14:BH51,58,0))</f>
        <v/>
      </c>
      <c r="BK12" s="27" t="str">
        <f>IF(A12="","",VLOOKUP(B12,'Datos Biyemas'!B14:BH51,59,0))</f>
        <v/>
      </c>
      <c r="BL12" s="29" t="str">
        <f>IF(A12="","",VLOOKUP(B12,'Datos Biyemas'!B14:BF51,55,0))</f>
        <v/>
      </c>
      <c r="BM12" s="28" t="str">
        <f>IF(A12="","",VLOOKUP(B12,'Datos Biyemas'!B14:BF51,56,0))</f>
        <v/>
      </c>
      <c r="BN12" s="181" t="str">
        <f>IF(A12="","",VLOOKUP(B12,'Datos Biyemas'!B14:BF51,57,0))</f>
        <v/>
      </c>
      <c r="BO12" s="59"/>
      <c r="BP12" s="190" t="s">
        <v>104</v>
      </c>
    </row>
    <row r="13" spans="1:68" s="30" customFormat="1" ht="11.25" customHeight="1" x14ac:dyDescent="0.2">
      <c r="A13" s="188" t="str">
        <f>IF(BP13='Datos Biyemas'!A15,'Datos Biyemas'!A15,"")</f>
        <v/>
      </c>
      <c r="B13" s="185" t="str">
        <f>IF(BP13=A13,'Datos Biyemas'!B15,"")</f>
        <v/>
      </c>
      <c r="C13" s="186" t="str">
        <f>IF(BP13=A13,'Datos Biyemas'!C15,"")</f>
        <v/>
      </c>
      <c r="D13" s="37" t="str">
        <f>IF(BP13=A13,VLOOKUP(B13,'Datos Biyemas'!B15:BB52,3,0),"")</f>
        <v/>
      </c>
      <c r="E13" s="32" t="str">
        <f>IF(BP13=A13,VLOOKUP(B13,'Datos Biyemas'!B15:BB52,4,0),"")</f>
        <v/>
      </c>
      <c r="F13" s="32" t="str">
        <f>IF(BP13=A13,VLOOKUP(B13,'Datos Biyemas'!B15:BB52,5,0),"")</f>
        <v/>
      </c>
      <c r="G13" s="32" t="str">
        <f>IF(BP13=A13,VLOOKUP(B13,'Datos Biyemas'!B15:BB52,6,0),"")</f>
        <v/>
      </c>
      <c r="H13" s="33" t="str">
        <f t="shared" ref="H13:H36" si="30">IF(BP13=A13,IF(E13&gt;0,+G13/E13,0),"")</f>
        <v/>
      </c>
      <c r="I13" s="33" t="str">
        <f t="shared" si="1"/>
        <v/>
      </c>
      <c r="J13" s="34" t="str">
        <f t="shared" si="2"/>
        <v/>
      </c>
      <c r="K13" s="31" t="str">
        <f t="shared" si="3"/>
        <v/>
      </c>
      <c r="L13" s="37" t="str">
        <f>IF(A13="","",VLOOKUP(B13,'Datos Biyemas'!B15:BB52,11,0))</f>
        <v/>
      </c>
      <c r="M13" s="32" t="str">
        <f>IF(A13="","",VLOOKUP(B13,'Datos Biyemas'!B15:BB52,12,0))</f>
        <v/>
      </c>
      <c r="N13" s="32" t="str">
        <f>IF(A13="","",VLOOKUP(B13,'Datos Biyemas'!B15:BB52,13,0))</f>
        <v/>
      </c>
      <c r="O13" s="32" t="str">
        <f>IF(A13="","",VLOOKUP(B13,'Datos Biyemas'!B15:BB52,14,0))</f>
        <v/>
      </c>
      <c r="P13" s="33" t="str">
        <f t="shared" si="6"/>
        <v/>
      </c>
      <c r="Q13" s="33" t="str">
        <f t="shared" si="7"/>
        <v/>
      </c>
      <c r="R13" s="34" t="str">
        <f t="shared" si="4"/>
        <v/>
      </c>
      <c r="S13" s="31" t="str">
        <f t="shared" si="5"/>
        <v/>
      </c>
      <c r="T13" s="35" t="str">
        <f t="shared" si="8"/>
        <v/>
      </c>
      <c r="U13" s="35" t="str">
        <f t="shared" si="9"/>
        <v/>
      </c>
      <c r="V13" s="37" t="str">
        <f>IF(A13="","",VLOOKUP(B13,'Datos Biyemas'!B15:BB52,21,0))</f>
        <v/>
      </c>
      <c r="W13" s="32" t="str">
        <f>IF(A13="","",VLOOKUP(B13,'Datos Biyemas'!B15:BB52,22,0))</f>
        <v/>
      </c>
      <c r="X13" s="32" t="str">
        <f>IF(A13="","",VLOOKUP(B13,'Datos Biyemas'!B15:BB52,23,0))</f>
        <v/>
      </c>
      <c r="Y13" s="32" t="str">
        <f>IF(A13="","",VLOOKUP(B13,'Datos Biyemas'!B15:BB52,24,0))</f>
        <v/>
      </c>
      <c r="Z13" s="33" t="str">
        <f t="shared" si="23"/>
        <v/>
      </c>
      <c r="AA13" s="33" t="str">
        <f t="shared" si="24"/>
        <v/>
      </c>
      <c r="AB13" s="34" t="str">
        <f t="shared" si="25"/>
        <v/>
      </c>
      <c r="AC13" s="31" t="str">
        <f t="shared" si="26"/>
        <v/>
      </c>
      <c r="AD13" s="37" t="str">
        <f t="shared" si="14"/>
        <v/>
      </c>
      <c r="AE13" s="32" t="str">
        <f>IF(A13="","",VLOOKUP(B13,'Datos Biyemas'!B15:BB52,30,0))</f>
        <v/>
      </c>
      <c r="AF13" s="31" t="str">
        <f t="shared" si="15"/>
        <v/>
      </c>
      <c r="AG13" s="32" t="str">
        <f>IF(A13="","",VLOOKUP(B13,'Datos Biyemas'!B15:BB52,32,0))</f>
        <v/>
      </c>
      <c r="AH13" s="32" t="str">
        <f>IF(A13="","",VLOOKUP(B13,'Datos Biyemas'!B15:BB52,33,0))</f>
        <v/>
      </c>
      <c r="AI13" s="32" t="str">
        <f>IF(A13="","",VLOOKUP(B13,'Datos Biyemas'!B15:BB52,34,0))</f>
        <v/>
      </c>
      <c r="AJ13" s="34" t="str">
        <f t="shared" si="27"/>
        <v/>
      </c>
      <c r="AK13" s="35" t="str">
        <f t="shared" si="17"/>
        <v/>
      </c>
      <c r="AL13" s="37" t="str">
        <f>IF(A13="","",VLOOKUP(B13,'Datos Biyemas'!B15:BB52,37,0))</f>
        <v/>
      </c>
      <c r="AM13" s="58" t="str">
        <f t="shared" si="18"/>
        <v/>
      </c>
      <c r="AN13" s="262" t="str">
        <f>IF(BP13=A13,'Datos Biyemas'!BL15,"")</f>
        <v/>
      </c>
      <c r="AO13" s="32" t="str">
        <f>IF(A13="","",VLOOKUP(B13,'Datos Biyemas'!B15:BF52,39,0))</f>
        <v/>
      </c>
      <c r="AP13" s="36" t="str">
        <f t="shared" si="28"/>
        <v/>
      </c>
      <c r="AQ13" s="32" t="str">
        <f>IF(A13="","",VLOOKUP(B13,'Datos Biyemas'!B15:BH52,41,0))</f>
        <v/>
      </c>
      <c r="AR13" s="32" t="str">
        <f>IF(A13="","",VLOOKUP(B13,'Datos Biyemas'!B15:BI52,42,0))</f>
        <v/>
      </c>
      <c r="AS13" s="32" t="str">
        <f>IF(A13="","",VLOOKUP(B13,'Datos Biyemas'!B15:BJ52,43,0))</f>
        <v/>
      </c>
      <c r="AT13" s="32" t="str">
        <f>IF(A13="","",VLOOKUP(B13,'Datos Biyemas'!B15:BK52,44,0))</f>
        <v/>
      </c>
      <c r="AU13" s="58" t="str">
        <f>IF(A13="","",VLOOKUP(C13,'Datos Biyemas'!C15:BL52,44,0))</f>
        <v/>
      </c>
      <c r="AV13" s="37" t="str">
        <f t="shared" si="29"/>
        <v/>
      </c>
      <c r="AW13" s="38" t="str">
        <f t="shared" si="19"/>
        <v/>
      </c>
      <c r="AY13" s="180" t="str">
        <f>IF(A13="","",+'Datos Biyemas'!AY15)</f>
        <v/>
      </c>
      <c r="AZ13" s="258" t="str">
        <f t="shared" si="20"/>
        <v/>
      </c>
      <c r="BA13" s="255" t="str">
        <f>IF(A13="","",VLOOKUP(B13,'Datos Biyemas'!B15:BF52,51,0))</f>
        <v/>
      </c>
      <c r="BB13" s="28" t="str">
        <f t="shared" si="21"/>
        <v/>
      </c>
      <c r="BC13" s="180" t="str">
        <f>IF(BP13=A13,'Datos Biyemas'!BL15,"")</f>
        <v/>
      </c>
      <c r="BD13" s="181" t="str">
        <f t="shared" si="22"/>
        <v/>
      </c>
      <c r="BE13" s="29" t="str">
        <f>IF(A13="","",VLOOKUP(B13,'Datos Biyemas'!B15:BF52,53,0))</f>
        <v/>
      </c>
      <c r="BF13" s="28" t="str">
        <f>IF(A13="","",VLOOKUP(B13,'Datos Biyemas'!B15:BF52,54,0))</f>
        <v/>
      </c>
      <c r="BG13" s="28" t="str">
        <f>IF(A13="","",VLOOKUP(B13,'Datos Biyemas'!B15:BF52,55,0))</f>
        <v/>
      </c>
      <c r="BH13" s="28" t="str">
        <f>IF(A13="","",VLOOKUP(B13,'Datos Biyemas'!B15:BF52,51,0))</f>
        <v/>
      </c>
      <c r="BI13" s="28" t="str">
        <f>IF(A13="","",VLOOKUP(B13,'Datos Biyemas'!B15:BF52,52,0))</f>
        <v/>
      </c>
      <c r="BJ13" s="211" t="str">
        <f>IF(A13="","",VLOOKUP(B13,'Datos Biyemas'!B15:BH52,58,0))</f>
        <v/>
      </c>
      <c r="BK13" s="27" t="str">
        <f>IF(A13="","",VLOOKUP(B13,'Datos Biyemas'!B15:BH52,59,0))</f>
        <v/>
      </c>
      <c r="BL13" s="29" t="str">
        <f>IF(A13="","",VLOOKUP(B13,'Datos Biyemas'!B15:BF52,55,0))</f>
        <v/>
      </c>
      <c r="BM13" s="28" t="str">
        <f>IF(A13="","",VLOOKUP(B13,'Datos Biyemas'!B15:BF52,56,0))</f>
        <v/>
      </c>
      <c r="BN13" s="181" t="str">
        <f>IF(A13="","",VLOOKUP(B13,'Datos Biyemas'!B15:BF52,57,0))</f>
        <v/>
      </c>
      <c r="BO13" s="59"/>
      <c r="BP13" s="190" t="s">
        <v>105</v>
      </c>
    </row>
    <row r="14" spans="1:68" ht="11.25" customHeight="1" x14ac:dyDescent="0.2">
      <c r="A14" s="188" t="str">
        <f>IF(BP14='Datos Biyemas'!A16,'Datos Biyemas'!A16,"")</f>
        <v/>
      </c>
      <c r="B14" s="185" t="str">
        <f>IF(BP14=A14,'Datos Biyemas'!B16,"")</f>
        <v/>
      </c>
      <c r="C14" s="186" t="str">
        <f>IF(BP14=A14,'Datos Biyemas'!C16,"")</f>
        <v/>
      </c>
      <c r="D14" s="37" t="str">
        <f>IF(BP14=A14,VLOOKUP(B14,'Datos Biyemas'!B16:BB53,3,0),"")</f>
        <v/>
      </c>
      <c r="E14" s="32" t="str">
        <f>IF(BP14=A14,VLOOKUP(B14,'Datos Biyemas'!B16:BB53,4,0),"")</f>
        <v/>
      </c>
      <c r="F14" s="32" t="str">
        <f>IF(BP14=A14,VLOOKUP(B14,'Datos Biyemas'!B16:BB53,5,0),"")</f>
        <v/>
      </c>
      <c r="G14" s="32" t="str">
        <f>IF(BP14=A14,VLOOKUP(B14,'Datos Biyemas'!B16:BB53,6,0),"")</f>
        <v/>
      </c>
      <c r="H14" s="33" t="str">
        <f t="shared" ref="H14:H27" si="31">IF(BP14=A14,IF(E14&gt;0,+G14/E14,0),"")</f>
        <v/>
      </c>
      <c r="I14" s="33" t="str">
        <f t="shared" si="1"/>
        <v/>
      </c>
      <c r="J14" s="34" t="str">
        <f t="shared" si="2"/>
        <v/>
      </c>
      <c r="K14" s="31" t="str">
        <f t="shared" si="3"/>
        <v/>
      </c>
      <c r="L14" s="37" t="str">
        <f>IF(A14="","",VLOOKUP(B14,'Datos Biyemas'!B16:BB53,11,0))</f>
        <v/>
      </c>
      <c r="M14" s="32" t="str">
        <f>IF(A14="","",VLOOKUP(B14,'Datos Biyemas'!B16:BB53,12,0))</f>
        <v/>
      </c>
      <c r="N14" s="32" t="str">
        <f>IF(A14="","",VLOOKUP(B14,'Datos Biyemas'!B16:BB53,13,0))</f>
        <v/>
      </c>
      <c r="O14" s="32" t="str">
        <f>IF(A14="","",VLOOKUP(B14,'Datos Biyemas'!B16:BB53,14,0))</f>
        <v/>
      </c>
      <c r="P14" s="33" t="str">
        <f t="shared" si="6"/>
        <v/>
      </c>
      <c r="Q14" s="33" t="str">
        <f t="shared" si="7"/>
        <v/>
      </c>
      <c r="R14" s="34" t="str">
        <f t="shared" si="4"/>
        <v/>
      </c>
      <c r="S14" s="31" t="str">
        <f t="shared" si="5"/>
        <v/>
      </c>
      <c r="T14" s="35" t="str">
        <f t="shared" si="8"/>
        <v/>
      </c>
      <c r="U14" s="35" t="str">
        <f t="shared" si="9"/>
        <v/>
      </c>
      <c r="V14" s="37" t="str">
        <f>IF(A14="","",VLOOKUP(B14,'Datos Biyemas'!B16:BB53,21,0))</f>
        <v/>
      </c>
      <c r="W14" s="32" t="str">
        <f>IF(A14="","",VLOOKUP(B14,'Datos Biyemas'!B16:BB53,22,0))</f>
        <v/>
      </c>
      <c r="X14" s="32" t="str">
        <f>IF(A14="","",VLOOKUP(B14,'Datos Biyemas'!B16:BB53,23,0))</f>
        <v/>
      </c>
      <c r="Y14" s="32" t="str">
        <f>IF(A14="","",VLOOKUP(B14,'Datos Biyemas'!B16:BB53,24,0))</f>
        <v/>
      </c>
      <c r="Z14" s="33" t="str">
        <f t="shared" si="23"/>
        <v/>
      </c>
      <c r="AA14" s="33" t="str">
        <f t="shared" si="24"/>
        <v/>
      </c>
      <c r="AB14" s="34" t="str">
        <f t="shared" si="25"/>
        <v/>
      </c>
      <c r="AC14" s="31" t="str">
        <f t="shared" si="26"/>
        <v/>
      </c>
      <c r="AD14" s="37" t="str">
        <f t="shared" si="14"/>
        <v/>
      </c>
      <c r="AE14" s="32" t="str">
        <f>IF(A14="","",VLOOKUP(B14,'Datos Biyemas'!B16:BB53,30,0))</f>
        <v/>
      </c>
      <c r="AF14" s="31" t="str">
        <f t="shared" si="15"/>
        <v/>
      </c>
      <c r="AG14" s="32" t="str">
        <f>IF(A14="","",VLOOKUP(B14,'Datos Biyemas'!B16:BB53,32,0))</f>
        <v/>
      </c>
      <c r="AH14" s="32" t="str">
        <f>IF(A14="","",VLOOKUP(B14,'Datos Biyemas'!B16:BB53,33,0))</f>
        <v/>
      </c>
      <c r="AI14" s="32" t="str">
        <f>IF(A14="","",VLOOKUP(B14,'Datos Biyemas'!B16:BB53,34,0))</f>
        <v/>
      </c>
      <c r="AJ14" s="34" t="str">
        <f t="shared" si="27"/>
        <v/>
      </c>
      <c r="AK14" s="35" t="str">
        <f t="shared" si="17"/>
        <v/>
      </c>
      <c r="AL14" s="37" t="str">
        <f>IF(A14="","",VLOOKUP(B14,'Datos Biyemas'!B16:BB53,37,0))</f>
        <v/>
      </c>
      <c r="AM14" s="58" t="str">
        <f t="shared" si="18"/>
        <v/>
      </c>
      <c r="AN14" s="262" t="str">
        <f>IF(BP14=A14,'Datos Biyemas'!BL16,"")</f>
        <v/>
      </c>
      <c r="AO14" s="32" t="str">
        <f>IF(A14="","",VLOOKUP(B14,'Datos Biyemas'!B16:BF53,39,0))</f>
        <v/>
      </c>
      <c r="AP14" s="36" t="str">
        <f t="shared" si="28"/>
        <v/>
      </c>
      <c r="AQ14" s="32" t="str">
        <f>IF(A14="","",VLOOKUP(B14,'Datos Biyemas'!B16:BH53,41,0))</f>
        <v/>
      </c>
      <c r="AR14" s="32" t="str">
        <f>IF(A14="","",VLOOKUP(B14,'Datos Biyemas'!B16:BI53,42,0))</f>
        <v/>
      </c>
      <c r="AS14" s="32" t="str">
        <f>IF(A14="","",VLOOKUP(B14,'Datos Biyemas'!B16:BJ53,43,0))</f>
        <v/>
      </c>
      <c r="AT14" s="32" t="str">
        <f>IF(A14="","",VLOOKUP(B14,'Datos Biyemas'!B16:BK53,44,0))</f>
        <v/>
      </c>
      <c r="AU14" s="58" t="str">
        <f>IF(A14="","",VLOOKUP(C14,'Datos Biyemas'!C16:BL53,44,0))</f>
        <v/>
      </c>
      <c r="AV14" s="37" t="str">
        <f t="shared" si="29"/>
        <v/>
      </c>
      <c r="AW14" s="38" t="str">
        <f t="shared" si="19"/>
        <v/>
      </c>
      <c r="AY14" s="180" t="str">
        <f>IF(A14="","",+'Datos Biyemas'!AY16)</f>
        <v/>
      </c>
      <c r="AZ14" s="258" t="str">
        <f t="shared" si="20"/>
        <v/>
      </c>
      <c r="BA14" s="255" t="str">
        <f>IF(A14="","",VLOOKUP(B14,'Datos Biyemas'!B16:BF53,51,0))</f>
        <v/>
      </c>
      <c r="BB14" s="28" t="str">
        <f t="shared" si="21"/>
        <v/>
      </c>
      <c r="BC14" s="180" t="str">
        <f>IF(BP14=A14,'Datos Biyemas'!BL16,"")</f>
        <v/>
      </c>
      <c r="BD14" s="181" t="str">
        <f t="shared" si="22"/>
        <v/>
      </c>
      <c r="BE14" s="29" t="str">
        <f>IF(A14="","",VLOOKUP(B14,'Datos Biyemas'!B16:BF53,53,0))</f>
        <v/>
      </c>
      <c r="BF14" s="28" t="str">
        <f>IF(A14="","",VLOOKUP(B14,'Datos Biyemas'!B16:BF53,54,0))</f>
        <v/>
      </c>
      <c r="BG14" s="28" t="str">
        <f>IF(A14="","",VLOOKUP(B14,'Datos Biyemas'!B16:BF53,55,0))</f>
        <v/>
      </c>
      <c r="BH14" s="28" t="str">
        <f>IF(A14="","",VLOOKUP(B14,'Datos Biyemas'!B16:BF53,51,0))</f>
        <v/>
      </c>
      <c r="BI14" s="28" t="str">
        <f>IF(A14="","",VLOOKUP(B14,'Datos Biyemas'!B16:BF53,52,0))</f>
        <v/>
      </c>
      <c r="BJ14" s="211" t="str">
        <f>IF(A14="","",VLOOKUP(B14,'Datos Biyemas'!B16:BH53,58,0))</f>
        <v/>
      </c>
      <c r="BK14" s="27" t="str">
        <f>IF(A14="","",VLOOKUP(B14,'Datos Biyemas'!B16:BH53,59,0))</f>
        <v/>
      </c>
      <c r="BL14" s="29" t="str">
        <f>IF(A14="","",VLOOKUP(B14,'Datos Biyemas'!B16:BF53,55,0))</f>
        <v/>
      </c>
      <c r="BM14" s="28" t="str">
        <f>IF(A14="","",VLOOKUP(B14,'Datos Biyemas'!B16:BF53,56,0))</f>
        <v/>
      </c>
      <c r="BN14" s="181" t="str">
        <f>IF(A14="","",VLOOKUP(B14,'Datos Biyemas'!B16:BF53,57,0))</f>
        <v/>
      </c>
      <c r="BO14" s="59"/>
      <c r="BP14" s="190" t="s">
        <v>111</v>
      </c>
    </row>
    <row r="15" spans="1:68" x14ac:dyDescent="0.2">
      <c r="A15" s="188" t="str">
        <f>IF(BP15='Datos Biyemas'!A17,'Datos Biyemas'!A17,"")</f>
        <v/>
      </c>
      <c r="B15" s="185" t="str">
        <f>IF(BP15=A15,'Datos Biyemas'!B17,"")</f>
        <v/>
      </c>
      <c r="C15" s="186" t="str">
        <f>IF(BP15=A15,'Datos Biyemas'!C17,"")</f>
        <v/>
      </c>
      <c r="D15" s="37" t="str">
        <f>IF(BP15=A15,VLOOKUP(B15,'Datos Biyemas'!B17:BB54,3,0),"")</f>
        <v/>
      </c>
      <c r="E15" s="32" t="str">
        <f>IF(BP15=A15,VLOOKUP(B15,'Datos Biyemas'!B17:BB54,4,0),"")</f>
        <v/>
      </c>
      <c r="F15" s="32" t="str">
        <f>IF(BP15=A15,VLOOKUP(B15,'Datos Biyemas'!B17:BB54,5,0),"")</f>
        <v/>
      </c>
      <c r="G15" s="32" t="str">
        <f>IF(BP15=A15,VLOOKUP(B15,'Datos Biyemas'!B17:BB54,6,0),"")</f>
        <v/>
      </c>
      <c r="H15" s="33" t="str">
        <f t="shared" si="31"/>
        <v/>
      </c>
      <c r="I15" s="33" t="str">
        <f t="shared" si="1"/>
        <v/>
      </c>
      <c r="J15" s="34" t="str">
        <f t="shared" si="2"/>
        <v/>
      </c>
      <c r="K15" s="31" t="str">
        <f t="shared" si="3"/>
        <v/>
      </c>
      <c r="L15" s="37" t="str">
        <f>IF(A15="","",VLOOKUP(B15,'Datos Biyemas'!B17:BB54,11,0))</f>
        <v/>
      </c>
      <c r="M15" s="32" t="str">
        <f>IF(A15="","",VLOOKUP(B15,'Datos Biyemas'!B17:BB54,12,0))</f>
        <v/>
      </c>
      <c r="N15" s="32" t="str">
        <f>IF(A15="","",VLOOKUP(B15,'Datos Biyemas'!B17:BB54,13,0))</f>
        <v/>
      </c>
      <c r="O15" s="32" t="str">
        <f>IF(A15="","",VLOOKUP(B15,'Datos Biyemas'!B17:BB54,14,0))</f>
        <v/>
      </c>
      <c r="P15" s="33" t="str">
        <f t="shared" si="6"/>
        <v/>
      </c>
      <c r="Q15" s="33" t="str">
        <f t="shared" si="7"/>
        <v/>
      </c>
      <c r="R15" s="34" t="str">
        <f t="shared" si="4"/>
        <v/>
      </c>
      <c r="S15" s="31" t="str">
        <f t="shared" si="5"/>
        <v/>
      </c>
      <c r="T15" s="35" t="str">
        <f t="shared" si="8"/>
        <v/>
      </c>
      <c r="U15" s="35" t="str">
        <f t="shared" si="9"/>
        <v/>
      </c>
      <c r="V15" s="37" t="str">
        <f>IF(A15="","",VLOOKUP(B15,'Datos Biyemas'!B17:BB54,21,0))</f>
        <v/>
      </c>
      <c r="W15" s="32" t="str">
        <f>IF(A15="","",VLOOKUP(B15,'Datos Biyemas'!B17:BB54,22,0))</f>
        <v/>
      </c>
      <c r="X15" s="32" t="str">
        <f>IF(A15="","",VLOOKUP(B15,'Datos Biyemas'!B17:BB54,23,0))</f>
        <v/>
      </c>
      <c r="Y15" s="32" t="str">
        <f>IF(A15="","",VLOOKUP(B15,'Datos Biyemas'!B17:BB54,24,0))</f>
        <v/>
      </c>
      <c r="Z15" s="33" t="str">
        <f t="shared" si="23"/>
        <v/>
      </c>
      <c r="AA15" s="33" t="str">
        <f t="shared" si="24"/>
        <v/>
      </c>
      <c r="AB15" s="34" t="str">
        <f t="shared" si="25"/>
        <v/>
      </c>
      <c r="AC15" s="31" t="str">
        <f t="shared" si="26"/>
        <v/>
      </c>
      <c r="AD15" s="37" t="str">
        <f t="shared" si="14"/>
        <v/>
      </c>
      <c r="AE15" s="32" t="str">
        <f>IF(A15="","",VLOOKUP(B15,'Datos Biyemas'!B17:BB54,30,0))</f>
        <v/>
      </c>
      <c r="AF15" s="31" t="str">
        <f t="shared" si="15"/>
        <v/>
      </c>
      <c r="AG15" s="32" t="str">
        <f>IF(A15="","",VLOOKUP(B15,'Datos Biyemas'!B17:BB54,32,0))</f>
        <v/>
      </c>
      <c r="AH15" s="32" t="str">
        <f>IF(A15="","",VLOOKUP(B15,'Datos Biyemas'!B17:BB54,33,0))</f>
        <v/>
      </c>
      <c r="AI15" s="32" t="str">
        <f>IF(A15="","",VLOOKUP(B15,'Datos Biyemas'!B17:BB54,34,0))</f>
        <v/>
      </c>
      <c r="AJ15" s="34" t="str">
        <f t="shared" si="27"/>
        <v/>
      </c>
      <c r="AK15" s="35" t="str">
        <f t="shared" si="17"/>
        <v/>
      </c>
      <c r="AL15" s="37" t="str">
        <f>IF(A15="","",VLOOKUP(B15,'Datos Biyemas'!B17:BB54,37,0))</f>
        <v/>
      </c>
      <c r="AM15" s="58" t="str">
        <f t="shared" si="18"/>
        <v/>
      </c>
      <c r="AN15" s="262" t="str">
        <f>IF(BP15=A15,'Datos Biyemas'!BL17,"")</f>
        <v/>
      </c>
      <c r="AO15" s="32" t="str">
        <f>IF(A15="","",VLOOKUP(B15,'Datos Biyemas'!B17:BF54,39,0))</f>
        <v/>
      </c>
      <c r="AP15" s="36" t="str">
        <f t="shared" si="28"/>
        <v/>
      </c>
      <c r="AQ15" s="32" t="str">
        <f>IF(A15="","",VLOOKUP(B15,'Datos Biyemas'!B17:BH54,41,0))</f>
        <v/>
      </c>
      <c r="AR15" s="32" t="str">
        <f>IF(A15="","",VLOOKUP(B15,'Datos Biyemas'!B17:BI54,42,0))</f>
        <v/>
      </c>
      <c r="AS15" s="32" t="str">
        <f>IF(A15="","",VLOOKUP(B15,'Datos Biyemas'!B17:BJ54,43,0))</f>
        <v/>
      </c>
      <c r="AT15" s="32" t="str">
        <f>IF(A15="","",VLOOKUP(B15,'Datos Biyemas'!B17:BK54,44,0))</f>
        <v/>
      </c>
      <c r="AU15" s="58" t="str">
        <f>IF(A15="","",VLOOKUP(C15,'Datos Biyemas'!C17:BL54,44,0))</f>
        <v/>
      </c>
      <c r="AV15" s="37" t="str">
        <f t="shared" si="29"/>
        <v/>
      </c>
      <c r="AW15" s="38" t="str">
        <f t="shared" si="19"/>
        <v/>
      </c>
      <c r="AY15" s="180" t="str">
        <f>IF(A15="","",+'Datos Biyemas'!AY17)</f>
        <v/>
      </c>
      <c r="AZ15" s="258" t="str">
        <f t="shared" si="20"/>
        <v/>
      </c>
      <c r="BA15" s="255" t="str">
        <f>IF(A15="","",VLOOKUP(B15,'Datos Biyemas'!B17:BF54,51,0))</f>
        <v/>
      </c>
      <c r="BB15" s="28" t="str">
        <f t="shared" si="21"/>
        <v/>
      </c>
      <c r="BC15" s="180" t="str">
        <f>IF(BP15=A15,'Datos Biyemas'!BL17,"")</f>
        <v/>
      </c>
      <c r="BD15" s="181" t="str">
        <f t="shared" si="22"/>
        <v/>
      </c>
      <c r="BE15" s="29" t="str">
        <f>IF(A15="","",VLOOKUP(B15,'Datos Biyemas'!B17:BF54,53,0))</f>
        <v/>
      </c>
      <c r="BF15" s="28" t="str">
        <f>IF(A15="","",VLOOKUP(B15,'Datos Biyemas'!B17:BF54,54,0))</f>
        <v/>
      </c>
      <c r="BG15" s="28" t="str">
        <f>IF(A15="","",VLOOKUP(B15,'Datos Biyemas'!B17:BF54,55,0))</f>
        <v/>
      </c>
      <c r="BH15" s="28" t="str">
        <f>IF(A15="","",VLOOKUP(B15,'Datos Biyemas'!B17:BF54,51,0))</f>
        <v/>
      </c>
      <c r="BI15" s="28" t="str">
        <f>IF(A15="","",VLOOKUP(B15,'Datos Biyemas'!B17:BF54,52,0))</f>
        <v/>
      </c>
      <c r="BJ15" s="211" t="str">
        <f>IF(A15="","",VLOOKUP(B15,'Datos Biyemas'!B17:BH54,58,0))</f>
        <v/>
      </c>
      <c r="BK15" s="27" t="str">
        <f>IF(A15="","",VLOOKUP(B15,'Datos Biyemas'!B17:BH54,59,0))</f>
        <v/>
      </c>
      <c r="BL15" s="29" t="str">
        <f>IF(A15="","",VLOOKUP(B15,'Datos Biyemas'!B17:BF54,55,0))</f>
        <v/>
      </c>
      <c r="BM15" s="28" t="str">
        <f>IF(A15="","",VLOOKUP(B15,'Datos Biyemas'!B17:BF54,56,0))</f>
        <v/>
      </c>
      <c r="BN15" s="181" t="str">
        <f>IF(A15="","",VLOOKUP(B15,'Datos Biyemas'!B17:BF54,57,0))</f>
        <v/>
      </c>
      <c r="BO15" s="59"/>
      <c r="BP15" s="190" t="s">
        <v>112</v>
      </c>
    </row>
    <row r="16" spans="1:68" s="30" customFormat="1" ht="11.25" customHeight="1" x14ac:dyDescent="0.2">
      <c r="A16" s="188" t="str">
        <f>IF(BP16='Datos Biyemas'!A18,'Datos Biyemas'!A18,"")</f>
        <v/>
      </c>
      <c r="B16" s="185" t="str">
        <f>IF(BP16=A16,'Datos Biyemas'!B18,"")</f>
        <v/>
      </c>
      <c r="C16" s="186" t="str">
        <f>IF(BP16=A16,'Datos Biyemas'!C18,"")</f>
        <v/>
      </c>
      <c r="D16" s="37" t="str">
        <f>IF(BP16=A16,VLOOKUP(B16,'Datos Biyemas'!B18:BB55,3,0),"")</f>
        <v/>
      </c>
      <c r="E16" s="32" t="str">
        <f>IF(BP16=A16,VLOOKUP(B16,'Datos Biyemas'!B18:BB55,4,0),"")</f>
        <v/>
      </c>
      <c r="F16" s="32" t="str">
        <f>IF(BP16=A16,VLOOKUP(B16,'Datos Biyemas'!B18:BB55,5,0),"")</f>
        <v/>
      </c>
      <c r="G16" s="32" t="str">
        <f>IF(BP16=A16,VLOOKUP(B16,'Datos Biyemas'!B18:BB55,6,0),"")</f>
        <v/>
      </c>
      <c r="H16" s="33" t="str">
        <f t="shared" si="31"/>
        <v/>
      </c>
      <c r="I16" s="33" t="str">
        <f t="shared" si="1"/>
        <v/>
      </c>
      <c r="J16" s="34" t="str">
        <f t="shared" si="2"/>
        <v/>
      </c>
      <c r="K16" s="31" t="str">
        <f t="shared" si="3"/>
        <v/>
      </c>
      <c r="L16" s="37" t="str">
        <f>IF(A16="","",VLOOKUP(B16,'Datos Biyemas'!B18:BB55,11,0))</f>
        <v/>
      </c>
      <c r="M16" s="32" t="str">
        <f>IF(A16="","",VLOOKUP(B16,'Datos Biyemas'!B18:BB55,12,0))</f>
        <v/>
      </c>
      <c r="N16" s="32" t="str">
        <f>IF(A16="","",VLOOKUP(B16,'Datos Biyemas'!B18:BB55,13,0))</f>
        <v/>
      </c>
      <c r="O16" s="32" t="str">
        <f>IF(A16="","",VLOOKUP(B16,'Datos Biyemas'!B18:BB55,14,0))</f>
        <v/>
      </c>
      <c r="P16" s="33" t="str">
        <f t="shared" si="6"/>
        <v/>
      </c>
      <c r="Q16" s="33" t="str">
        <f t="shared" si="7"/>
        <v/>
      </c>
      <c r="R16" s="34" t="str">
        <f t="shared" si="4"/>
        <v/>
      </c>
      <c r="S16" s="31" t="str">
        <f t="shared" si="5"/>
        <v/>
      </c>
      <c r="T16" s="35" t="str">
        <f t="shared" si="8"/>
        <v/>
      </c>
      <c r="U16" s="35" t="str">
        <f t="shared" si="9"/>
        <v/>
      </c>
      <c r="V16" s="37" t="str">
        <f>IF(A16="","",VLOOKUP(B16,'Datos Biyemas'!B18:BB55,21,0))</f>
        <v/>
      </c>
      <c r="W16" s="32" t="str">
        <f>IF(A16="","",VLOOKUP(B16,'Datos Biyemas'!B18:BB55,22,0))</f>
        <v/>
      </c>
      <c r="X16" s="32" t="str">
        <f>IF(A16="","",VLOOKUP(B16,'Datos Biyemas'!B18:BB55,23,0))</f>
        <v/>
      </c>
      <c r="Y16" s="32" t="str">
        <f>IF(A16="","",VLOOKUP(B16,'Datos Biyemas'!B18:BB55,24,0))</f>
        <v/>
      </c>
      <c r="Z16" s="33" t="str">
        <f t="shared" si="23"/>
        <v/>
      </c>
      <c r="AA16" s="33" t="str">
        <f t="shared" si="24"/>
        <v/>
      </c>
      <c r="AB16" s="34" t="str">
        <f t="shared" si="25"/>
        <v/>
      </c>
      <c r="AC16" s="31" t="str">
        <f t="shared" si="26"/>
        <v/>
      </c>
      <c r="AD16" s="37" t="str">
        <f t="shared" si="14"/>
        <v/>
      </c>
      <c r="AE16" s="32" t="str">
        <f>IF(A16="","",VLOOKUP(B16,'Datos Biyemas'!B18:BB55,30,0))</f>
        <v/>
      </c>
      <c r="AF16" s="31" t="str">
        <f t="shared" si="15"/>
        <v/>
      </c>
      <c r="AG16" s="32" t="str">
        <f>IF(A16="","",VLOOKUP(B16,'Datos Biyemas'!B18:BB55,32,0))</f>
        <v/>
      </c>
      <c r="AH16" s="32" t="str">
        <f>IF(A16="","",VLOOKUP(B16,'Datos Biyemas'!B18:BB55,33,0))</f>
        <v/>
      </c>
      <c r="AI16" s="32" t="str">
        <f>IF(A16="","",VLOOKUP(B16,'Datos Biyemas'!B18:BB55,34,0))</f>
        <v/>
      </c>
      <c r="AJ16" s="34" t="str">
        <f t="shared" si="27"/>
        <v/>
      </c>
      <c r="AK16" s="35" t="str">
        <f t="shared" si="17"/>
        <v/>
      </c>
      <c r="AL16" s="37" t="str">
        <f>IF(A16="","",VLOOKUP(B16,'Datos Biyemas'!B18:BB55,37,0))</f>
        <v/>
      </c>
      <c r="AM16" s="58" t="str">
        <f t="shared" si="18"/>
        <v/>
      </c>
      <c r="AN16" s="262" t="str">
        <f>IF(BP16=A16,'Datos Biyemas'!BL18,"")</f>
        <v/>
      </c>
      <c r="AO16" s="32" t="str">
        <f>IF(A16="","",VLOOKUP(B16,'Datos Biyemas'!B18:BF55,39,0))</f>
        <v/>
      </c>
      <c r="AP16" s="36" t="str">
        <f t="shared" si="28"/>
        <v/>
      </c>
      <c r="AQ16" s="32" t="str">
        <f>IF(A16="","",VLOOKUP(B16,'Datos Biyemas'!B18:BH55,41,0))</f>
        <v/>
      </c>
      <c r="AR16" s="32" t="str">
        <f>IF(A16="","",VLOOKUP(B16,'Datos Biyemas'!B18:BI55,42,0))</f>
        <v/>
      </c>
      <c r="AS16" s="32" t="str">
        <f>IF(A16="","",VLOOKUP(B16,'Datos Biyemas'!B18:BJ55,43,0))</f>
        <v/>
      </c>
      <c r="AT16" s="32" t="str">
        <f>IF(A16="","",VLOOKUP(B16,'Datos Biyemas'!B18:BK55,44,0))</f>
        <v/>
      </c>
      <c r="AU16" s="58" t="str">
        <f>IF(A16="","",VLOOKUP(C16,'Datos Biyemas'!C18:BL55,44,0))</f>
        <v/>
      </c>
      <c r="AV16" s="37" t="str">
        <f t="shared" si="29"/>
        <v/>
      </c>
      <c r="AW16" s="38" t="str">
        <f t="shared" si="19"/>
        <v/>
      </c>
      <c r="AY16" s="180" t="str">
        <f>IF(A16="","",+'Datos Biyemas'!AY18)</f>
        <v/>
      </c>
      <c r="AZ16" s="258" t="str">
        <f t="shared" si="20"/>
        <v/>
      </c>
      <c r="BA16" s="255" t="str">
        <f>IF(A16="","",VLOOKUP(B16,'Datos Biyemas'!B18:BF55,51,0))</f>
        <v/>
      </c>
      <c r="BB16" s="28" t="str">
        <f t="shared" si="21"/>
        <v/>
      </c>
      <c r="BC16" s="180" t="str">
        <f>IF(BP16=A16,'Datos Biyemas'!BL18,"")</f>
        <v/>
      </c>
      <c r="BD16" s="181" t="str">
        <f t="shared" si="22"/>
        <v/>
      </c>
      <c r="BE16" s="29" t="str">
        <f>IF(A16="","",VLOOKUP(B16,'Datos Biyemas'!B18:BF55,53,0))</f>
        <v/>
      </c>
      <c r="BF16" s="28" t="str">
        <f>IF(A16="","",VLOOKUP(B16,'Datos Biyemas'!B18:BF55,54,0))</f>
        <v/>
      </c>
      <c r="BG16" s="28" t="str">
        <f>IF(A16="","",VLOOKUP(B16,'Datos Biyemas'!B18:BF55,55,0))</f>
        <v/>
      </c>
      <c r="BH16" s="28" t="str">
        <f>IF(A16="","",VLOOKUP(B16,'Datos Biyemas'!B18:BF55,51,0))</f>
        <v/>
      </c>
      <c r="BI16" s="28" t="str">
        <f>IF(A16="","",VLOOKUP(B16,'Datos Biyemas'!B18:BF55,52,0))</f>
        <v/>
      </c>
      <c r="BJ16" s="211" t="str">
        <f>IF(A16="","",VLOOKUP(B16,'Datos Biyemas'!B18:BH55,58,0))</f>
        <v/>
      </c>
      <c r="BK16" s="27" t="str">
        <f>IF(A16="","",VLOOKUP(B16,'Datos Biyemas'!B18:BH55,59,0))</f>
        <v/>
      </c>
      <c r="BL16" s="29" t="str">
        <f>IF(A16="","",VLOOKUP(B16,'Datos Biyemas'!B18:BF55,55,0))</f>
        <v/>
      </c>
      <c r="BM16" s="28" t="str">
        <f>IF(A16="","",VLOOKUP(B16,'Datos Biyemas'!B18:BF55,56,0))</f>
        <v/>
      </c>
      <c r="BN16" s="181" t="str">
        <f>IF(A16="","",VLOOKUP(B16,'Datos Biyemas'!B18:BF55,57,0))</f>
        <v/>
      </c>
      <c r="BO16" s="59"/>
      <c r="BP16" s="190" t="s">
        <v>101</v>
      </c>
    </row>
    <row r="17" spans="1:68" s="30" customFormat="1" ht="11.25" customHeight="1" x14ac:dyDescent="0.2">
      <c r="A17" s="188" t="str">
        <f>IF(BP17='Datos Biyemas'!A19,'Datos Biyemas'!A19,"")</f>
        <v/>
      </c>
      <c r="B17" s="185" t="str">
        <f>IF(BP17=A17,'Datos Biyemas'!B19,"")</f>
        <v/>
      </c>
      <c r="C17" s="186" t="str">
        <f>IF(BP17=A17,'Datos Biyemas'!C19,"")</f>
        <v/>
      </c>
      <c r="D17" s="37" t="str">
        <f>IF(BP17=A17,VLOOKUP(B17,'Datos Biyemas'!B19:BB56,3,0),"")</f>
        <v/>
      </c>
      <c r="E17" s="32" t="str">
        <f>IF(BP17=A17,VLOOKUP(B17,'Datos Biyemas'!B19:BB56,4,0),"")</f>
        <v/>
      </c>
      <c r="F17" s="32" t="str">
        <f>IF(BP17=A17,VLOOKUP(B17,'Datos Biyemas'!B19:BB56,5,0),"")</f>
        <v/>
      </c>
      <c r="G17" s="32" t="str">
        <f>IF(BP17=A17,VLOOKUP(B17,'Datos Biyemas'!B19:BB56,6,0),"")</f>
        <v/>
      </c>
      <c r="H17" s="33" t="str">
        <f t="shared" si="31"/>
        <v/>
      </c>
      <c r="I17" s="33" t="str">
        <f t="shared" si="1"/>
        <v/>
      </c>
      <c r="J17" s="34" t="str">
        <f t="shared" si="2"/>
        <v/>
      </c>
      <c r="K17" s="31" t="str">
        <f t="shared" si="3"/>
        <v/>
      </c>
      <c r="L17" s="37" t="str">
        <f>IF(A17="","",VLOOKUP(B17,'Datos Biyemas'!B19:BB56,11,0))</f>
        <v/>
      </c>
      <c r="M17" s="32" t="str">
        <f>IF(A17="","",VLOOKUP(B17,'Datos Biyemas'!B19:BB56,12,0))</f>
        <v/>
      </c>
      <c r="N17" s="32" t="str">
        <f>IF(A17="","",VLOOKUP(B17,'Datos Biyemas'!B19:BB56,13,0))</f>
        <v/>
      </c>
      <c r="O17" s="32" t="str">
        <f>IF(A17="","",VLOOKUP(B17,'Datos Biyemas'!B19:BB56,14,0))</f>
        <v/>
      </c>
      <c r="P17" s="33" t="str">
        <f t="shared" si="6"/>
        <v/>
      </c>
      <c r="Q17" s="33" t="str">
        <f t="shared" si="7"/>
        <v/>
      </c>
      <c r="R17" s="34" t="str">
        <f t="shared" si="4"/>
        <v/>
      </c>
      <c r="S17" s="31" t="str">
        <f t="shared" si="5"/>
        <v/>
      </c>
      <c r="T17" s="35" t="str">
        <f t="shared" si="8"/>
        <v/>
      </c>
      <c r="U17" s="35" t="str">
        <f t="shared" si="9"/>
        <v/>
      </c>
      <c r="V17" s="37" t="str">
        <f>IF(A17="","",VLOOKUP(B17,'Datos Biyemas'!B19:BB56,21,0))</f>
        <v/>
      </c>
      <c r="W17" s="32" t="str">
        <f>IF(A17="","",VLOOKUP(B17,'Datos Biyemas'!B19:BB56,22,0))</f>
        <v/>
      </c>
      <c r="X17" s="32" t="str">
        <f>IF(A17="","",VLOOKUP(B17,'Datos Biyemas'!B19:BB56,23,0))</f>
        <v/>
      </c>
      <c r="Y17" s="32" t="str">
        <f>IF(A17="","",VLOOKUP(B17,'Datos Biyemas'!B19:BB56,24,0))</f>
        <v/>
      </c>
      <c r="Z17" s="33" t="str">
        <f t="shared" si="23"/>
        <v/>
      </c>
      <c r="AA17" s="33" t="str">
        <f t="shared" si="24"/>
        <v/>
      </c>
      <c r="AB17" s="34" t="str">
        <f t="shared" si="25"/>
        <v/>
      </c>
      <c r="AC17" s="31" t="str">
        <f t="shared" si="26"/>
        <v/>
      </c>
      <c r="AD17" s="37" t="str">
        <f t="shared" si="14"/>
        <v/>
      </c>
      <c r="AE17" s="32" t="str">
        <f>IF(A17="","",VLOOKUP(B17,'Datos Biyemas'!B19:BB56,30,0))</f>
        <v/>
      </c>
      <c r="AF17" s="31" t="str">
        <f t="shared" si="15"/>
        <v/>
      </c>
      <c r="AG17" s="32" t="str">
        <f>IF(A17="","",VLOOKUP(B17,'Datos Biyemas'!B19:BB56,32,0))</f>
        <v/>
      </c>
      <c r="AH17" s="32" t="str">
        <f>IF(A17="","",VLOOKUP(B17,'Datos Biyemas'!B19:BB56,33,0))</f>
        <v/>
      </c>
      <c r="AI17" s="32" t="str">
        <f>IF(A17="","",VLOOKUP(B17,'Datos Biyemas'!B19:BB56,34,0))</f>
        <v/>
      </c>
      <c r="AJ17" s="34" t="str">
        <f t="shared" si="27"/>
        <v/>
      </c>
      <c r="AK17" s="35" t="str">
        <f t="shared" si="17"/>
        <v/>
      </c>
      <c r="AL17" s="37" t="str">
        <f>IF(A17="","",VLOOKUP(B17,'Datos Biyemas'!B19:BB56,37,0))</f>
        <v/>
      </c>
      <c r="AM17" s="58" t="str">
        <f t="shared" si="18"/>
        <v/>
      </c>
      <c r="AN17" s="262" t="str">
        <f>IF(BP17=A17,'Datos Biyemas'!BL19,"")</f>
        <v/>
      </c>
      <c r="AO17" s="32" t="str">
        <f>IF(A17="","",VLOOKUP(B17,'Datos Biyemas'!B19:BF56,39,0))</f>
        <v/>
      </c>
      <c r="AP17" s="36" t="str">
        <f t="shared" si="28"/>
        <v/>
      </c>
      <c r="AQ17" s="32" t="str">
        <f>IF(A17="","",VLOOKUP(B17,'Datos Biyemas'!B19:BH56,41,0))</f>
        <v/>
      </c>
      <c r="AR17" s="32" t="str">
        <f>IF(A17="","",VLOOKUP(B17,'Datos Biyemas'!B19:BI56,42,0))</f>
        <v/>
      </c>
      <c r="AS17" s="32" t="str">
        <f>IF(A17="","",VLOOKUP(B17,'Datos Biyemas'!B19:BJ56,43,0))</f>
        <v/>
      </c>
      <c r="AT17" s="32" t="str">
        <f>IF(A17="","",VLOOKUP(B17,'Datos Biyemas'!B19:BK56,44,0))</f>
        <v/>
      </c>
      <c r="AU17" s="58" t="str">
        <f>IF(A17="","",VLOOKUP(C17,'Datos Biyemas'!C19:BL56,44,0))</f>
        <v/>
      </c>
      <c r="AV17" s="37" t="str">
        <f t="shared" si="29"/>
        <v/>
      </c>
      <c r="AW17" s="38" t="str">
        <f t="shared" si="19"/>
        <v/>
      </c>
      <c r="AY17" s="180" t="str">
        <f>IF(A17="","",+'Datos Biyemas'!AY19)</f>
        <v/>
      </c>
      <c r="AZ17" s="258" t="str">
        <f t="shared" si="20"/>
        <v/>
      </c>
      <c r="BA17" s="255" t="str">
        <f>IF(A17="","",VLOOKUP(B17,'Datos Biyemas'!B19:BF56,51,0))</f>
        <v/>
      </c>
      <c r="BB17" s="28" t="str">
        <f t="shared" si="21"/>
        <v/>
      </c>
      <c r="BC17" s="180" t="str">
        <f>IF(BP17=A17,'Datos Biyemas'!BL19,"")</f>
        <v/>
      </c>
      <c r="BD17" s="181" t="str">
        <f t="shared" si="22"/>
        <v/>
      </c>
      <c r="BE17" s="29" t="str">
        <f>IF(A17="","",VLOOKUP(B17,'Datos Biyemas'!B19:BF56,53,0))</f>
        <v/>
      </c>
      <c r="BF17" s="28" t="str">
        <f>IF(A17="","",VLOOKUP(B17,'Datos Biyemas'!B19:BF56,54,0))</f>
        <v/>
      </c>
      <c r="BG17" s="28" t="str">
        <f>IF(A17="","",VLOOKUP(B17,'Datos Biyemas'!B19:BF56,55,0))</f>
        <v/>
      </c>
      <c r="BH17" s="28" t="str">
        <f>IF(A17="","",VLOOKUP(B17,'Datos Biyemas'!B19:BF56,51,0))</f>
        <v/>
      </c>
      <c r="BI17" s="28" t="str">
        <f>IF(A17="","",VLOOKUP(B17,'Datos Biyemas'!B19:BF56,52,0))</f>
        <v/>
      </c>
      <c r="BJ17" s="211" t="str">
        <f>IF(A17="","",VLOOKUP(B17,'Datos Biyemas'!B19:BH56,58,0))</f>
        <v/>
      </c>
      <c r="BK17" s="27" t="str">
        <f>IF(A17="","",VLOOKUP(B17,'Datos Biyemas'!B19:BH56,59,0))</f>
        <v/>
      </c>
      <c r="BL17" s="29" t="str">
        <f>IF(A17="","",VLOOKUP(B17,'Datos Biyemas'!B19:BF56,55,0))</f>
        <v/>
      </c>
      <c r="BM17" s="28" t="str">
        <f>IF(A17="","",VLOOKUP(B17,'Datos Biyemas'!B19:BF56,56,0))</f>
        <v/>
      </c>
      <c r="BN17" s="181" t="str">
        <f>IF(A17="","",VLOOKUP(B17,'Datos Biyemas'!B19:BF56,57,0))</f>
        <v/>
      </c>
      <c r="BO17" s="59"/>
      <c r="BP17" s="190" t="s">
        <v>102</v>
      </c>
    </row>
    <row r="18" spans="1:68" s="30" customFormat="1" x14ac:dyDescent="0.2">
      <c r="A18" s="188" t="str">
        <f>IF(BP18='Datos Biyemas'!A20,'Datos Biyemas'!A20,"")</f>
        <v/>
      </c>
      <c r="B18" s="185" t="str">
        <f>IF(BP18=A18,'Datos Biyemas'!B20,"")</f>
        <v/>
      </c>
      <c r="C18" s="186" t="str">
        <f>IF(BP18=A18,'Datos Biyemas'!C20,"")</f>
        <v/>
      </c>
      <c r="D18" s="37" t="str">
        <f>IF(BP18=A18,VLOOKUP(B18,'Datos Biyemas'!B20:BB57,3,0),"")</f>
        <v/>
      </c>
      <c r="E18" s="32" t="str">
        <f>IF(BP18=A18,VLOOKUP(B18,'Datos Biyemas'!B20:BB57,4,0),"")</f>
        <v/>
      </c>
      <c r="F18" s="32" t="str">
        <f>IF(BP18=A18,VLOOKUP(B18,'Datos Biyemas'!B20:BB57,5,0),"")</f>
        <v/>
      </c>
      <c r="G18" s="32" t="str">
        <f>IF(BP18=A18,VLOOKUP(B18,'Datos Biyemas'!B20:BB57,6,0),"")</f>
        <v/>
      </c>
      <c r="H18" s="33" t="str">
        <f t="shared" si="31"/>
        <v/>
      </c>
      <c r="I18" s="33" t="str">
        <f t="shared" si="1"/>
        <v/>
      </c>
      <c r="J18" s="34" t="str">
        <f t="shared" si="2"/>
        <v/>
      </c>
      <c r="K18" s="31" t="str">
        <f t="shared" si="3"/>
        <v/>
      </c>
      <c r="L18" s="37" t="str">
        <f>IF(A18="","",VLOOKUP(B18,'Datos Biyemas'!B20:BB57,11,0))</f>
        <v/>
      </c>
      <c r="M18" s="32" t="str">
        <f>IF(A18="","",VLOOKUP(B18,'Datos Biyemas'!B20:BB57,12,0))</f>
        <v/>
      </c>
      <c r="N18" s="32" t="str">
        <f>IF(A18="","",VLOOKUP(B18,'Datos Biyemas'!B20:BB57,13,0))</f>
        <v/>
      </c>
      <c r="O18" s="32" t="str">
        <f>IF(A18="","",VLOOKUP(B18,'Datos Biyemas'!B20:BB57,14,0))</f>
        <v/>
      </c>
      <c r="P18" s="33" t="str">
        <f t="shared" si="6"/>
        <v/>
      </c>
      <c r="Q18" s="33" t="str">
        <f t="shared" si="7"/>
        <v/>
      </c>
      <c r="R18" s="34" t="str">
        <f t="shared" si="4"/>
        <v/>
      </c>
      <c r="S18" s="31" t="str">
        <f t="shared" si="5"/>
        <v/>
      </c>
      <c r="T18" s="35" t="str">
        <f t="shared" si="8"/>
        <v/>
      </c>
      <c r="U18" s="35" t="str">
        <f t="shared" si="9"/>
        <v/>
      </c>
      <c r="V18" s="37" t="str">
        <f>IF(A18="","",VLOOKUP(B18,'Datos Biyemas'!B20:BB57,21,0))</f>
        <v/>
      </c>
      <c r="W18" s="32" t="str">
        <f>IF(A18="","",VLOOKUP(B18,'Datos Biyemas'!B20:BB57,22,0))</f>
        <v/>
      </c>
      <c r="X18" s="32" t="str">
        <f>IF(A18="","",VLOOKUP(B18,'Datos Biyemas'!B20:BB57,23,0))</f>
        <v/>
      </c>
      <c r="Y18" s="32" t="str">
        <f>IF(A18="","",VLOOKUP(B18,'Datos Biyemas'!B20:BB57,24,0))</f>
        <v/>
      </c>
      <c r="Z18" s="33" t="str">
        <f t="shared" si="23"/>
        <v/>
      </c>
      <c r="AA18" s="33" t="str">
        <f t="shared" si="24"/>
        <v/>
      </c>
      <c r="AB18" s="34" t="str">
        <f t="shared" si="25"/>
        <v/>
      </c>
      <c r="AC18" s="31" t="str">
        <f t="shared" si="26"/>
        <v/>
      </c>
      <c r="AD18" s="37" t="str">
        <f t="shared" si="14"/>
        <v/>
      </c>
      <c r="AE18" s="32" t="str">
        <f>IF(A18="","",VLOOKUP(B18,'Datos Biyemas'!B20:BB57,30,0))</f>
        <v/>
      </c>
      <c r="AF18" s="31" t="str">
        <f t="shared" si="15"/>
        <v/>
      </c>
      <c r="AG18" s="32" t="str">
        <f>IF(A18="","",VLOOKUP(B18,'Datos Biyemas'!B20:BB57,32,0))</f>
        <v/>
      </c>
      <c r="AH18" s="32" t="str">
        <f>IF(A18="","",VLOOKUP(B18,'Datos Biyemas'!B20:BB57,33,0))</f>
        <v/>
      </c>
      <c r="AI18" s="32" t="str">
        <f>IF(A18="","",VLOOKUP(B18,'Datos Biyemas'!B20:BB57,34,0))</f>
        <v/>
      </c>
      <c r="AJ18" s="34" t="str">
        <f t="shared" si="27"/>
        <v/>
      </c>
      <c r="AK18" s="35" t="str">
        <f t="shared" si="17"/>
        <v/>
      </c>
      <c r="AL18" s="37" t="str">
        <f>IF(A18="","",VLOOKUP(B18,'Datos Biyemas'!B20:BB57,37,0))</f>
        <v/>
      </c>
      <c r="AM18" s="58" t="str">
        <f t="shared" si="18"/>
        <v/>
      </c>
      <c r="AN18" s="262" t="str">
        <f>IF(BP18=A18,'Datos Biyemas'!BL20,"")</f>
        <v/>
      </c>
      <c r="AO18" s="32" t="str">
        <f>IF(A18="","",VLOOKUP(B18,'Datos Biyemas'!B20:BF57,39,0))</f>
        <v/>
      </c>
      <c r="AP18" s="36" t="str">
        <f t="shared" si="28"/>
        <v/>
      </c>
      <c r="AQ18" s="32" t="str">
        <f>IF(A18="","",VLOOKUP(B18,'Datos Biyemas'!B20:BH57,41,0))</f>
        <v/>
      </c>
      <c r="AR18" s="32" t="str">
        <f>IF(A18="","",VLOOKUP(B18,'Datos Biyemas'!B20:BI57,42,0))</f>
        <v/>
      </c>
      <c r="AS18" s="32" t="str">
        <f>IF(A18="","",VLOOKUP(B18,'Datos Biyemas'!B20:BJ57,43,0))</f>
        <v/>
      </c>
      <c r="AT18" s="32" t="str">
        <f>IF(A18="","",VLOOKUP(B18,'Datos Biyemas'!B20:BK57,44,0))</f>
        <v/>
      </c>
      <c r="AU18" s="58" t="str">
        <f>IF(A18="","",VLOOKUP(C18,'Datos Biyemas'!C20:BL57,44,0))</f>
        <v/>
      </c>
      <c r="AV18" s="37" t="str">
        <f t="shared" si="29"/>
        <v/>
      </c>
      <c r="AW18" s="38" t="str">
        <f t="shared" si="19"/>
        <v/>
      </c>
      <c r="AY18" s="180" t="str">
        <f>IF(A18="","",+'Datos Biyemas'!AY20)</f>
        <v/>
      </c>
      <c r="AZ18" s="258" t="str">
        <f t="shared" si="20"/>
        <v/>
      </c>
      <c r="BA18" s="255" t="str">
        <f>IF(A18="","",VLOOKUP(B18,'Datos Biyemas'!B20:BF57,51,0))</f>
        <v/>
      </c>
      <c r="BB18" s="28" t="str">
        <f t="shared" si="21"/>
        <v/>
      </c>
      <c r="BC18" s="180" t="str">
        <f>IF(BP18=A18,'Datos Biyemas'!BL20,"")</f>
        <v/>
      </c>
      <c r="BD18" s="181" t="str">
        <f t="shared" si="22"/>
        <v/>
      </c>
      <c r="BE18" s="29" t="str">
        <f>IF(A18="","",VLOOKUP(B18,'Datos Biyemas'!B20:BF57,53,0))</f>
        <v/>
      </c>
      <c r="BF18" s="28" t="str">
        <f>IF(A18="","",VLOOKUP(B18,'Datos Biyemas'!B20:BF57,54,0))</f>
        <v/>
      </c>
      <c r="BG18" s="28" t="str">
        <f>IF(A18="","",VLOOKUP(B18,'Datos Biyemas'!B20:BF57,55,0))</f>
        <v/>
      </c>
      <c r="BH18" s="28" t="str">
        <f>IF(A18="","",VLOOKUP(B18,'Datos Biyemas'!B20:BF57,51,0))</f>
        <v/>
      </c>
      <c r="BI18" s="28" t="str">
        <f>IF(A18="","",VLOOKUP(B18,'Datos Biyemas'!B20:BF57,52,0))</f>
        <v/>
      </c>
      <c r="BJ18" s="211" t="str">
        <f>IF(A18="","",VLOOKUP(B18,'Datos Biyemas'!B20:BH57,58,0))</f>
        <v/>
      </c>
      <c r="BK18" s="27" t="str">
        <f>IF(A18="","",VLOOKUP(B18,'Datos Biyemas'!B20:BH57,59,0))</f>
        <v/>
      </c>
      <c r="BL18" s="29" t="str">
        <f>IF(A18="","",VLOOKUP(B18,'Datos Biyemas'!B20:BF57,55,0))</f>
        <v/>
      </c>
      <c r="BM18" s="28" t="str">
        <f>IF(A18="","",VLOOKUP(B18,'Datos Biyemas'!B20:BF57,56,0))</f>
        <v/>
      </c>
      <c r="BN18" s="181" t="str">
        <f>IF(A18="","",VLOOKUP(B18,'Datos Biyemas'!B20:BF57,57,0))</f>
        <v/>
      </c>
      <c r="BO18" s="59"/>
      <c r="BP18" s="190" t="s">
        <v>103</v>
      </c>
    </row>
    <row r="19" spans="1:68" ht="11.25" customHeight="1" x14ac:dyDescent="0.2">
      <c r="A19" s="188" t="str">
        <f>IF(BP19='Datos Biyemas'!A21,'Datos Biyemas'!A21,"")</f>
        <v/>
      </c>
      <c r="B19" s="185" t="str">
        <f>IF(BP19=A19,'Datos Biyemas'!B21,"")</f>
        <v/>
      </c>
      <c r="C19" s="186" t="str">
        <f>IF(BP19=A19,'Datos Biyemas'!C21,"")</f>
        <v/>
      </c>
      <c r="D19" s="37" t="str">
        <f>IF(BP19=A19,VLOOKUP(B19,'Datos Biyemas'!B21:BB58,3,0),"")</f>
        <v/>
      </c>
      <c r="E19" s="32" t="str">
        <f>IF(BP19=A19,VLOOKUP(B19,'Datos Biyemas'!B21:BB58,4,0),"")</f>
        <v/>
      </c>
      <c r="F19" s="32" t="str">
        <f>IF(BP19=A19,VLOOKUP(B19,'Datos Biyemas'!B21:BB58,5,0),"")</f>
        <v/>
      </c>
      <c r="G19" s="32" t="str">
        <f>IF(BP19=A19,VLOOKUP(B19,'Datos Biyemas'!B21:BB58,6,0),"")</f>
        <v/>
      </c>
      <c r="H19" s="33" t="str">
        <f t="shared" si="31"/>
        <v/>
      </c>
      <c r="I19" s="33" t="str">
        <f t="shared" si="1"/>
        <v/>
      </c>
      <c r="J19" s="34" t="str">
        <f t="shared" si="2"/>
        <v/>
      </c>
      <c r="K19" s="31" t="str">
        <f t="shared" si="3"/>
        <v/>
      </c>
      <c r="L19" s="37" t="str">
        <f>IF(A19="","",VLOOKUP(B19,'Datos Biyemas'!B21:BB58,11,0))</f>
        <v/>
      </c>
      <c r="M19" s="32" t="str">
        <f>IF(A19="","",VLOOKUP(B19,'Datos Biyemas'!B21:BB58,12,0))</f>
        <v/>
      </c>
      <c r="N19" s="32" t="str">
        <f>IF(A19="","",VLOOKUP(B19,'Datos Biyemas'!B21:BB58,13,0))</f>
        <v/>
      </c>
      <c r="O19" s="32" t="str">
        <f>IF(A19="","",VLOOKUP(B19,'Datos Biyemas'!B21:BB58,14,0))</f>
        <v/>
      </c>
      <c r="P19" s="33" t="str">
        <f t="shared" si="6"/>
        <v/>
      </c>
      <c r="Q19" s="33" t="str">
        <f t="shared" si="7"/>
        <v/>
      </c>
      <c r="R19" s="34" t="str">
        <f t="shared" si="4"/>
        <v/>
      </c>
      <c r="S19" s="31" t="str">
        <f t="shared" si="5"/>
        <v/>
      </c>
      <c r="T19" s="35" t="str">
        <f t="shared" si="8"/>
        <v/>
      </c>
      <c r="U19" s="35" t="str">
        <f t="shared" si="9"/>
        <v/>
      </c>
      <c r="V19" s="37" t="str">
        <f>IF(A19="","",VLOOKUP(B19,'Datos Biyemas'!B21:BB58,21,0))</f>
        <v/>
      </c>
      <c r="W19" s="32" t="str">
        <f>IF(A19="","",VLOOKUP(B19,'Datos Biyemas'!B21:BB58,22,0))</f>
        <v/>
      </c>
      <c r="X19" s="32" t="str">
        <f>IF(A19="","",VLOOKUP(B19,'Datos Biyemas'!B21:BB58,23,0))</f>
        <v/>
      </c>
      <c r="Y19" s="32" t="str">
        <f>IF(A19="","",VLOOKUP(B19,'Datos Biyemas'!B21:BB58,24,0))</f>
        <v/>
      </c>
      <c r="Z19" s="33" t="str">
        <f t="shared" si="23"/>
        <v/>
      </c>
      <c r="AA19" s="33" t="str">
        <f t="shared" si="24"/>
        <v/>
      </c>
      <c r="AB19" s="34" t="str">
        <f t="shared" si="25"/>
        <v/>
      </c>
      <c r="AC19" s="31" t="str">
        <f t="shared" si="26"/>
        <v/>
      </c>
      <c r="AD19" s="37" t="str">
        <f t="shared" si="14"/>
        <v/>
      </c>
      <c r="AE19" s="32" t="str">
        <f>IF(A19="","",VLOOKUP(B19,'Datos Biyemas'!B21:BB58,30,0))</f>
        <v/>
      </c>
      <c r="AF19" s="31" t="str">
        <f t="shared" si="15"/>
        <v/>
      </c>
      <c r="AG19" s="32" t="str">
        <f>IF(A19="","",VLOOKUP(B19,'Datos Biyemas'!B21:BB58,32,0))</f>
        <v/>
      </c>
      <c r="AH19" s="32" t="str">
        <f>IF(A19="","",VLOOKUP(B19,'Datos Biyemas'!B21:BB58,33,0))</f>
        <v/>
      </c>
      <c r="AI19" s="32" t="str">
        <f>IF(A19="","",VLOOKUP(B19,'Datos Biyemas'!B21:BB58,34,0))</f>
        <v/>
      </c>
      <c r="AJ19" s="34" t="str">
        <f t="shared" si="27"/>
        <v/>
      </c>
      <c r="AK19" s="35" t="str">
        <f t="shared" si="17"/>
        <v/>
      </c>
      <c r="AL19" s="37" t="str">
        <f>IF(A19="","",VLOOKUP(B19,'Datos Biyemas'!B21:BB58,37,0))</f>
        <v/>
      </c>
      <c r="AM19" s="58" t="str">
        <f t="shared" si="18"/>
        <v/>
      </c>
      <c r="AN19" s="262" t="str">
        <f>IF(BP19=A19,'Datos Biyemas'!BL21,"")</f>
        <v/>
      </c>
      <c r="AO19" s="32" t="str">
        <f>IF(A19="","",VLOOKUP(B19,'Datos Biyemas'!B21:BF58,39,0))</f>
        <v/>
      </c>
      <c r="AP19" s="36" t="str">
        <f t="shared" si="28"/>
        <v/>
      </c>
      <c r="AQ19" s="32" t="str">
        <f>IF(A19="","",VLOOKUP(B19,'Datos Biyemas'!B21:BH58,41,0))</f>
        <v/>
      </c>
      <c r="AR19" s="32" t="str">
        <f>IF(A19="","",VLOOKUP(B19,'Datos Biyemas'!B21:BI58,42,0))</f>
        <v/>
      </c>
      <c r="AS19" s="32" t="str">
        <f>IF(A19="","",VLOOKUP(B19,'Datos Biyemas'!B21:BJ58,43,0))</f>
        <v/>
      </c>
      <c r="AT19" s="32" t="str">
        <f>IF(A19="","",VLOOKUP(B19,'Datos Biyemas'!B21:BK58,44,0))</f>
        <v/>
      </c>
      <c r="AU19" s="58" t="str">
        <f>IF(A19="","",VLOOKUP(C19,'Datos Biyemas'!C21:BL58,44,0))</f>
        <v/>
      </c>
      <c r="AV19" s="37" t="str">
        <f t="shared" si="29"/>
        <v/>
      </c>
      <c r="AW19" s="38" t="str">
        <f t="shared" si="19"/>
        <v/>
      </c>
      <c r="AY19" s="180" t="str">
        <f>IF(A19="","",+'Datos Biyemas'!AY21)</f>
        <v/>
      </c>
      <c r="AZ19" s="258" t="str">
        <f t="shared" si="20"/>
        <v/>
      </c>
      <c r="BA19" s="255" t="str">
        <f>IF(A19="","",VLOOKUP(B19,'Datos Biyemas'!B21:BF58,51,0))</f>
        <v/>
      </c>
      <c r="BB19" s="28" t="str">
        <f t="shared" si="21"/>
        <v/>
      </c>
      <c r="BC19" s="180" t="str">
        <f>IF(BP19=A19,'Datos Biyemas'!BL21,"")</f>
        <v/>
      </c>
      <c r="BD19" s="181" t="str">
        <f t="shared" si="22"/>
        <v/>
      </c>
      <c r="BE19" s="29" t="str">
        <f>IF(A19="","",VLOOKUP(B19,'Datos Biyemas'!B21:BF58,53,0))</f>
        <v/>
      </c>
      <c r="BF19" s="28" t="str">
        <f>IF(A19="","",VLOOKUP(B19,'Datos Biyemas'!B21:BF58,54,0))</f>
        <v/>
      </c>
      <c r="BG19" s="28" t="str">
        <f>IF(A19="","",VLOOKUP(B19,'Datos Biyemas'!B21:BF58,55,0))</f>
        <v/>
      </c>
      <c r="BH19" s="28" t="str">
        <f>IF(A19="","",VLOOKUP(B19,'Datos Biyemas'!B21:BF58,51,0))</f>
        <v/>
      </c>
      <c r="BI19" s="28" t="str">
        <f>IF(A19="","",VLOOKUP(B19,'Datos Biyemas'!B21:BF58,52,0))</f>
        <v/>
      </c>
      <c r="BJ19" s="211" t="str">
        <f>IF(A19="","",VLOOKUP(B19,'Datos Biyemas'!B21:BH58,58,0))</f>
        <v/>
      </c>
      <c r="BK19" s="27" t="str">
        <f>IF(A19="","",VLOOKUP(B19,'Datos Biyemas'!B21:BH58,59,0))</f>
        <v/>
      </c>
      <c r="BL19" s="29" t="str">
        <f>IF(A19="","",VLOOKUP(B19,'Datos Biyemas'!B21:BF58,55,0))</f>
        <v/>
      </c>
      <c r="BM19" s="28" t="str">
        <f>IF(A19="","",VLOOKUP(B19,'Datos Biyemas'!B21:BF58,56,0))</f>
        <v/>
      </c>
      <c r="BN19" s="181" t="str">
        <f>IF(A19="","",VLOOKUP(B19,'Datos Biyemas'!B21:BF58,57,0))</f>
        <v/>
      </c>
      <c r="BO19" s="59"/>
      <c r="BP19" s="190" t="s">
        <v>104</v>
      </c>
    </row>
    <row r="20" spans="1:68" ht="11.25" customHeight="1" x14ac:dyDescent="0.2">
      <c r="A20" s="188" t="str">
        <f>IF(BP20='Datos Biyemas'!A22,'Datos Biyemas'!A22,"")</f>
        <v/>
      </c>
      <c r="B20" s="185" t="str">
        <f>IF(BP20=A20,'Datos Biyemas'!B22,"")</f>
        <v/>
      </c>
      <c r="C20" s="186" t="str">
        <f>IF(BP20=A20,'Datos Biyemas'!C22,"")</f>
        <v/>
      </c>
      <c r="D20" s="37" t="str">
        <f>IF(BP20=A20,VLOOKUP(B20,'Datos Biyemas'!B22:BB59,3,0),"")</f>
        <v/>
      </c>
      <c r="E20" s="32" t="str">
        <f>IF(BP20=A20,VLOOKUP(B20,'Datos Biyemas'!B22:BB59,4,0),"")</f>
        <v/>
      </c>
      <c r="F20" s="32" t="str">
        <f>IF(BP20=A20,VLOOKUP(B20,'Datos Biyemas'!B22:BB59,5,0),"")</f>
        <v/>
      </c>
      <c r="G20" s="32" t="str">
        <f>IF(BP20=A20,VLOOKUP(B20,'Datos Biyemas'!B22:BB59,6,0),"")</f>
        <v/>
      </c>
      <c r="H20" s="33" t="str">
        <f t="shared" si="31"/>
        <v/>
      </c>
      <c r="I20" s="33" t="str">
        <f t="shared" si="1"/>
        <v/>
      </c>
      <c r="J20" s="34" t="str">
        <f t="shared" si="2"/>
        <v/>
      </c>
      <c r="K20" s="31" t="str">
        <f t="shared" si="3"/>
        <v/>
      </c>
      <c r="L20" s="37" t="str">
        <f>IF(A20="","",VLOOKUP(B20,'Datos Biyemas'!B22:BB59,11,0))</f>
        <v/>
      </c>
      <c r="M20" s="32" t="str">
        <f>IF(A20="","",VLOOKUP(B20,'Datos Biyemas'!B22:BB59,12,0))</f>
        <v/>
      </c>
      <c r="N20" s="32" t="str">
        <f>IF(A20="","",VLOOKUP(B20,'Datos Biyemas'!B22:BB59,13,0))</f>
        <v/>
      </c>
      <c r="O20" s="32" t="str">
        <f>IF(A20="","",VLOOKUP(B20,'Datos Biyemas'!B22:BB59,14,0))</f>
        <v/>
      </c>
      <c r="P20" s="33" t="str">
        <f t="shared" si="6"/>
        <v/>
      </c>
      <c r="Q20" s="33" t="str">
        <f t="shared" si="7"/>
        <v/>
      </c>
      <c r="R20" s="34" t="str">
        <f t="shared" si="4"/>
        <v/>
      </c>
      <c r="S20" s="31" t="str">
        <f t="shared" si="5"/>
        <v/>
      </c>
      <c r="T20" s="35" t="str">
        <f t="shared" si="8"/>
        <v/>
      </c>
      <c r="U20" s="35" t="str">
        <f t="shared" si="9"/>
        <v/>
      </c>
      <c r="V20" s="37" t="str">
        <f>IF(A20="","",VLOOKUP(B20,'Datos Biyemas'!B22:BB59,21,0))</f>
        <v/>
      </c>
      <c r="W20" s="32" t="str">
        <f>IF(A20="","",VLOOKUP(B20,'Datos Biyemas'!B22:BB59,22,0))</f>
        <v/>
      </c>
      <c r="X20" s="32" t="str">
        <f>IF(A20="","",VLOOKUP(B20,'Datos Biyemas'!B22:BB59,23,0))</f>
        <v/>
      </c>
      <c r="Y20" s="32" t="str">
        <f>IF(A20="","",VLOOKUP(B20,'Datos Biyemas'!B22:BB59,24,0))</f>
        <v/>
      </c>
      <c r="Z20" s="33" t="str">
        <f t="shared" si="23"/>
        <v/>
      </c>
      <c r="AA20" s="33" t="str">
        <f t="shared" si="24"/>
        <v/>
      </c>
      <c r="AB20" s="34" t="str">
        <f t="shared" si="25"/>
        <v/>
      </c>
      <c r="AC20" s="31" t="str">
        <f t="shared" si="26"/>
        <v/>
      </c>
      <c r="AD20" s="37" t="str">
        <f t="shared" si="14"/>
        <v/>
      </c>
      <c r="AE20" s="32" t="str">
        <f>IF(A20="","",VLOOKUP(B20,'Datos Biyemas'!B22:BB59,30,0))</f>
        <v/>
      </c>
      <c r="AF20" s="31" t="str">
        <f t="shared" si="15"/>
        <v/>
      </c>
      <c r="AG20" s="32" t="str">
        <f>IF(A20="","",VLOOKUP(B20,'Datos Biyemas'!B22:BB59,32,0))</f>
        <v/>
      </c>
      <c r="AH20" s="32" t="str">
        <f>IF(A20="","",VLOOKUP(B20,'Datos Biyemas'!B22:BB59,33,0))</f>
        <v/>
      </c>
      <c r="AI20" s="32" t="str">
        <f>IF(A20="","",VLOOKUP(B20,'Datos Biyemas'!B22:BB59,34,0))</f>
        <v/>
      </c>
      <c r="AJ20" s="34" t="str">
        <f t="shared" si="27"/>
        <v/>
      </c>
      <c r="AK20" s="35" t="str">
        <f t="shared" si="17"/>
        <v/>
      </c>
      <c r="AL20" s="37" t="str">
        <f>IF(A20="","",VLOOKUP(B20,'Datos Biyemas'!B22:BB59,37,0))</f>
        <v/>
      </c>
      <c r="AM20" s="58" t="str">
        <f t="shared" si="18"/>
        <v/>
      </c>
      <c r="AN20" s="262" t="str">
        <f>IF(BP20=A20,'Datos Biyemas'!BL22,"")</f>
        <v/>
      </c>
      <c r="AO20" s="32" t="str">
        <f>IF(A20="","",VLOOKUP(B20,'Datos Biyemas'!B22:BF59,39,0))</f>
        <v/>
      </c>
      <c r="AP20" s="36" t="str">
        <f t="shared" si="28"/>
        <v/>
      </c>
      <c r="AQ20" s="32" t="str">
        <f>IF(A20="","",VLOOKUP(B20,'Datos Biyemas'!B22:BH59,41,0))</f>
        <v/>
      </c>
      <c r="AR20" s="32" t="str">
        <f>IF(A20="","",VLOOKUP(B20,'Datos Biyemas'!B22:BI59,42,0))</f>
        <v/>
      </c>
      <c r="AS20" s="32" t="str">
        <f>IF(A20="","",VLOOKUP(B20,'Datos Biyemas'!B22:BJ59,43,0))</f>
        <v/>
      </c>
      <c r="AT20" s="32" t="str">
        <f>IF(A20="","",VLOOKUP(B20,'Datos Biyemas'!B22:BK59,44,0))</f>
        <v/>
      </c>
      <c r="AU20" s="58" t="str">
        <f>IF(A20="","",VLOOKUP(C20,'Datos Biyemas'!C22:BL59,44,0))</f>
        <v/>
      </c>
      <c r="AV20" s="37" t="str">
        <f t="shared" si="29"/>
        <v/>
      </c>
      <c r="AW20" s="38" t="str">
        <f t="shared" si="19"/>
        <v/>
      </c>
      <c r="AY20" s="180" t="str">
        <f>IF(A20="","",+'Datos Biyemas'!AY22)</f>
        <v/>
      </c>
      <c r="AZ20" s="258" t="str">
        <f t="shared" si="20"/>
        <v/>
      </c>
      <c r="BA20" s="255" t="str">
        <f>IF(A20="","",VLOOKUP(B20,'Datos Biyemas'!B22:BF59,51,0))</f>
        <v/>
      </c>
      <c r="BB20" s="28" t="str">
        <f t="shared" si="21"/>
        <v/>
      </c>
      <c r="BC20" s="180" t="str">
        <f>IF(BP20=A20,'Datos Biyemas'!BL22,"")</f>
        <v/>
      </c>
      <c r="BD20" s="181" t="str">
        <f t="shared" si="22"/>
        <v/>
      </c>
      <c r="BE20" s="29" t="str">
        <f>IF(A20="","",VLOOKUP(B20,'Datos Biyemas'!B22:BF59,53,0))</f>
        <v/>
      </c>
      <c r="BF20" s="28" t="str">
        <f>IF(A20="","",VLOOKUP(B20,'Datos Biyemas'!B22:BF59,54,0))</f>
        <v/>
      </c>
      <c r="BG20" s="28" t="str">
        <f>IF(A20="","",VLOOKUP(B20,'Datos Biyemas'!B22:BF59,55,0))</f>
        <v/>
      </c>
      <c r="BH20" s="28" t="str">
        <f>IF(A20="","",VLOOKUP(B20,'Datos Biyemas'!B22:BF59,51,0))</f>
        <v/>
      </c>
      <c r="BI20" s="28" t="str">
        <f>IF(A20="","",VLOOKUP(B20,'Datos Biyemas'!B22:BF59,52,0))</f>
        <v/>
      </c>
      <c r="BJ20" s="211" t="str">
        <f>IF(A20="","",VLOOKUP(B20,'Datos Biyemas'!B22:BH59,58,0))</f>
        <v/>
      </c>
      <c r="BK20" s="27" t="str">
        <f>IF(A20="","",VLOOKUP(B20,'Datos Biyemas'!B22:BH59,59,0))</f>
        <v/>
      </c>
      <c r="BL20" s="29" t="str">
        <f>IF(A20="","",VLOOKUP(B20,'Datos Biyemas'!B22:BF59,55,0))</f>
        <v/>
      </c>
      <c r="BM20" s="28" t="str">
        <f>IF(A20="","",VLOOKUP(B20,'Datos Biyemas'!B22:BF59,56,0))</f>
        <v/>
      </c>
      <c r="BN20" s="181" t="str">
        <f>IF(A20="","",VLOOKUP(B20,'Datos Biyemas'!B22:BF59,57,0))</f>
        <v/>
      </c>
      <c r="BO20" s="59"/>
      <c r="BP20" s="190" t="s">
        <v>105</v>
      </c>
    </row>
    <row r="21" spans="1:68" ht="11.25" customHeight="1" x14ac:dyDescent="0.2">
      <c r="A21" s="188" t="str">
        <f>IF(BP21='Datos Biyemas'!A23,'Datos Biyemas'!A23,"")</f>
        <v/>
      </c>
      <c r="B21" s="185" t="str">
        <f>IF(BP21=A21,'Datos Biyemas'!B23,"")</f>
        <v/>
      </c>
      <c r="C21" s="186" t="str">
        <f>IF(BP21=A21,'Datos Biyemas'!C23,"")</f>
        <v/>
      </c>
      <c r="D21" s="37" t="str">
        <f>IF(BP21=A21,VLOOKUP(B21,'Datos Biyemas'!B23:BB60,3,0),"")</f>
        <v/>
      </c>
      <c r="E21" s="32" t="str">
        <f>IF(BP21=A21,VLOOKUP(B21,'Datos Biyemas'!B23:BB60,4,0),"")</f>
        <v/>
      </c>
      <c r="F21" s="32" t="str">
        <f>IF(BP21=A21,VLOOKUP(B21,'Datos Biyemas'!B23:BB60,5,0),"")</f>
        <v/>
      </c>
      <c r="G21" s="32" t="str">
        <f>IF(BP21=A21,VLOOKUP(B21,'Datos Biyemas'!B23:BB60,6,0),"")</f>
        <v/>
      </c>
      <c r="H21" s="33" t="str">
        <f t="shared" si="31"/>
        <v/>
      </c>
      <c r="I21" s="33" t="str">
        <f t="shared" si="1"/>
        <v/>
      </c>
      <c r="J21" s="34" t="str">
        <f t="shared" si="2"/>
        <v/>
      </c>
      <c r="K21" s="31" t="str">
        <f t="shared" si="3"/>
        <v/>
      </c>
      <c r="L21" s="37" t="str">
        <f>IF(A21="","",VLOOKUP(B21,'Datos Biyemas'!B23:BB60,11,0))</f>
        <v/>
      </c>
      <c r="M21" s="32" t="str">
        <f>IF(A21="","",VLOOKUP(B21,'Datos Biyemas'!B23:BB60,12,0))</f>
        <v/>
      </c>
      <c r="N21" s="32" t="str">
        <f>IF(A21="","",VLOOKUP(B21,'Datos Biyemas'!B23:BB60,13,0))</f>
        <v/>
      </c>
      <c r="O21" s="32" t="str">
        <f>IF(A21="","",VLOOKUP(B21,'Datos Biyemas'!B23:BB60,14,0))</f>
        <v/>
      </c>
      <c r="P21" s="33" t="str">
        <f t="shared" si="6"/>
        <v/>
      </c>
      <c r="Q21" s="33" t="str">
        <f t="shared" si="7"/>
        <v/>
      </c>
      <c r="R21" s="34" t="str">
        <f t="shared" si="4"/>
        <v/>
      </c>
      <c r="S21" s="31" t="str">
        <f t="shared" si="5"/>
        <v/>
      </c>
      <c r="T21" s="35" t="str">
        <f t="shared" si="8"/>
        <v/>
      </c>
      <c r="U21" s="35" t="str">
        <f t="shared" si="9"/>
        <v/>
      </c>
      <c r="V21" s="37" t="str">
        <f>IF(A21="","",VLOOKUP(B21,'Datos Biyemas'!B23:BB60,21,0))</f>
        <v/>
      </c>
      <c r="W21" s="32" t="str">
        <f>IF(A21="","",VLOOKUP(B21,'Datos Biyemas'!B23:BB60,22,0))</f>
        <v/>
      </c>
      <c r="X21" s="32" t="str">
        <f>IF(A21="","",VLOOKUP(B21,'Datos Biyemas'!B23:BB60,23,0))</f>
        <v/>
      </c>
      <c r="Y21" s="32" t="str">
        <f>IF(A21="","",VLOOKUP(B21,'Datos Biyemas'!B23:BB60,24,0))</f>
        <v/>
      </c>
      <c r="Z21" s="33" t="str">
        <f t="shared" si="23"/>
        <v/>
      </c>
      <c r="AA21" s="33" t="str">
        <f t="shared" si="24"/>
        <v/>
      </c>
      <c r="AB21" s="34" t="str">
        <f t="shared" si="25"/>
        <v/>
      </c>
      <c r="AC21" s="31" t="str">
        <f t="shared" si="26"/>
        <v/>
      </c>
      <c r="AD21" s="37" t="str">
        <f t="shared" si="14"/>
        <v/>
      </c>
      <c r="AE21" s="32" t="str">
        <f>IF(A21="","",VLOOKUP(B21,'Datos Biyemas'!B23:BB60,30,0))</f>
        <v/>
      </c>
      <c r="AF21" s="31" t="str">
        <f t="shared" si="15"/>
        <v/>
      </c>
      <c r="AG21" s="32" t="str">
        <f>IF(A21="","",VLOOKUP(B21,'Datos Biyemas'!B23:BB60,32,0))</f>
        <v/>
      </c>
      <c r="AH21" s="32" t="str">
        <f>IF(A21="","",VLOOKUP(B21,'Datos Biyemas'!B23:BB60,33,0))</f>
        <v/>
      </c>
      <c r="AI21" s="32" t="str">
        <f>IF(A21="","",VLOOKUP(B21,'Datos Biyemas'!B23:BB60,34,0))</f>
        <v/>
      </c>
      <c r="AJ21" s="34" t="str">
        <f t="shared" si="27"/>
        <v/>
      </c>
      <c r="AK21" s="35" t="str">
        <f t="shared" si="17"/>
        <v/>
      </c>
      <c r="AL21" s="37" t="str">
        <f>IF(A21="","",VLOOKUP(B21,'Datos Biyemas'!B23:BB60,37,0))</f>
        <v/>
      </c>
      <c r="AM21" s="58" t="str">
        <f t="shared" si="18"/>
        <v/>
      </c>
      <c r="AN21" s="262" t="str">
        <f>IF(BP21=A21,'Datos Biyemas'!BL23,"")</f>
        <v/>
      </c>
      <c r="AO21" s="32" t="str">
        <f>IF(A21="","",VLOOKUP(B21,'Datos Biyemas'!B23:BF60,39,0))</f>
        <v/>
      </c>
      <c r="AP21" s="36" t="str">
        <f t="shared" si="28"/>
        <v/>
      </c>
      <c r="AQ21" s="32" t="str">
        <f>IF(A21="","",VLOOKUP(B21,'Datos Biyemas'!B23:BH60,41,0))</f>
        <v/>
      </c>
      <c r="AR21" s="32" t="str">
        <f>IF(A21="","",VLOOKUP(B21,'Datos Biyemas'!B23:BI60,42,0))</f>
        <v/>
      </c>
      <c r="AS21" s="32" t="str">
        <f>IF(A21="","",VLOOKUP(B21,'Datos Biyemas'!B23:BJ60,43,0))</f>
        <v/>
      </c>
      <c r="AT21" s="32" t="str">
        <f>IF(A21="","",VLOOKUP(B21,'Datos Biyemas'!B23:BK60,44,0))</f>
        <v/>
      </c>
      <c r="AU21" s="58" t="str">
        <f>IF(A21="","",VLOOKUP(C21,'Datos Biyemas'!C23:BL60,44,0))</f>
        <v/>
      </c>
      <c r="AV21" s="37" t="str">
        <f t="shared" si="29"/>
        <v/>
      </c>
      <c r="AW21" s="38" t="str">
        <f t="shared" si="19"/>
        <v/>
      </c>
      <c r="AY21" s="180" t="str">
        <f>IF(A21="","",+'Datos Biyemas'!AY23)</f>
        <v/>
      </c>
      <c r="AZ21" s="258" t="str">
        <f t="shared" si="20"/>
        <v/>
      </c>
      <c r="BA21" s="255" t="str">
        <f>IF(A21="","",VLOOKUP(B21,'Datos Biyemas'!B23:BF60,51,0))</f>
        <v/>
      </c>
      <c r="BB21" s="28" t="str">
        <f t="shared" si="21"/>
        <v/>
      </c>
      <c r="BC21" s="180" t="str">
        <f>IF(BP21=A21,'Datos Biyemas'!BL23,"")</f>
        <v/>
      </c>
      <c r="BD21" s="181" t="str">
        <f t="shared" si="22"/>
        <v/>
      </c>
      <c r="BE21" s="29" t="str">
        <f>IF(A21="","",VLOOKUP(B21,'Datos Biyemas'!B23:BF60,53,0))</f>
        <v/>
      </c>
      <c r="BF21" s="28" t="str">
        <f>IF(A21="","",VLOOKUP(B21,'Datos Biyemas'!B23:BF60,54,0))</f>
        <v/>
      </c>
      <c r="BG21" s="28" t="str">
        <f>IF(A21="","",VLOOKUP(B21,'Datos Biyemas'!B23:BF60,55,0))</f>
        <v/>
      </c>
      <c r="BH21" s="28" t="str">
        <f>IF(A21="","",VLOOKUP(B21,'Datos Biyemas'!B23:BF60,51,0))</f>
        <v/>
      </c>
      <c r="BI21" s="28" t="str">
        <f>IF(A21="","",VLOOKUP(B21,'Datos Biyemas'!B23:BF60,52,0))</f>
        <v/>
      </c>
      <c r="BJ21" s="211" t="str">
        <f>IF(A21="","",VLOOKUP(B21,'Datos Biyemas'!B23:BH60,58,0))</f>
        <v/>
      </c>
      <c r="BK21" s="27" t="str">
        <f>IF(A21="","",VLOOKUP(B21,'Datos Biyemas'!B23:BH60,59,0))</f>
        <v/>
      </c>
      <c r="BL21" s="29" t="str">
        <f>IF(A21="","",VLOOKUP(B21,'Datos Biyemas'!B23:BF60,55,0))</f>
        <v/>
      </c>
      <c r="BM21" s="28" t="str">
        <f>IF(A21="","",VLOOKUP(B21,'Datos Biyemas'!B23:BF60,56,0))</f>
        <v/>
      </c>
      <c r="BN21" s="181" t="str">
        <f>IF(A21="","",VLOOKUP(B21,'Datos Biyemas'!B23:BF60,57,0))</f>
        <v/>
      </c>
      <c r="BO21" s="59"/>
      <c r="BP21" s="190" t="s">
        <v>111</v>
      </c>
    </row>
    <row r="22" spans="1:68" ht="11.25" customHeight="1" x14ac:dyDescent="0.2">
      <c r="A22" s="188" t="str">
        <f>IF(BP22='Datos Biyemas'!A24,'Datos Biyemas'!A24,"")</f>
        <v/>
      </c>
      <c r="B22" s="185" t="str">
        <f>IF(BP22=A22,'Datos Biyemas'!B24,"")</f>
        <v/>
      </c>
      <c r="C22" s="186" t="str">
        <f>IF(BP22=A22,'Datos Biyemas'!C24,"")</f>
        <v/>
      </c>
      <c r="D22" s="37" t="str">
        <f>IF(BP22=A22,VLOOKUP(B22,'Datos Biyemas'!B24:BB61,3,0),"")</f>
        <v/>
      </c>
      <c r="E22" s="32" t="str">
        <f>IF(BP22=A22,VLOOKUP(B22,'Datos Biyemas'!B24:BB61,4,0),"")</f>
        <v/>
      </c>
      <c r="F22" s="32" t="str">
        <f>IF(BP22=A22,VLOOKUP(B22,'Datos Biyemas'!B24:BB61,5,0),"")</f>
        <v/>
      </c>
      <c r="G22" s="32" t="str">
        <f>IF(BP22=A22,VLOOKUP(B22,'Datos Biyemas'!B24:BB61,6,0),"")</f>
        <v/>
      </c>
      <c r="H22" s="33" t="str">
        <f t="shared" si="31"/>
        <v/>
      </c>
      <c r="I22" s="33" t="str">
        <f t="shared" si="1"/>
        <v/>
      </c>
      <c r="J22" s="34" t="str">
        <f t="shared" si="2"/>
        <v/>
      </c>
      <c r="K22" s="31" t="str">
        <f t="shared" si="3"/>
        <v/>
      </c>
      <c r="L22" s="37" t="str">
        <f>IF(A22="","",VLOOKUP(B22,'Datos Biyemas'!B24:BB61,11,0))</f>
        <v/>
      </c>
      <c r="M22" s="32" t="str">
        <f>IF(A22="","",VLOOKUP(B22,'Datos Biyemas'!B24:BB61,12,0))</f>
        <v/>
      </c>
      <c r="N22" s="32" t="str">
        <f>IF(A22="","",VLOOKUP(B22,'Datos Biyemas'!B24:BB61,13,0))</f>
        <v/>
      </c>
      <c r="O22" s="32" t="str">
        <f>IF(A22="","",VLOOKUP(B22,'Datos Biyemas'!B24:BB61,14,0))</f>
        <v/>
      </c>
      <c r="P22" s="33" t="str">
        <f t="shared" si="6"/>
        <v/>
      </c>
      <c r="Q22" s="33" t="str">
        <f t="shared" si="7"/>
        <v/>
      </c>
      <c r="R22" s="34" t="str">
        <f t="shared" si="4"/>
        <v/>
      </c>
      <c r="S22" s="31" t="str">
        <f t="shared" si="5"/>
        <v/>
      </c>
      <c r="T22" s="35" t="str">
        <f t="shared" si="8"/>
        <v/>
      </c>
      <c r="U22" s="35" t="str">
        <f t="shared" si="9"/>
        <v/>
      </c>
      <c r="V22" s="37" t="str">
        <f>IF(A22="","",VLOOKUP(B22,'Datos Biyemas'!B24:BB61,21,0))</f>
        <v/>
      </c>
      <c r="W22" s="32" t="str">
        <f>IF(A22="","",VLOOKUP(B22,'Datos Biyemas'!B24:BB61,22,0))</f>
        <v/>
      </c>
      <c r="X22" s="32" t="str">
        <f>IF(A22="","",VLOOKUP(B22,'Datos Biyemas'!B24:BB61,23,0))</f>
        <v/>
      </c>
      <c r="Y22" s="32" t="str">
        <f>IF(A22="","",VLOOKUP(B22,'Datos Biyemas'!B24:BB61,24,0))</f>
        <v/>
      </c>
      <c r="Z22" s="33" t="str">
        <f t="shared" si="23"/>
        <v/>
      </c>
      <c r="AA22" s="33" t="str">
        <f t="shared" si="24"/>
        <v/>
      </c>
      <c r="AB22" s="34" t="str">
        <f t="shared" si="25"/>
        <v/>
      </c>
      <c r="AC22" s="31" t="str">
        <f t="shared" si="26"/>
        <v/>
      </c>
      <c r="AD22" s="37" t="str">
        <f t="shared" si="14"/>
        <v/>
      </c>
      <c r="AE22" s="32" t="str">
        <f>IF(A22="","",VLOOKUP(B22,'Datos Biyemas'!B24:BB61,30,0))</f>
        <v/>
      </c>
      <c r="AF22" s="31" t="str">
        <f t="shared" si="15"/>
        <v/>
      </c>
      <c r="AG22" s="32" t="str">
        <f>IF(A22="","",VLOOKUP(B22,'Datos Biyemas'!B24:BB61,32,0))</f>
        <v/>
      </c>
      <c r="AH22" s="32" t="str">
        <f>IF(A22="","",VLOOKUP(B22,'Datos Biyemas'!B24:BB61,33,0))</f>
        <v/>
      </c>
      <c r="AI22" s="32" t="str">
        <f>IF(A22="","",VLOOKUP(B22,'Datos Biyemas'!B24:BB61,34,0))</f>
        <v/>
      </c>
      <c r="AJ22" s="34" t="str">
        <f t="shared" si="27"/>
        <v/>
      </c>
      <c r="AK22" s="35" t="str">
        <f t="shared" si="17"/>
        <v/>
      </c>
      <c r="AL22" s="37" t="str">
        <f>IF(A22="","",VLOOKUP(B22,'Datos Biyemas'!B24:BB61,37,0))</f>
        <v/>
      </c>
      <c r="AM22" s="58" t="str">
        <f t="shared" si="18"/>
        <v/>
      </c>
      <c r="AN22" s="262" t="str">
        <f>IF(BP22=A22,'Datos Biyemas'!BL24,"")</f>
        <v/>
      </c>
      <c r="AO22" s="32" t="str">
        <f>IF(A22="","",VLOOKUP(B22,'Datos Biyemas'!B24:BF61,39,0))</f>
        <v/>
      </c>
      <c r="AP22" s="36" t="str">
        <f t="shared" si="28"/>
        <v/>
      </c>
      <c r="AQ22" s="32" t="str">
        <f>IF(A22="","",VLOOKUP(B22,'Datos Biyemas'!B24:BH61,41,0))</f>
        <v/>
      </c>
      <c r="AR22" s="32" t="str">
        <f>IF(A22="","",VLOOKUP(B22,'Datos Biyemas'!B24:BI61,42,0))</f>
        <v/>
      </c>
      <c r="AS22" s="32" t="str">
        <f>IF(A22="","",VLOOKUP(B22,'Datos Biyemas'!B24:BJ61,43,0))</f>
        <v/>
      </c>
      <c r="AT22" s="32" t="str">
        <f>IF(A22="","",VLOOKUP(B22,'Datos Biyemas'!B24:BK61,44,0))</f>
        <v/>
      </c>
      <c r="AU22" s="58" t="str">
        <f>IF(A22="","",VLOOKUP(C22,'Datos Biyemas'!C24:BL61,44,0))</f>
        <v/>
      </c>
      <c r="AV22" s="37" t="str">
        <f t="shared" si="29"/>
        <v/>
      </c>
      <c r="AW22" s="38" t="str">
        <f t="shared" si="19"/>
        <v/>
      </c>
      <c r="AY22" s="180" t="str">
        <f>IF(A22="","",+'Datos Biyemas'!AY24)</f>
        <v/>
      </c>
      <c r="AZ22" s="258" t="str">
        <f t="shared" si="20"/>
        <v/>
      </c>
      <c r="BA22" s="255" t="str">
        <f>IF(A22="","",VLOOKUP(B22,'Datos Biyemas'!B24:BF61,51,0))</f>
        <v/>
      </c>
      <c r="BB22" s="28" t="str">
        <f t="shared" si="21"/>
        <v/>
      </c>
      <c r="BC22" s="180" t="str">
        <f>IF(BP22=A22,'Datos Biyemas'!BL24,"")</f>
        <v/>
      </c>
      <c r="BD22" s="181" t="str">
        <f t="shared" si="22"/>
        <v/>
      </c>
      <c r="BE22" s="29" t="str">
        <f>IF(A22="","",VLOOKUP(B22,'Datos Biyemas'!B24:BF61,53,0))</f>
        <v/>
      </c>
      <c r="BF22" s="28" t="str">
        <f>IF(A22="","",VLOOKUP(B22,'Datos Biyemas'!B24:BF61,54,0))</f>
        <v/>
      </c>
      <c r="BG22" s="28" t="str">
        <f>IF(A22="","",VLOOKUP(B22,'Datos Biyemas'!B24:BF61,55,0))</f>
        <v/>
      </c>
      <c r="BH22" s="28" t="str">
        <f>IF(A22="","",VLOOKUP(B22,'Datos Biyemas'!B24:BF61,51,0))</f>
        <v/>
      </c>
      <c r="BI22" s="28" t="str">
        <f>IF(A22="","",VLOOKUP(B22,'Datos Biyemas'!B24:BF61,52,0))</f>
        <v/>
      </c>
      <c r="BJ22" s="211" t="str">
        <f>IF(A22="","",VLOOKUP(B22,'Datos Biyemas'!B24:BH61,58,0))</f>
        <v/>
      </c>
      <c r="BK22" s="27" t="str">
        <f>IF(A22="","",VLOOKUP(B22,'Datos Biyemas'!B24:BH61,59,0))</f>
        <v/>
      </c>
      <c r="BL22" s="29" t="str">
        <f>IF(A22="","",VLOOKUP(B22,'Datos Biyemas'!B24:BF61,55,0))</f>
        <v/>
      </c>
      <c r="BM22" s="28" t="str">
        <f>IF(A22="","",VLOOKUP(B22,'Datos Biyemas'!B24:BF61,56,0))</f>
        <v/>
      </c>
      <c r="BN22" s="181" t="str">
        <f>IF(A22="","",VLOOKUP(B22,'Datos Biyemas'!B24:BF61,57,0))</f>
        <v/>
      </c>
      <c r="BO22" s="59"/>
      <c r="BP22" s="190" t="s">
        <v>112</v>
      </c>
    </row>
    <row r="23" spans="1:68" x14ac:dyDescent="0.2">
      <c r="A23" s="188" t="str">
        <f>IF(BP23='Datos Biyemas'!A25,'Datos Biyemas'!A25,"")</f>
        <v/>
      </c>
      <c r="B23" s="185" t="str">
        <f>IF(BP23=A23,'Datos Biyemas'!B25,"")</f>
        <v/>
      </c>
      <c r="C23" s="186" t="str">
        <f>IF(BP23=A23,'Datos Biyemas'!C25,"")</f>
        <v/>
      </c>
      <c r="D23" s="37" t="str">
        <f>IF(BP23=A23,VLOOKUP(B23,'Datos Biyemas'!B25:BB62,3,0),"")</f>
        <v/>
      </c>
      <c r="E23" s="32" t="str">
        <f>IF(BP23=A23,VLOOKUP(B23,'Datos Biyemas'!B25:BB62,4,0),"")</f>
        <v/>
      </c>
      <c r="F23" s="32" t="str">
        <f>IF(BP23=A23,VLOOKUP(B23,'Datos Biyemas'!B25:BB62,5,0),"")</f>
        <v/>
      </c>
      <c r="G23" s="32" t="str">
        <f>IF(BP23=A23,VLOOKUP(B23,'Datos Biyemas'!B25:BB62,6,0),"")</f>
        <v/>
      </c>
      <c r="H23" s="33" t="str">
        <f>IF(BP23=A23,IF(E23&gt;0,+G23/E23,0),"")</f>
        <v/>
      </c>
      <c r="I23" s="33" t="str">
        <f t="shared" si="1"/>
        <v/>
      </c>
      <c r="J23" s="34" t="str">
        <f t="shared" si="2"/>
        <v/>
      </c>
      <c r="K23" s="31" t="str">
        <f t="shared" si="3"/>
        <v/>
      </c>
      <c r="L23" s="37" t="str">
        <f>IF(A23="","",VLOOKUP(B23,'Datos Biyemas'!B25:BB62,11,0))</f>
        <v/>
      </c>
      <c r="M23" s="32" t="str">
        <f>IF(A23="","",VLOOKUP(B23,'Datos Biyemas'!B25:BB62,12,0))</f>
        <v/>
      </c>
      <c r="N23" s="32" t="str">
        <f>IF(A23="","",VLOOKUP(B23,'Datos Biyemas'!B25:BB62,13,0))</f>
        <v/>
      </c>
      <c r="O23" s="32" t="str">
        <f>IF(A23="","",VLOOKUP(B23,'Datos Biyemas'!B25:BB62,14,0))</f>
        <v/>
      </c>
      <c r="P23" s="33" t="str">
        <f t="shared" si="6"/>
        <v/>
      </c>
      <c r="Q23" s="33" t="str">
        <f t="shared" si="7"/>
        <v/>
      </c>
      <c r="R23" s="34" t="str">
        <f t="shared" si="4"/>
        <v/>
      </c>
      <c r="S23" s="31" t="str">
        <f t="shared" si="5"/>
        <v/>
      </c>
      <c r="T23" s="35" t="str">
        <f t="shared" si="8"/>
        <v/>
      </c>
      <c r="U23" s="35" t="str">
        <f t="shared" si="9"/>
        <v/>
      </c>
      <c r="V23" s="37" t="str">
        <f>IF(A23="","",VLOOKUP(B23,'Datos Biyemas'!B25:BB62,21,0))</f>
        <v/>
      </c>
      <c r="W23" s="32" t="str">
        <f>IF(A23="","",VLOOKUP(B23,'Datos Biyemas'!B25:BB62,22,0))</f>
        <v/>
      </c>
      <c r="X23" s="32" t="str">
        <f>IF(A23="","",VLOOKUP(B23,'Datos Biyemas'!B25:BB62,23,0))</f>
        <v/>
      </c>
      <c r="Y23" s="32" t="str">
        <f>IF(A23="","",VLOOKUP(B23,'Datos Biyemas'!B25:BB62,24,0))</f>
        <v/>
      </c>
      <c r="Z23" s="33" t="str">
        <f t="shared" si="23"/>
        <v/>
      </c>
      <c r="AA23" s="33" t="str">
        <f t="shared" si="24"/>
        <v/>
      </c>
      <c r="AB23" s="34" t="str">
        <f t="shared" si="25"/>
        <v/>
      </c>
      <c r="AC23" s="31" t="str">
        <f t="shared" si="26"/>
        <v/>
      </c>
      <c r="AD23" s="37" t="str">
        <f t="shared" si="14"/>
        <v/>
      </c>
      <c r="AE23" s="32" t="str">
        <f>IF(A23="","",VLOOKUP(B23,'Datos Biyemas'!B25:BB62,30,0))</f>
        <v/>
      </c>
      <c r="AF23" s="31" t="str">
        <f t="shared" si="15"/>
        <v/>
      </c>
      <c r="AG23" s="32" t="str">
        <f>IF(A23="","",VLOOKUP(B23,'Datos Biyemas'!B25:BB62,32,0))</f>
        <v/>
      </c>
      <c r="AH23" s="32" t="str">
        <f>IF(A23="","",VLOOKUP(B23,'Datos Biyemas'!B25:BB62,33,0))</f>
        <v/>
      </c>
      <c r="AI23" s="32" t="str">
        <f>IF(A23="","",VLOOKUP(B23,'Datos Biyemas'!B25:BB62,34,0))</f>
        <v/>
      </c>
      <c r="AJ23" s="34" t="str">
        <f t="shared" si="27"/>
        <v/>
      </c>
      <c r="AK23" s="35" t="str">
        <f t="shared" si="17"/>
        <v/>
      </c>
      <c r="AL23" s="37" t="str">
        <f>IF(A23="","",VLOOKUP(B23,'Datos Biyemas'!B25:BB62,37,0))</f>
        <v/>
      </c>
      <c r="AM23" s="58" t="str">
        <f t="shared" si="18"/>
        <v/>
      </c>
      <c r="AN23" s="262" t="str">
        <f>IF(BP23=A23,'Datos Biyemas'!BL25,"")</f>
        <v/>
      </c>
      <c r="AO23" s="32" t="str">
        <f>IF(A23="","",VLOOKUP(B23,'Datos Biyemas'!B25:BF62,39,0))</f>
        <v/>
      </c>
      <c r="AP23" s="36" t="str">
        <f t="shared" si="28"/>
        <v/>
      </c>
      <c r="AQ23" s="32" t="str">
        <f>IF(A23="","",VLOOKUP(B23,'Datos Biyemas'!B25:BH62,41,0))</f>
        <v/>
      </c>
      <c r="AR23" s="32" t="str">
        <f>IF(A23="","",VLOOKUP(B23,'Datos Biyemas'!B25:BI62,42,0))</f>
        <v/>
      </c>
      <c r="AS23" s="32" t="str">
        <f>IF(A23="","",VLOOKUP(B23,'Datos Biyemas'!B25:BJ62,43,0))</f>
        <v/>
      </c>
      <c r="AT23" s="32" t="str">
        <f>IF(A23="","",VLOOKUP(B23,'Datos Biyemas'!B25:BK62,44,0))</f>
        <v/>
      </c>
      <c r="AU23" s="58" t="str">
        <f>IF(A23="","",VLOOKUP(C23,'Datos Biyemas'!C25:BL62,44,0))</f>
        <v/>
      </c>
      <c r="AV23" s="37" t="str">
        <f t="shared" si="29"/>
        <v/>
      </c>
      <c r="AW23" s="38" t="str">
        <f t="shared" si="19"/>
        <v/>
      </c>
      <c r="AY23" s="180" t="str">
        <f>IF(A23="","",+'Datos Biyemas'!AY25)</f>
        <v/>
      </c>
      <c r="AZ23" s="258" t="str">
        <f t="shared" si="20"/>
        <v/>
      </c>
      <c r="BA23" s="255" t="str">
        <f>IF(A23="","",VLOOKUP(B23,'Datos Biyemas'!B25:BF62,51,0))</f>
        <v/>
      </c>
      <c r="BB23" s="28" t="str">
        <f t="shared" si="21"/>
        <v/>
      </c>
      <c r="BC23" s="180" t="str">
        <f>IF(BP23=A23,'Datos Biyemas'!BL25,"")</f>
        <v/>
      </c>
      <c r="BD23" s="181" t="str">
        <f t="shared" si="22"/>
        <v/>
      </c>
      <c r="BE23" s="29" t="str">
        <f>IF(A23="","",VLOOKUP(B23,'Datos Biyemas'!B25:BF62,53,0))</f>
        <v/>
      </c>
      <c r="BF23" s="28" t="str">
        <f>IF(A23="","",VLOOKUP(B23,'Datos Biyemas'!B25:BF62,54,0))</f>
        <v/>
      </c>
      <c r="BG23" s="28" t="str">
        <f>IF(A23="","",VLOOKUP(B23,'Datos Biyemas'!B25:BF62,55,0))</f>
        <v/>
      </c>
      <c r="BH23" s="28" t="str">
        <f>IF(A23="","",VLOOKUP(B23,'Datos Biyemas'!B25:BF62,51,0))</f>
        <v/>
      </c>
      <c r="BI23" s="28" t="str">
        <f>IF(A23="","",VLOOKUP(B23,'Datos Biyemas'!B25:BF62,52,0))</f>
        <v/>
      </c>
      <c r="BJ23" s="211" t="str">
        <f>IF(A23="","",VLOOKUP(B23,'Datos Biyemas'!B25:BH62,58,0))</f>
        <v/>
      </c>
      <c r="BK23" s="27" t="str">
        <f>IF(A23="","",VLOOKUP(B23,'Datos Biyemas'!B25:BH62,59,0))</f>
        <v/>
      </c>
      <c r="BL23" s="29" t="str">
        <f>IF(A23="","",VLOOKUP(B23,'Datos Biyemas'!B25:BF62,55,0))</f>
        <v/>
      </c>
      <c r="BM23" s="28" t="str">
        <f>IF(A23="","",VLOOKUP(B23,'Datos Biyemas'!B25:BF62,56,0))</f>
        <v/>
      </c>
      <c r="BN23" s="181" t="str">
        <f>IF(A23="","",VLOOKUP(B23,'Datos Biyemas'!B25:BF62,57,0))</f>
        <v/>
      </c>
      <c r="BO23" s="59"/>
      <c r="BP23" s="190" t="s">
        <v>101</v>
      </c>
    </row>
    <row r="24" spans="1:68" ht="11.25" customHeight="1" x14ac:dyDescent="0.2">
      <c r="A24" s="188" t="str">
        <f>IF(BP24='Datos Biyemas'!A26,'Datos Biyemas'!A26,"")</f>
        <v/>
      </c>
      <c r="B24" s="185" t="str">
        <f>IF(BP24=A24,'Datos Biyemas'!B26,"")</f>
        <v/>
      </c>
      <c r="C24" s="186" t="str">
        <f>IF(BP24=A24,'Datos Biyemas'!C26,"")</f>
        <v/>
      </c>
      <c r="D24" s="37" t="str">
        <f>IF(BP24=A24,VLOOKUP(B24,'Datos Biyemas'!B26:BB63,3,0),"")</f>
        <v/>
      </c>
      <c r="E24" s="32" t="str">
        <f>IF(BP24=A24,VLOOKUP(B24,'Datos Biyemas'!B26:BB63,4,0),"")</f>
        <v/>
      </c>
      <c r="F24" s="32" t="str">
        <f>IF(BP24=A24,VLOOKUP(B24,'Datos Biyemas'!B26:BB63,5,0),"")</f>
        <v/>
      </c>
      <c r="G24" s="32" t="str">
        <f>IF(BP24=A24,VLOOKUP(B24,'Datos Biyemas'!B26:BB63,6,0),"")</f>
        <v/>
      </c>
      <c r="H24" s="33" t="str">
        <f t="shared" si="31"/>
        <v/>
      </c>
      <c r="I24" s="33" t="str">
        <f t="shared" si="1"/>
        <v/>
      </c>
      <c r="J24" s="34" t="str">
        <f t="shared" si="2"/>
        <v/>
      </c>
      <c r="K24" s="31" t="str">
        <f t="shared" si="3"/>
        <v/>
      </c>
      <c r="L24" s="37" t="str">
        <f>IF(A24="","",VLOOKUP(B24,'Datos Biyemas'!B26:BB63,11,0))</f>
        <v/>
      </c>
      <c r="M24" s="32" t="str">
        <f>IF(A24="","",VLOOKUP(B24,'Datos Biyemas'!B26:BB63,12,0))</f>
        <v/>
      </c>
      <c r="N24" s="32" t="str">
        <f>IF(A24="","",VLOOKUP(B24,'Datos Biyemas'!B26:BB63,13,0))</f>
        <v/>
      </c>
      <c r="O24" s="32" t="str">
        <f>IF(A24="","",VLOOKUP(B24,'Datos Biyemas'!B26:BB63,14,0))</f>
        <v/>
      </c>
      <c r="P24" s="33" t="str">
        <f t="shared" si="6"/>
        <v/>
      </c>
      <c r="Q24" s="33" t="str">
        <f t="shared" si="7"/>
        <v/>
      </c>
      <c r="R24" s="34" t="str">
        <f t="shared" si="4"/>
        <v/>
      </c>
      <c r="S24" s="31" t="str">
        <f t="shared" si="5"/>
        <v/>
      </c>
      <c r="T24" s="35" t="str">
        <f t="shared" si="8"/>
        <v/>
      </c>
      <c r="U24" s="35" t="str">
        <f t="shared" si="9"/>
        <v/>
      </c>
      <c r="V24" s="37" t="str">
        <f>IF(A24="","",VLOOKUP(B24,'Datos Biyemas'!B26:BB63,21,0))</f>
        <v/>
      </c>
      <c r="W24" s="32" t="str">
        <f>IF(A24="","",VLOOKUP(B24,'Datos Biyemas'!B26:BB63,22,0))</f>
        <v/>
      </c>
      <c r="X24" s="32" t="str">
        <f>IF(A24="","",VLOOKUP(B24,'Datos Biyemas'!B26:BB63,23,0))</f>
        <v/>
      </c>
      <c r="Y24" s="32" t="str">
        <f>IF(A24="","",VLOOKUP(B24,'Datos Biyemas'!B26:BB63,24,0))</f>
        <v/>
      </c>
      <c r="Z24" s="33" t="str">
        <f t="shared" si="23"/>
        <v/>
      </c>
      <c r="AA24" s="33" t="str">
        <f t="shared" si="24"/>
        <v/>
      </c>
      <c r="AB24" s="34" t="str">
        <f t="shared" si="25"/>
        <v/>
      </c>
      <c r="AC24" s="31" t="str">
        <f t="shared" si="26"/>
        <v/>
      </c>
      <c r="AD24" s="37" t="str">
        <f t="shared" si="14"/>
        <v/>
      </c>
      <c r="AE24" s="32" t="str">
        <f>IF(A24="","",VLOOKUP(B24,'Datos Biyemas'!B26:BB63,30,0))</f>
        <v/>
      </c>
      <c r="AF24" s="31" t="str">
        <f t="shared" si="15"/>
        <v/>
      </c>
      <c r="AG24" s="32" t="str">
        <f>IF(A24="","",VLOOKUP(B24,'Datos Biyemas'!B26:BB63,32,0))</f>
        <v/>
      </c>
      <c r="AH24" s="32" t="str">
        <f>IF(A24="","",VLOOKUP(B24,'Datos Biyemas'!B26:BB63,33,0))</f>
        <v/>
      </c>
      <c r="AI24" s="32" t="str">
        <f>IF(A24="","",VLOOKUP(B24,'Datos Biyemas'!B26:BB63,34,0))</f>
        <v/>
      </c>
      <c r="AJ24" s="34" t="str">
        <f t="shared" si="27"/>
        <v/>
      </c>
      <c r="AK24" s="35" t="str">
        <f t="shared" si="17"/>
        <v/>
      </c>
      <c r="AL24" s="37" t="str">
        <f>IF(A24="","",VLOOKUP(B24,'Datos Biyemas'!B26:BB63,37,0))</f>
        <v/>
      </c>
      <c r="AM24" s="58" t="str">
        <f t="shared" si="18"/>
        <v/>
      </c>
      <c r="AN24" s="262" t="str">
        <f>IF(BP24=A24,'Datos Biyemas'!BL26,"")</f>
        <v/>
      </c>
      <c r="AO24" s="32" t="str">
        <f>IF(A24="","",VLOOKUP(B24,'Datos Biyemas'!B26:BF63,39,0))</f>
        <v/>
      </c>
      <c r="AP24" s="36" t="str">
        <f t="shared" si="28"/>
        <v/>
      </c>
      <c r="AQ24" s="32" t="str">
        <f>IF(A24="","",VLOOKUP(B24,'Datos Biyemas'!B26:BH63,41,0))</f>
        <v/>
      </c>
      <c r="AR24" s="32" t="str">
        <f>IF(A24="","",VLOOKUP(B24,'Datos Biyemas'!B26:BI63,42,0))</f>
        <v/>
      </c>
      <c r="AS24" s="32" t="str">
        <f>IF(A24="","",VLOOKUP(B24,'Datos Biyemas'!B26:BJ63,43,0))</f>
        <v/>
      </c>
      <c r="AT24" s="32" t="str">
        <f>IF(A24="","",VLOOKUP(B24,'Datos Biyemas'!B26:BK63,44,0))</f>
        <v/>
      </c>
      <c r="AU24" s="58" t="str">
        <f>IF(A24="","",VLOOKUP(C24,'Datos Biyemas'!C26:BL63,44,0))</f>
        <v/>
      </c>
      <c r="AV24" s="37" t="str">
        <f t="shared" si="29"/>
        <v/>
      </c>
      <c r="AW24" s="38" t="str">
        <f t="shared" si="19"/>
        <v/>
      </c>
      <c r="AY24" s="180" t="str">
        <f>IF(A24="","",+'Datos Biyemas'!AY26)</f>
        <v/>
      </c>
      <c r="AZ24" s="258" t="str">
        <f t="shared" si="20"/>
        <v/>
      </c>
      <c r="BA24" s="255" t="str">
        <f>IF(A24="","",VLOOKUP(B24,'Datos Biyemas'!B26:BF63,51,0))</f>
        <v/>
      </c>
      <c r="BB24" s="28" t="str">
        <f t="shared" si="21"/>
        <v/>
      </c>
      <c r="BC24" s="180" t="str">
        <f>IF(BP24=A24,'Datos Biyemas'!BL26,"")</f>
        <v/>
      </c>
      <c r="BD24" s="181" t="str">
        <f t="shared" si="22"/>
        <v/>
      </c>
      <c r="BE24" s="29" t="str">
        <f>IF(A24="","",VLOOKUP(B24,'Datos Biyemas'!B26:BF63,53,0))</f>
        <v/>
      </c>
      <c r="BF24" s="28" t="str">
        <f>IF(A24="","",VLOOKUP(B24,'Datos Biyemas'!B26:BF63,54,0))</f>
        <v/>
      </c>
      <c r="BG24" s="28" t="str">
        <f>IF(A24="","",VLOOKUP(B24,'Datos Biyemas'!B26:BF63,55,0))</f>
        <v/>
      </c>
      <c r="BH24" s="28" t="str">
        <f>IF(A24="","",VLOOKUP(B24,'Datos Biyemas'!B26:BF63,51,0))</f>
        <v/>
      </c>
      <c r="BI24" s="28" t="str">
        <f>IF(A24="","",VLOOKUP(B24,'Datos Biyemas'!B26:BF63,52,0))</f>
        <v/>
      </c>
      <c r="BJ24" s="211" t="str">
        <f>IF(A24="","",VLOOKUP(B24,'Datos Biyemas'!B26:BH63,58,0))</f>
        <v/>
      </c>
      <c r="BK24" s="27" t="str">
        <f>IF(A24="","",VLOOKUP(B24,'Datos Biyemas'!B26:BH63,59,0))</f>
        <v/>
      </c>
      <c r="BL24" s="29" t="str">
        <f>IF(A24="","",VLOOKUP(B24,'Datos Biyemas'!B26:BF63,55,0))</f>
        <v/>
      </c>
      <c r="BM24" s="28" t="str">
        <f>IF(A24="","",VLOOKUP(B24,'Datos Biyemas'!B26:BF63,56,0))</f>
        <v/>
      </c>
      <c r="BN24" s="181" t="str">
        <f>IF(A24="","",VLOOKUP(B24,'Datos Biyemas'!B26:BF63,57,0))</f>
        <v/>
      </c>
      <c r="BO24" s="59"/>
      <c r="BP24" s="190" t="s">
        <v>102</v>
      </c>
    </row>
    <row r="25" spans="1:68" ht="11.25" customHeight="1" x14ac:dyDescent="0.2">
      <c r="A25" s="188" t="str">
        <f>IF(BP25='Datos Biyemas'!A27,'Datos Biyemas'!A27,"")</f>
        <v/>
      </c>
      <c r="B25" s="185" t="str">
        <f>IF(BP25=A25,'Datos Biyemas'!B27,"")</f>
        <v/>
      </c>
      <c r="C25" s="186" t="str">
        <f>IF(BP25=A25,'Datos Biyemas'!C27,"")</f>
        <v/>
      </c>
      <c r="D25" s="37" t="str">
        <f>IF(BP25=A25,VLOOKUP(B25,'Datos Biyemas'!B27:BB64,3,0),"")</f>
        <v/>
      </c>
      <c r="E25" s="32" t="str">
        <f>IF(BP25=A25,VLOOKUP(B25,'Datos Biyemas'!B27:BB64,4,0),"")</f>
        <v/>
      </c>
      <c r="F25" s="32" t="str">
        <f>IF(BP25=A25,VLOOKUP(B25,'Datos Biyemas'!B27:BB64,5,0),"")</f>
        <v/>
      </c>
      <c r="G25" s="32" t="str">
        <f>IF(BP25=A25,VLOOKUP(B25,'Datos Biyemas'!B27:BB64,6,0),"")</f>
        <v/>
      </c>
      <c r="H25" s="33" t="str">
        <f t="shared" si="31"/>
        <v/>
      </c>
      <c r="I25" s="33" t="str">
        <f t="shared" si="1"/>
        <v/>
      </c>
      <c r="J25" s="34" t="str">
        <f t="shared" si="2"/>
        <v/>
      </c>
      <c r="K25" s="31" t="str">
        <f t="shared" si="3"/>
        <v/>
      </c>
      <c r="L25" s="37" t="str">
        <f>IF(A25="","",VLOOKUP(B25,'Datos Biyemas'!B27:BB64,11,0))</f>
        <v/>
      </c>
      <c r="M25" s="32" t="str">
        <f>IF(A25="","",VLOOKUP(B25,'Datos Biyemas'!B27:BB64,12,0))</f>
        <v/>
      </c>
      <c r="N25" s="32" t="str">
        <f>IF(A25="","",VLOOKUP(B25,'Datos Biyemas'!B27:BB64,13,0))</f>
        <v/>
      </c>
      <c r="O25" s="32" t="str">
        <f>IF(A25="","",VLOOKUP(B25,'Datos Biyemas'!B27:BB64,14,0))</f>
        <v/>
      </c>
      <c r="P25" s="33" t="str">
        <f t="shared" si="6"/>
        <v/>
      </c>
      <c r="Q25" s="33" t="str">
        <f t="shared" si="7"/>
        <v/>
      </c>
      <c r="R25" s="34" t="str">
        <f t="shared" si="4"/>
        <v/>
      </c>
      <c r="S25" s="31" t="str">
        <f t="shared" si="5"/>
        <v/>
      </c>
      <c r="T25" s="35" t="str">
        <f t="shared" si="8"/>
        <v/>
      </c>
      <c r="U25" s="35" t="str">
        <f t="shared" si="9"/>
        <v/>
      </c>
      <c r="V25" s="37" t="str">
        <f>IF(A25="","",VLOOKUP(B25,'Datos Biyemas'!B27:BB64,21,0))</f>
        <v/>
      </c>
      <c r="W25" s="32" t="str">
        <f>IF(A25="","",VLOOKUP(B25,'Datos Biyemas'!B27:BB64,22,0))</f>
        <v/>
      </c>
      <c r="X25" s="32" t="str">
        <f>IF(A25="","",VLOOKUP(B25,'Datos Biyemas'!B27:BB64,23,0))</f>
        <v/>
      </c>
      <c r="Y25" s="32" t="str">
        <f>IF(A25="","",VLOOKUP(B25,'Datos Biyemas'!B27:BB64,24,0))</f>
        <v/>
      </c>
      <c r="Z25" s="33" t="str">
        <f t="shared" si="23"/>
        <v/>
      </c>
      <c r="AA25" s="33" t="str">
        <f t="shared" si="24"/>
        <v/>
      </c>
      <c r="AB25" s="34" t="str">
        <f t="shared" si="25"/>
        <v/>
      </c>
      <c r="AC25" s="31" t="str">
        <f t="shared" si="26"/>
        <v/>
      </c>
      <c r="AD25" s="37" t="str">
        <f t="shared" si="14"/>
        <v/>
      </c>
      <c r="AE25" s="32" t="str">
        <f>IF(A25="","",VLOOKUP(B25,'Datos Biyemas'!B27:BB64,30,0))</f>
        <v/>
      </c>
      <c r="AF25" s="31" t="str">
        <f t="shared" si="15"/>
        <v/>
      </c>
      <c r="AG25" s="32" t="str">
        <f>IF(A25="","",VLOOKUP(B25,'Datos Biyemas'!B27:BB64,32,0))</f>
        <v/>
      </c>
      <c r="AH25" s="32" t="str">
        <f>IF(A25="","",VLOOKUP(B25,'Datos Biyemas'!B27:BB64,33,0))</f>
        <v/>
      </c>
      <c r="AI25" s="32" t="str">
        <f>IF(A25="","",VLOOKUP(B25,'Datos Biyemas'!B27:BB64,34,0))</f>
        <v/>
      </c>
      <c r="AJ25" s="34" t="str">
        <f t="shared" si="27"/>
        <v/>
      </c>
      <c r="AK25" s="35" t="str">
        <f t="shared" si="17"/>
        <v/>
      </c>
      <c r="AL25" s="37" t="str">
        <f>IF(A25="","",VLOOKUP(B25,'Datos Biyemas'!B27:BB64,37,0))</f>
        <v/>
      </c>
      <c r="AM25" s="58" t="str">
        <f t="shared" si="18"/>
        <v/>
      </c>
      <c r="AN25" s="262" t="str">
        <f>IF(BP25=A25,'Datos Biyemas'!BL27,"")</f>
        <v/>
      </c>
      <c r="AO25" s="32" t="str">
        <f>IF(A25="","",VLOOKUP(B25,'Datos Biyemas'!B27:BF64,39,0))</f>
        <v/>
      </c>
      <c r="AP25" s="36" t="str">
        <f t="shared" si="28"/>
        <v/>
      </c>
      <c r="AQ25" s="32" t="str">
        <f>IF(A25="","",VLOOKUP(B25,'Datos Biyemas'!B27:BH64,41,0))</f>
        <v/>
      </c>
      <c r="AR25" s="32" t="str">
        <f>IF(A25="","",VLOOKUP(B25,'Datos Biyemas'!B27:BI64,42,0))</f>
        <v/>
      </c>
      <c r="AS25" s="32" t="str">
        <f>IF(A25="","",VLOOKUP(B25,'Datos Biyemas'!B27:BJ64,43,0))</f>
        <v/>
      </c>
      <c r="AT25" s="32" t="str">
        <f>IF(A25="","",VLOOKUP(B25,'Datos Biyemas'!B27:BK64,44,0))</f>
        <v/>
      </c>
      <c r="AU25" s="58" t="str">
        <f>IF(A25="","",VLOOKUP(C25,'Datos Biyemas'!C27:BL64,44,0))</f>
        <v/>
      </c>
      <c r="AV25" s="37" t="str">
        <f t="shared" si="29"/>
        <v/>
      </c>
      <c r="AW25" s="38" t="str">
        <f t="shared" si="19"/>
        <v/>
      </c>
      <c r="AY25" s="180" t="str">
        <f>IF(A25="","",+'Datos Biyemas'!AY27)</f>
        <v/>
      </c>
      <c r="AZ25" s="258" t="str">
        <f t="shared" si="20"/>
        <v/>
      </c>
      <c r="BA25" s="255" t="str">
        <f>IF(A25="","",VLOOKUP(B25,'Datos Biyemas'!B27:BF64,51,0))</f>
        <v/>
      </c>
      <c r="BB25" s="28" t="str">
        <f t="shared" si="21"/>
        <v/>
      </c>
      <c r="BC25" s="180" t="str">
        <f>IF(BP25=A25,'Datos Biyemas'!BL27,"")</f>
        <v/>
      </c>
      <c r="BD25" s="181" t="str">
        <f t="shared" si="22"/>
        <v/>
      </c>
      <c r="BE25" s="29" t="str">
        <f>IF(A25="","",VLOOKUP(B25,'Datos Biyemas'!B27:BF64,53,0))</f>
        <v/>
      </c>
      <c r="BF25" s="28" t="str">
        <f>IF(A25="","",VLOOKUP(B25,'Datos Biyemas'!B27:BF64,54,0))</f>
        <v/>
      </c>
      <c r="BG25" s="28" t="str">
        <f>IF(A25="","",VLOOKUP(B25,'Datos Biyemas'!B27:BF64,55,0))</f>
        <v/>
      </c>
      <c r="BH25" s="28" t="str">
        <f>IF(A25="","",VLOOKUP(B25,'Datos Biyemas'!B27:BF64,51,0))</f>
        <v/>
      </c>
      <c r="BI25" s="28" t="str">
        <f>IF(A25="","",VLOOKUP(B25,'Datos Biyemas'!B27:BF64,52,0))</f>
        <v/>
      </c>
      <c r="BJ25" s="211" t="str">
        <f>IF(A25="","",VLOOKUP(B25,'Datos Biyemas'!B27:BH64,58,0))</f>
        <v/>
      </c>
      <c r="BK25" s="27" t="str">
        <f>IF(A25="","",VLOOKUP(B25,'Datos Biyemas'!B27:BH64,59,0))</f>
        <v/>
      </c>
      <c r="BL25" s="29" t="str">
        <f>IF(A25="","",VLOOKUP(B25,'Datos Biyemas'!B27:BF64,55,0))</f>
        <v/>
      </c>
      <c r="BM25" s="28" t="str">
        <f>IF(A25="","",VLOOKUP(B25,'Datos Biyemas'!B27:BF64,56,0))</f>
        <v/>
      </c>
      <c r="BN25" s="181" t="str">
        <f>IF(A25="","",VLOOKUP(B25,'Datos Biyemas'!B27:BF64,57,0))</f>
        <v/>
      </c>
      <c r="BO25" s="59"/>
      <c r="BP25" s="190" t="s">
        <v>103</v>
      </c>
    </row>
    <row r="26" spans="1:68" ht="11.25" customHeight="1" x14ac:dyDescent="0.2">
      <c r="A26" s="188" t="str">
        <f>IF(BP26='Datos Biyemas'!A28,'Datos Biyemas'!A28,"")</f>
        <v/>
      </c>
      <c r="B26" s="185" t="str">
        <f>IF(BP26=A26,'Datos Biyemas'!B28,"")</f>
        <v/>
      </c>
      <c r="C26" s="186" t="str">
        <f>IF(BP26=A26,'Datos Biyemas'!C28,"")</f>
        <v/>
      </c>
      <c r="D26" s="37" t="str">
        <f>IF(BP26=A26,VLOOKUP(B26,'Datos Biyemas'!B28:BB65,3,0),"")</f>
        <v/>
      </c>
      <c r="E26" s="32" t="str">
        <f>IF(BP26=A26,VLOOKUP(B26,'Datos Biyemas'!B28:BB65,4,0),"")</f>
        <v/>
      </c>
      <c r="F26" s="32" t="str">
        <f>IF(BP26=A26,VLOOKUP(B26,'Datos Biyemas'!B28:BB65,5,0),"")</f>
        <v/>
      </c>
      <c r="G26" s="32" t="str">
        <f>IF(BP26=A26,VLOOKUP(B26,'Datos Biyemas'!B28:BB65,6,0),"")</f>
        <v/>
      </c>
      <c r="H26" s="33" t="str">
        <f t="shared" si="31"/>
        <v/>
      </c>
      <c r="I26" s="33" t="str">
        <f t="shared" si="1"/>
        <v/>
      </c>
      <c r="J26" s="34" t="str">
        <f t="shared" si="2"/>
        <v/>
      </c>
      <c r="K26" s="31" t="str">
        <f t="shared" si="3"/>
        <v/>
      </c>
      <c r="L26" s="37" t="str">
        <f>IF(A26="","",VLOOKUP(B26,'Datos Biyemas'!B28:BB65,11,0))</f>
        <v/>
      </c>
      <c r="M26" s="32" t="str">
        <f>IF(A26="","",VLOOKUP(B26,'Datos Biyemas'!B28:BB65,12,0))</f>
        <v/>
      </c>
      <c r="N26" s="32" t="str">
        <f>IF(A26="","",VLOOKUP(B26,'Datos Biyemas'!B28:BB65,13,0))</f>
        <v/>
      </c>
      <c r="O26" s="32" t="str">
        <f>IF(A26="","",VLOOKUP(B26,'Datos Biyemas'!B28:BB65,14,0))</f>
        <v/>
      </c>
      <c r="P26" s="33" t="str">
        <f t="shared" si="6"/>
        <v/>
      </c>
      <c r="Q26" s="33" t="str">
        <f t="shared" si="7"/>
        <v/>
      </c>
      <c r="R26" s="34" t="str">
        <f t="shared" si="4"/>
        <v/>
      </c>
      <c r="S26" s="31" t="str">
        <f t="shared" si="5"/>
        <v/>
      </c>
      <c r="T26" s="35" t="str">
        <f t="shared" si="8"/>
        <v/>
      </c>
      <c r="U26" s="35" t="str">
        <f t="shared" si="9"/>
        <v/>
      </c>
      <c r="V26" s="37" t="str">
        <f>IF(A26="","",VLOOKUP(B26,'Datos Biyemas'!B28:BB65,21,0))</f>
        <v/>
      </c>
      <c r="W26" s="32" t="str">
        <f>IF(A26="","",VLOOKUP(B26,'Datos Biyemas'!B28:BB65,22,0))</f>
        <v/>
      </c>
      <c r="X26" s="32" t="str">
        <f>IF(A26="","",VLOOKUP(B26,'Datos Biyemas'!B28:BB65,23,0))</f>
        <v/>
      </c>
      <c r="Y26" s="32" t="str">
        <f>IF(A26="","",VLOOKUP(B26,'Datos Biyemas'!B28:BB65,24,0))</f>
        <v/>
      </c>
      <c r="Z26" s="33" t="str">
        <f t="shared" si="23"/>
        <v/>
      </c>
      <c r="AA26" s="33" t="str">
        <f t="shared" si="24"/>
        <v/>
      </c>
      <c r="AB26" s="34" t="str">
        <f t="shared" si="25"/>
        <v/>
      </c>
      <c r="AC26" s="31" t="str">
        <f t="shared" si="26"/>
        <v/>
      </c>
      <c r="AD26" s="37" t="str">
        <f t="shared" si="14"/>
        <v/>
      </c>
      <c r="AE26" s="32" t="str">
        <f>IF(A26="","",VLOOKUP(B26,'Datos Biyemas'!B28:BB65,30,0))</f>
        <v/>
      </c>
      <c r="AF26" s="31" t="str">
        <f t="shared" si="15"/>
        <v/>
      </c>
      <c r="AG26" s="32" t="str">
        <f>IF(A26="","",VLOOKUP(B26,'Datos Biyemas'!B28:BB65,32,0))</f>
        <v/>
      </c>
      <c r="AH26" s="32" t="str">
        <f>IF(A26="","",VLOOKUP(B26,'Datos Biyemas'!B28:BB65,33,0))</f>
        <v/>
      </c>
      <c r="AI26" s="32" t="str">
        <f>IF(A26="","",VLOOKUP(B26,'Datos Biyemas'!B28:BB65,34,0))</f>
        <v/>
      </c>
      <c r="AJ26" s="34" t="str">
        <f t="shared" si="27"/>
        <v/>
      </c>
      <c r="AK26" s="35" t="str">
        <f t="shared" si="17"/>
        <v/>
      </c>
      <c r="AL26" s="37" t="str">
        <f>IF(A26="","",VLOOKUP(B26,'Datos Biyemas'!B28:BB65,37,0))</f>
        <v/>
      </c>
      <c r="AM26" s="58" t="str">
        <f t="shared" si="18"/>
        <v/>
      </c>
      <c r="AN26" s="262" t="str">
        <f>IF(BP26=A26,'Datos Biyemas'!BL28,"")</f>
        <v/>
      </c>
      <c r="AO26" s="32" t="str">
        <f>IF(A26="","",VLOOKUP(B26,'Datos Biyemas'!B28:BF65,39,0))</f>
        <v/>
      </c>
      <c r="AP26" s="36" t="str">
        <f t="shared" si="28"/>
        <v/>
      </c>
      <c r="AQ26" s="32" t="str">
        <f>IF(A26="","",VLOOKUP(B26,'Datos Biyemas'!B28:BH65,41,0))</f>
        <v/>
      </c>
      <c r="AR26" s="32" t="str">
        <f>IF(A26="","",VLOOKUP(B26,'Datos Biyemas'!B28:BI65,42,0))</f>
        <v/>
      </c>
      <c r="AS26" s="32" t="str">
        <f>IF(A26="","",VLOOKUP(B26,'Datos Biyemas'!B28:BJ65,43,0))</f>
        <v/>
      </c>
      <c r="AT26" s="32" t="str">
        <f>IF(A26="","",VLOOKUP(B26,'Datos Biyemas'!B28:BK65,44,0))</f>
        <v/>
      </c>
      <c r="AU26" s="58" t="str">
        <f>IF(A26="","",VLOOKUP(C26,'Datos Biyemas'!C28:BL65,44,0))</f>
        <v/>
      </c>
      <c r="AV26" s="37" t="str">
        <f t="shared" si="29"/>
        <v/>
      </c>
      <c r="AW26" s="38" t="str">
        <f t="shared" si="19"/>
        <v/>
      </c>
      <c r="AY26" s="180" t="str">
        <f>IF(A26="","",+'Datos Biyemas'!AY28)</f>
        <v/>
      </c>
      <c r="AZ26" s="258" t="str">
        <f t="shared" si="20"/>
        <v/>
      </c>
      <c r="BA26" s="255" t="str">
        <f>IF(A26="","",VLOOKUP(B26,'Datos Biyemas'!B28:BF65,51,0))</f>
        <v/>
      </c>
      <c r="BB26" s="28" t="str">
        <f t="shared" si="21"/>
        <v/>
      </c>
      <c r="BC26" s="180" t="str">
        <f>IF(BP26=A26,'Datos Biyemas'!BL28,"")</f>
        <v/>
      </c>
      <c r="BD26" s="181" t="str">
        <f t="shared" si="22"/>
        <v/>
      </c>
      <c r="BE26" s="29" t="str">
        <f>IF(A26="","",VLOOKUP(B26,'Datos Biyemas'!B28:BF65,53,0))</f>
        <v/>
      </c>
      <c r="BF26" s="28" t="str">
        <f>IF(A26="","",VLOOKUP(B26,'Datos Biyemas'!B28:BF65,54,0))</f>
        <v/>
      </c>
      <c r="BG26" s="28" t="str">
        <f>IF(A26="","",VLOOKUP(B26,'Datos Biyemas'!B28:BF65,55,0))</f>
        <v/>
      </c>
      <c r="BH26" s="28" t="str">
        <f>IF(A26="","",VLOOKUP(B26,'Datos Biyemas'!B28:BF65,51,0))</f>
        <v/>
      </c>
      <c r="BI26" s="28" t="str">
        <f>IF(A26="","",VLOOKUP(B26,'Datos Biyemas'!B28:BF65,52,0))</f>
        <v/>
      </c>
      <c r="BJ26" s="211" t="str">
        <f>IF(A26="","",VLOOKUP(B26,'Datos Biyemas'!B28:BH65,58,0))</f>
        <v/>
      </c>
      <c r="BK26" s="27" t="str">
        <f>IF(A26="","",VLOOKUP(B26,'Datos Biyemas'!B28:BH65,59,0))</f>
        <v/>
      </c>
      <c r="BL26" s="29" t="str">
        <f>IF(A26="","",VLOOKUP(B26,'Datos Biyemas'!B28:BF65,55,0))</f>
        <v/>
      </c>
      <c r="BM26" s="28" t="str">
        <f>IF(A26="","",VLOOKUP(B26,'Datos Biyemas'!B28:BF65,56,0))</f>
        <v/>
      </c>
      <c r="BN26" s="181" t="str">
        <f>IF(A26="","",VLOOKUP(B26,'Datos Biyemas'!B28:BF65,57,0))</f>
        <v/>
      </c>
      <c r="BO26" s="59"/>
      <c r="BP26" s="190" t="s">
        <v>104</v>
      </c>
    </row>
    <row r="27" spans="1:68" ht="11.25" customHeight="1" x14ac:dyDescent="0.2">
      <c r="A27" s="188" t="str">
        <f>IF(BP27='Datos Biyemas'!A29,'Datos Biyemas'!A29,"")</f>
        <v/>
      </c>
      <c r="B27" s="185" t="str">
        <f>IF(BP27=A27,'Datos Biyemas'!B29,"")</f>
        <v/>
      </c>
      <c r="C27" s="186" t="str">
        <f>IF(BP27=A27,'Datos Biyemas'!C29,"")</f>
        <v/>
      </c>
      <c r="D27" s="37" t="str">
        <f>IF(BP27=A27,VLOOKUP(B27,'Datos Biyemas'!B29:BB66,3,0),"")</f>
        <v/>
      </c>
      <c r="E27" s="32" t="str">
        <f>IF(BP27=A27,VLOOKUP(B27,'Datos Biyemas'!B29:BB66,4,0),"")</f>
        <v/>
      </c>
      <c r="F27" s="32" t="str">
        <f>IF(BP27=A27,VLOOKUP(B27,'Datos Biyemas'!B29:BB66,5,0),"")</f>
        <v/>
      </c>
      <c r="G27" s="32" t="str">
        <f>IF(BP27=A27,VLOOKUP(B27,'Datos Biyemas'!B29:BB66,6,0),"")</f>
        <v/>
      </c>
      <c r="H27" s="33" t="str">
        <f t="shared" si="31"/>
        <v/>
      </c>
      <c r="I27" s="33" t="str">
        <f t="shared" si="1"/>
        <v/>
      </c>
      <c r="J27" s="34" t="str">
        <f t="shared" si="2"/>
        <v/>
      </c>
      <c r="K27" s="31" t="str">
        <f t="shared" si="3"/>
        <v/>
      </c>
      <c r="L27" s="37" t="str">
        <f>IF(A27="","",VLOOKUP(B27,'Datos Biyemas'!B29:BB66,11,0))</f>
        <v/>
      </c>
      <c r="M27" s="32" t="str">
        <f>IF(A27="","",VLOOKUP(B27,'Datos Biyemas'!B29:BB66,12,0))</f>
        <v/>
      </c>
      <c r="N27" s="32" t="str">
        <f>IF(A27="","",VLOOKUP(B27,'Datos Biyemas'!B29:BB66,13,0))</f>
        <v/>
      </c>
      <c r="O27" s="32" t="str">
        <f>IF(A27="","",VLOOKUP(B27,'Datos Biyemas'!B29:BB66,14,0))</f>
        <v/>
      </c>
      <c r="P27" s="33" t="str">
        <f t="shared" si="6"/>
        <v/>
      </c>
      <c r="Q27" s="33" t="str">
        <f t="shared" si="7"/>
        <v/>
      </c>
      <c r="R27" s="34" t="str">
        <f t="shared" si="4"/>
        <v/>
      </c>
      <c r="S27" s="31" t="str">
        <f t="shared" si="5"/>
        <v/>
      </c>
      <c r="T27" s="35" t="str">
        <f t="shared" si="8"/>
        <v/>
      </c>
      <c r="U27" s="35" t="str">
        <f t="shared" si="9"/>
        <v/>
      </c>
      <c r="V27" s="37" t="str">
        <f>IF(A27="","",VLOOKUP(B27,'Datos Biyemas'!B29:BB66,21,0))</f>
        <v/>
      </c>
      <c r="W27" s="32" t="str">
        <f>IF(A27="","",VLOOKUP(B27,'Datos Biyemas'!B29:BB66,22,0))</f>
        <v/>
      </c>
      <c r="X27" s="32" t="str">
        <f>IF(A27="","",VLOOKUP(B27,'Datos Biyemas'!B29:BB66,23,0))</f>
        <v/>
      </c>
      <c r="Y27" s="32" t="str">
        <f>IF(A27="","",VLOOKUP(B27,'Datos Biyemas'!B29:BB66,24,0))</f>
        <v/>
      </c>
      <c r="Z27" s="33" t="str">
        <f t="shared" si="23"/>
        <v/>
      </c>
      <c r="AA27" s="33" t="str">
        <f t="shared" si="24"/>
        <v/>
      </c>
      <c r="AB27" s="34" t="str">
        <f t="shared" si="25"/>
        <v/>
      </c>
      <c r="AC27" s="31" t="str">
        <f t="shared" si="26"/>
        <v/>
      </c>
      <c r="AD27" s="37" t="str">
        <f t="shared" si="14"/>
        <v/>
      </c>
      <c r="AE27" s="32" t="str">
        <f>IF(A27="","",VLOOKUP(B27,'Datos Biyemas'!B29:BB66,30,0))</f>
        <v/>
      </c>
      <c r="AF27" s="31" t="str">
        <f t="shared" si="15"/>
        <v/>
      </c>
      <c r="AG27" s="32" t="str">
        <f>IF(A27="","",VLOOKUP(B27,'Datos Biyemas'!B29:BB66,32,0))</f>
        <v/>
      </c>
      <c r="AH27" s="32" t="str">
        <f>IF(A27="","",VLOOKUP(B27,'Datos Biyemas'!B29:BB66,33,0))</f>
        <v/>
      </c>
      <c r="AI27" s="32" t="str">
        <f>IF(A27="","",VLOOKUP(B27,'Datos Biyemas'!B29:BB66,34,0))</f>
        <v/>
      </c>
      <c r="AJ27" s="34" t="str">
        <f t="shared" si="27"/>
        <v/>
      </c>
      <c r="AK27" s="35" t="str">
        <f t="shared" si="17"/>
        <v/>
      </c>
      <c r="AL27" s="37" t="str">
        <f>IF(A27="","",VLOOKUP(B27,'Datos Biyemas'!B29:BB66,37,0))</f>
        <v/>
      </c>
      <c r="AM27" s="58" t="str">
        <f t="shared" si="18"/>
        <v/>
      </c>
      <c r="AN27" s="262" t="str">
        <f>IF(BP27=A27,'Datos Biyemas'!BL29,"")</f>
        <v/>
      </c>
      <c r="AO27" s="32" t="str">
        <f>IF(A27="","",VLOOKUP(B27,'Datos Biyemas'!B29:BF66,39,0))</f>
        <v/>
      </c>
      <c r="AP27" s="36" t="str">
        <f t="shared" si="28"/>
        <v/>
      </c>
      <c r="AQ27" s="32" t="str">
        <f>IF(A27="","",VLOOKUP(B27,'Datos Biyemas'!B29:BH66,41,0))</f>
        <v/>
      </c>
      <c r="AR27" s="32" t="str">
        <f>IF(A27="","",VLOOKUP(B27,'Datos Biyemas'!B29:BI66,42,0))</f>
        <v/>
      </c>
      <c r="AS27" s="32" t="str">
        <f>IF(A27="","",VLOOKUP(B27,'Datos Biyemas'!B29:BJ66,43,0))</f>
        <v/>
      </c>
      <c r="AT27" s="32" t="str">
        <f>IF(A27="","",VLOOKUP(B27,'Datos Biyemas'!B29:BK66,44,0))</f>
        <v/>
      </c>
      <c r="AU27" s="58" t="str">
        <f>IF(A27="","",VLOOKUP(C27,'Datos Biyemas'!C29:BL66,44,0))</f>
        <v/>
      </c>
      <c r="AV27" s="37" t="str">
        <f t="shared" si="29"/>
        <v/>
      </c>
      <c r="AW27" s="38" t="str">
        <f t="shared" si="19"/>
        <v/>
      </c>
      <c r="AY27" s="180" t="str">
        <f>IF(A27="","",+'Datos Biyemas'!AY29)</f>
        <v/>
      </c>
      <c r="AZ27" s="258" t="str">
        <f t="shared" si="20"/>
        <v/>
      </c>
      <c r="BA27" s="255" t="str">
        <f>IF(A27="","",VLOOKUP(B27,'Datos Biyemas'!B29:BF66,51,0))</f>
        <v/>
      </c>
      <c r="BB27" s="28" t="str">
        <f t="shared" si="21"/>
        <v/>
      </c>
      <c r="BC27" s="180" t="str">
        <f>IF(BP27=A27,'Datos Biyemas'!BL29,"")</f>
        <v/>
      </c>
      <c r="BD27" s="181" t="str">
        <f t="shared" si="22"/>
        <v/>
      </c>
      <c r="BE27" s="29" t="str">
        <f>IF(A27="","",VLOOKUP(B27,'Datos Biyemas'!B29:BF66,53,0))</f>
        <v/>
      </c>
      <c r="BF27" s="28" t="str">
        <f>IF(A27="","",VLOOKUP(B27,'Datos Biyemas'!B29:BF66,54,0))</f>
        <v/>
      </c>
      <c r="BG27" s="28" t="str">
        <f>IF(A27="","",VLOOKUP(B27,'Datos Biyemas'!B29:BF66,55,0))</f>
        <v/>
      </c>
      <c r="BH27" s="28" t="str">
        <f>IF(A27="","",VLOOKUP(B27,'Datos Biyemas'!B29:BF66,51,0))</f>
        <v/>
      </c>
      <c r="BI27" s="28" t="str">
        <f>IF(A27="","",VLOOKUP(B27,'Datos Biyemas'!B29:BF66,52,0))</f>
        <v/>
      </c>
      <c r="BJ27" s="211" t="str">
        <f>IF(A27="","",VLOOKUP(B27,'Datos Biyemas'!B29:BH66,58,0))</f>
        <v/>
      </c>
      <c r="BK27" s="27" t="str">
        <f>IF(A27="","",VLOOKUP(B27,'Datos Biyemas'!B29:BH66,59,0))</f>
        <v/>
      </c>
      <c r="BL27" s="29" t="str">
        <f>IF(A27="","",VLOOKUP(B27,'Datos Biyemas'!B29:BF66,55,0))</f>
        <v/>
      </c>
      <c r="BM27" s="28" t="str">
        <f>IF(A27="","",VLOOKUP(B27,'Datos Biyemas'!B29:BF66,56,0))</f>
        <v/>
      </c>
      <c r="BN27" s="181" t="str">
        <f>IF(A27="","",VLOOKUP(B27,'Datos Biyemas'!B29:BF66,57,0))</f>
        <v/>
      </c>
      <c r="BO27" s="59"/>
      <c r="BP27" s="190" t="s">
        <v>105</v>
      </c>
    </row>
    <row r="28" spans="1:68" ht="11.25" customHeight="1" x14ac:dyDescent="0.2">
      <c r="A28" s="188" t="str">
        <f>IF(BP28='Datos Biyemas'!A30,'Datos Biyemas'!A30,"")</f>
        <v/>
      </c>
      <c r="B28" s="185" t="str">
        <f>IF(BP28=A28,'Datos Biyemas'!B30,"")</f>
        <v/>
      </c>
      <c r="C28" s="186" t="str">
        <f>IF(BP28=A28,'Datos Biyemas'!C30,"")</f>
        <v/>
      </c>
      <c r="D28" s="37" t="str">
        <f>IF(BP28=A28,VLOOKUP(B28,'Datos Biyemas'!B30:BB67,3,0),"")</f>
        <v/>
      </c>
      <c r="E28" s="32" t="str">
        <f>IF(BP28=A28,VLOOKUP(B28,'Datos Biyemas'!B30:BB67,4,0),"")</f>
        <v/>
      </c>
      <c r="F28" s="32" t="str">
        <f>IF(BP28=A28,VLOOKUP(B28,'Datos Biyemas'!B30:BB67,5,0),"")</f>
        <v/>
      </c>
      <c r="G28" s="32" t="str">
        <f>IF(BP28=A28,VLOOKUP(B28,'Datos Biyemas'!B30:BB67,6,0),"")</f>
        <v/>
      </c>
      <c r="H28" s="33" t="str">
        <f t="shared" si="30"/>
        <v/>
      </c>
      <c r="I28" s="33" t="str">
        <f t="shared" si="1"/>
        <v/>
      </c>
      <c r="J28" s="34" t="str">
        <f t="shared" si="2"/>
        <v/>
      </c>
      <c r="K28" s="31" t="str">
        <f t="shared" si="3"/>
        <v/>
      </c>
      <c r="L28" s="37" t="str">
        <f>IF(A28="","",VLOOKUP(B28,'Datos Biyemas'!B30:BB67,11,0))</f>
        <v/>
      </c>
      <c r="M28" s="32" t="str">
        <f>IF(A28="","",VLOOKUP(B28,'Datos Biyemas'!B30:BB67,12,0))</f>
        <v/>
      </c>
      <c r="N28" s="32" t="str">
        <f>IF(A28="","",VLOOKUP(B28,'Datos Biyemas'!B30:BB67,13,0))</f>
        <v/>
      </c>
      <c r="O28" s="32" t="str">
        <f>IF(A28="","",VLOOKUP(B28,'Datos Biyemas'!B30:BB67,14,0))</f>
        <v/>
      </c>
      <c r="P28" s="33" t="str">
        <f t="shared" si="6"/>
        <v/>
      </c>
      <c r="Q28" s="33" t="str">
        <f t="shared" si="7"/>
        <v/>
      </c>
      <c r="R28" s="34" t="str">
        <f t="shared" si="4"/>
        <v/>
      </c>
      <c r="S28" s="31" t="str">
        <f t="shared" si="5"/>
        <v/>
      </c>
      <c r="T28" s="35" t="str">
        <f t="shared" si="8"/>
        <v/>
      </c>
      <c r="U28" s="35" t="str">
        <f t="shared" si="9"/>
        <v/>
      </c>
      <c r="V28" s="37" t="str">
        <f>IF(A28="","",VLOOKUP(B28,'Datos Biyemas'!B30:BB67,21,0))</f>
        <v/>
      </c>
      <c r="W28" s="32" t="str">
        <f>IF(A28="","",VLOOKUP(B28,'Datos Biyemas'!B30:BB67,22,0))</f>
        <v/>
      </c>
      <c r="X28" s="32" t="str">
        <f>IF(A28="","",VLOOKUP(B28,'Datos Biyemas'!B30:BB67,23,0))</f>
        <v/>
      </c>
      <c r="Y28" s="32" t="str">
        <f>IF(A28="","",VLOOKUP(B28,'Datos Biyemas'!B30:BB67,24,0))</f>
        <v/>
      </c>
      <c r="Z28" s="33" t="str">
        <f t="shared" si="23"/>
        <v/>
      </c>
      <c r="AA28" s="33" t="str">
        <f t="shared" si="24"/>
        <v/>
      </c>
      <c r="AB28" s="34" t="str">
        <f t="shared" si="25"/>
        <v/>
      </c>
      <c r="AC28" s="31" t="str">
        <f t="shared" si="26"/>
        <v/>
      </c>
      <c r="AD28" s="37" t="str">
        <f t="shared" si="14"/>
        <v/>
      </c>
      <c r="AE28" s="32" t="str">
        <f>IF(A28="","",VLOOKUP(B28,'Datos Biyemas'!B30:BB67,30,0))</f>
        <v/>
      </c>
      <c r="AF28" s="31" t="str">
        <f t="shared" si="15"/>
        <v/>
      </c>
      <c r="AG28" s="32" t="str">
        <f>IF(A28="","",VLOOKUP(B28,'Datos Biyemas'!B30:BB67,32,0))</f>
        <v/>
      </c>
      <c r="AH28" s="32" t="str">
        <f>IF(A28="","",VLOOKUP(B28,'Datos Biyemas'!B30:BB67,33,0))</f>
        <v/>
      </c>
      <c r="AI28" s="32" t="str">
        <f>IF(A28="","",VLOOKUP(B28,'Datos Biyemas'!B30:BB67,34,0))</f>
        <v/>
      </c>
      <c r="AJ28" s="34" t="str">
        <f t="shared" si="27"/>
        <v/>
      </c>
      <c r="AK28" s="35" t="str">
        <f t="shared" si="17"/>
        <v/>
      </c>
      <c r="AL28" s="37" t="str">
        <f>IF(A28="","",VLOOKUP(B28,'Datos Biyemas'!B30:BB67,37,0))</f>
        <v/>
      </c>
      <c r="AM28" s="58" t="str">
        <f t="shared" si="18"/>
        <v/>
      </c>
      <c r="AN28" s="262" t="str">
        <f>IF(BP28=A28,'Datos Biyemas'!BL30,"")</f>
        <v/>
      </c>
      <c r="AO28" s="32" t="str">
        <f>IF(A28="","",VLOOKUP(B28,'Datos Biyemas'!B30:BF67,39,0))</f>
        <v/>
      </c>
      <c r="AP28" s="36" t="str">
        <f t="shared" si="28"/>
        <v/>
      </c>
      <c r="AQ28" s="32" t="str">
        <f>IF(A28="","",VLOOKUP(B28,'Datos Biyemas'!B30:BH67,41,0))</f>
        <v/>
      </c>
      <c r="AR28" s="32" t="str">
        <f>IF(A28="","",VLOOKUP(B28,'Datos Biyemas'!B30:BI67,42,0))</f>
        <v/>
      </c>
      <c r="AS28" s="32" t="str">
        <f>IF(A28="","",VLOOKUP(B28,'Datos Biyemas'!B30:BJ67,43,0))</f>
        <v/>
      </c>
      <c r="AT28" s="32" t="str">
        <f>IF(A28="","",VLOOKUP(B28,'Datos Biyemas'!B30:BK67,44,0))</f>
        <v/>
      </c>
      <c r="AU28" s="58" t="str">
        <f>IF(A28="","",VLOOKUP(C28,'Datos Biyemas'!C30:BL67,44,0))</f>
        <v/>
      </c>
      <c r="AV28" s="37" t="str">
        <f t="shared" si="29"/>
        <v/>
      </c>
      <c r="AW28" s="38" t="str">
        <f t="shared" si="19"/>
        <v/>
      </c>
      <c r="AY28" s="180" t="str">
        <f>IF(A28="","",+'Datos Biyemas'!AY30)</f>
        <v/>
      </c>
      <c r="AZ28" s="258" t="str">
        <f t="shared" si="20"/>
        <v/>
      </c>
      <c r="BA28" s="255" t="str">
        <f>IF(A28="","",VLOOKUP(B28,'Datos Biyemas'!B30:BF67,51,0))</f>
        <v/>
      </c>
      <c r="BB28" s="28" t="str">
        <f t="shared" si="21"/>
        <v/>
      </c>
      <c r="BC28" s="180" t="str">
        <f>IF(BP28=A28,'Datos Biyemas'!BL30,"")</f>
        <v/>
      </c>
      <c r="BD28" s="181" t="str">
        <f t="shared" si="22"/>
        <v/>
      </c>
      <c r="BE28" s="29" t="str">
        <f>IF(A28="","",VLOOKUP(B28,'Datos Biyemas'!B30:BF67,53,0))</f>
        <v/>
      </c>
      <c r="BF28" s="28" t="str">
        <f>IF(A28="","",VLOOKUP(B28,'Datos Biyemas'!B30:BF67,54,0))</f>
        <v/>
      </c>
      <c r="BG28" s="28" t="str">
        <f>IF(A28="","",VLOOKUP(B28,'Datos Biyemas'!B30:BF67,55,0))</f>
        <v/>
      </c>
      <c r="BH28" s="28" t="str">
        <f>IF(A28="","",VLOOKUP(B28,'Datos Biyemas'!B30:BF67,51,0))</f>
        <v/>
      </c>
      <c r="BI28" s="28" t="str">
        <f>IF(A28="","",VLOOKUP(B28,'Datos Biyemas'!B30:BF67,52,0))</f>
        <v/>
      </c>
      <c r="BJ28" s="211" t="str">
        <f>IF(A28="","",VLOOKUP(B28,'Datos Biyemas'!B30:BH67,58,0))</f>
        <v/>
      </c>
      <c r="BK28" s="27" t="str">
        <f>IF(A28="","",VLOOKUP(B28,'Datos Biyemas'!B30:BH67,59,0))</f>
        <v/>
      </c>
      <c r="BL28" s="29" t="str">
        <f>IF(A28="","",VLOOKUP(B28,'Datos Biyemas'!B30:BF67,55,0))</f>
        <v/>
      </c>
      <c r="BM28" s="28" t="str">
        <f>IF(A28="","",VLOOKUP(B28,'Datos Biyemas'!B30:BF67,56,0))</f>
        <v/>
      </c>
      <c r="BN28" s="181" t="str">
        <f>IF(A28="","",VLOOKUP(B28,'Datos Biyemas'!B30:BF67,57,0))</f>
        <v/>
      </c>
      <c r="BO28" s="59"/>
      <c r="BP28" s="190" t="s">
        <v>111</v>
      </c>
    </row>
    <row r="29" spans="1:68" ht="11.25" customHeight="1" x14ac:dyDescent="0.2">
      <c r="A29" s="188" t="str">
        <f>IF(BP29='Datos Biyemas'!A31,'Datos Biyemas'!A31,"")</f>
        <v/>
      </c>
      <c r="B29" s="185" t="str">
        <f>IF(BP29=A29,'Datos Biyemas'!B31,"")</f>
        <v/>
      </c>
      <c r="C29" s="186" t="str">
        <f>IF(BP29=A29,'Datos Biyemas'!C31,"")</f>
        <v/>
      </c>
      <c r="D29" s="37" t="str">
        <f>IF(BP29=A29,VLOOKUP(B29,'Datos Biyemas'!B31:BB68,3,0),"")</f>
        <v/>
      </c>
      <c r="E29" s="32" t="str">
        <f>IF(BP29=A29,VLOOKUP(B29,'Datos Biyemas'!B31:BB68,4,0),"")</f>
        <v/>
      </c>
      <c r="F29" s="32" t="str">
        <f>IF(BP29=A29,VLOOKUP(B29,'Datos Biyemas'!B31:BB68,5,0),"")</f>
        <v/>
      </c>
      <c r="G29" s="32" t="str">
        <f>IF(BP29=A29,VLOOKUP(B29,'Datos Biyemas'!B31:BB68,6,0),"")</f>
        <v/>
      </c>
      <c r="H29" s="33" t="str">
        <f t="shared" si="30"/>
        <v/>
      </c>
      <c r="I29" s="33" t="str">
        <f t="shared" si="1"/>
        <v/>
      </c>
      <c r="J29" s="34" t="str">
        <f t="shared" si="2"/>
        <v/>
      </c>
      <c r="K29" s="31" t="str">
        <f t="shared" si="3"/>
        <v/>
      </c>
      <c r="L29" s="37" t="str">
        <f>IF(A29="","",VLOOKUP(B29,'Datos Biyemas'!B31:BB68,11,0))</f>
        <v/>
      </c>
      <c r="M29" s="32" t="str">
        <f>IF(A29="","",VLOOKUP(B29,'Datos Biyemas'!B31:BB68,12,0))</f>
        <v/>
      </c>
      <c r="N29" s="32" t="str">
        <f>IF(A29="","",VLOOKUP(B29,'Datos Biyemas'!B31:BB68,13,0))</f>
        <v/>
      </c>
      <c r="O29" s="32" t="str">
        <f>IF(A29="","",VLOOKUP(B29,'Datos Biyemas'!B31:BB68,14,0))</f>
        <v/>
      </c>
      <c r="P29" s="33" t="str">
        <f t="shared" si="6"/>
        <v/>
      </c>
      <c r="Q29" s="33" t="str">
        <f t="shared" si="7"/>
        <v/>
      </c>
      <c r="R29" s="34" t="str">
        <f t="shared" si="4"/>
        <v/>
      </c>
      <c r="S29" s="31" t="str">
        <f t="shared" si="5"/>
        <v/>
      </c>
      <c r="T29" s="35" t="str">
        <f t="shared" si="8"/>
        <v/>
      </c>
      <c r="U29" s="35" t="str">
        <f t="shared" si="9"/>
        <v/>
      </c>
      <c r="V29" s="37" t="str">
        <f>IF(A29="","",VLOOKUP(B29,'Datos Biyemas'!B31:BB68,21,0))</f>
        <v/>
      </c>
      <c r="W29" s="32" t="str">
        <f>IF(A29="","",VLOOKUP(B29,'Datos Biyemas'!B31:BB68,22,0))</f>
        <v/>
      </c>
      <c r="X29" s="32" t="str">
        <f>IF(A29="","",VLOOKUP(B29,'Datos Biyemas'!B31:BB68,23,0))</f>
        <v/>
      </c>
      <c r="Y29" s="32" t="str">
        <f>IF(A29="","",VLOOKUP(B29,'Datos Biyemas'!B31:BB68,24,0))</f>
        <v/>
      </c>
      <c r="Z29" s="33" t="str">
        <f t="shared" si="23"/>
        <v/>
      </c>
      <c r="AA29" s="33" t="str">
        <f t="shared" si="24"/>
        <v/>
      </c>
      <c r="AB29" s="34" t="str">
        <f t="shared" si="25"/>
        <v/>
      </c>
      <c r="AC29" s="31" t="str">
        <f t="shared" si="26"/>
        <v/>
      </c>
      <c r="AD29" s="37" t="str">
        <f t="shared" si="14"/>
        <v/>
      </c>
      <c r="AE29" s="32" t="str">
        <f>IF(A29="","",VLOOKUP(B29,'Datos Biyemas'!B31:BB68,30,0))</f>
        <v/>
      </c>
      <c r="AF29" s="31" t="str">
        <f t="shared" si="15"/>
        <v/>
      </c>
      <c r="AG29" s="32" t="str">
        <f>IF(A29="","",VLOOKUP(B29,'Datos Biyemas'!B31:BB68,32,0))</f>
        <v/>
      </c>
      <c r="AH29" s="32" t="str">
        <f>IF(A29="","",VLOOKUP(B29,'Datos Biyemas'!B31:BB68,33,0))</f>
        <v/>
      </c>
      <c r="AI29" s="32" t="str">
        <f>IF(A29="","",VLOOKUP(B29,'Datos Biyemas'!B31:BB68,34,0))</f>
        <v/>
      </c>
      <c r="AJ29" s="34" t="str">
        <f t="shared" si="27"/>
        <v/>
      </c>
      <c r="AK29" s="35" t="str">
        <f t="shared" si="17"/>
        <v/>
      </c>
      <c r="AL29" s="37" t="str">
        <f>IF(A29="","",VLOOKUP(B29,'Datos Biyemas'!B31:BB68,37,0))</f>
        <v/>
      </c>
      <c r="AM29" s="58" t="str">
        <f t="shared" si="18"/>
        <v/>
      </c>
      <c r="AN29" s="262" t="str">
        <f>IF(BP29=A29,'Datos Biyemas'!BL31,"")</f>
        <v/>
      </c>
      <c r="AO29" s="32" t="str">
        <f>IF(A29="","",VLOOKUP(B29,'Datos Biyemas'!B31:BF68,39,0))</f>
        <v/>
      </c>
      <c r="AP29" s="36" t="str">
        <f t="shared" si="28"/>
        <v/>
      </c>
      <c r="AQ29" s="32" t="str">
        <f>IF(A29="","",VLOOKUP(B29,'Datos Biyemas'!B31:BH68,41,0))</f>
        <v/>
      </c>
      <c r="AR29" s="32" t="str">
        <f>IF(A29="","",VLOOKUP(B29,'Datos Biyemas'!B31:BI68,42,0))</f>
        <v/>
      </c>
      <c r="AS29" s="32" t="str">
        <f>IF(A29="","",VLOOKUP(B29,'Datos Biyemas'!B31:BJ68,43,0))</f>
        <v/>
      </c>
      <c r="AT29" s="32" t="str">
        <f>IF(A29="","",VLOOKUP(B29,'Datos Biyemas'!B31:BK68,44,0))</f>
        <v/>
      </c>
      <c r="AU29" s="58" t="str">
        <f>IF(A29="","",VLOOKUP(C29,'Datos Biyemas'!C31:BL68,44,0))</f>
        <v/>
      </c>
      <c r="AV29" s="37" t="str">
        <f t="shared" si="29"/>
        <v/>
      </c>
      <c r="AW29" s="38" t="str">
        <f t="shared" si="19"/>
        <v/>
      </c>
      <c r="AY29" s="180" t="str">
        <f>IF(A29="","",+'Datos Biyemas'!AY31)</f>
        <v/>
      </c>
      <c r="AZ29" s="258" t="str">
        <f t="shared" si="20"/>
        <v/>
      </c>
      <c r="BA29" s="255" t="str">
        <f>IF(A29="","",VLOOKUP(B29,'Datos Biyemas'!B31:BF68,51,0))</f>
        <v/>
      </c>
      <c r="BB29" s="28" t="str">
        <f t="shared" si="21"/>
        <v/>
      </c>
      <c r="BC29" s="180" t="str">
        <f>IF(BP29=A29,'Datos Biyemas'!BL31,"")</f>
        <v/>
      </c>
      <c r="BD29" s="181" t="str">
        <f t="shared" si="22"/>
        <v/>
      </c>
      <c r="BE29" s="29" t="str">
        <f>IF(A29="","",VLOOKUP(B29,'Datos Biyemas'!B31:BF68,53,0))</f>
        <v/>
      </c>
      <c r="BF29" s="28" t="str">
        <f>IF(A29="","",VLOOKUP(B29,'Datos Biyemas'!B31:BF68,54,0))</f>
        <v/>
      </c>
      <c r="BG29" s="28" t="str">
        <f>IF(A29="","",VLOOKUP(B29,'Datos Biyemas'!B31:BF68,55,0))</f>
        <v/>
      </c>
      <c r="BH29" s="28" t="str">
        <f>IF(A29="","",VLOOKUP(B29,'Datos Biyemas'!B31:BF68,51,0))</f>
        <v/>
      </c>
      <c r="BI29" s="28" t="str">
        <f>IF(A29="","",VLOOKUP(B29,'Datos Biyemas'!B31:BF68,52,0))</f>
        <v/>
      </c>
      <c r="BJ29" s="211" t="str">
        <f>IF(A29="","",VLOOKUP(B29,'Datos Biyemas'!B31:BH68,58,0))</f>
        <v/>
      </c>
      <c r="BK29" s="27" t="str">
        <f>IF(A29="","",VLOOKUP(B29,'Datos Biyemas'!B31:BH68,59,0))</f>
        <v/>
      </c>
      <c r="BL29" s="29" t="str">
        <f>IF(A29="","",VLOOKUP(B29,'Datos Biyemas'!B31:BF68,55,0))</f>
        <v/>
      </c>
      <c r="BM29" s="28" t="str">
        <f>IF(A29="","",VLOOKUP(B29,'Datos Biyemas'!B31:BF68,56,0))</f>
        <v/>
      </c>
      <c r="BN29" s="181" t="str">
        <f>IF(A29="","",VLOOKUP(B29,'Datos Biyemas'!B31:BF68,57,0))</f>
        <v/>
      </c>
      <c r="BO29" s="59"/>
      <c r="BP29" s="190" t="s">
        <v>112</v>
      </c>
    </row>
    <row r="30" spans="1:68" ht="11.25" customHeight="1" x14ac:dyDescent="0.2">
      <c r="A30" s="188" t="str">
        <f>IF(BP30='Datos Biyemas'!A32,'Datos Biyemas'!A32,"")</f>
        <v/>
      </c>
      <c r="B30" s="185" t="str">
        <f>IF(BP30=A30,'Datos Biyemas'!B32,"")</f>
        <v/>
      </c>
      <c r="C30" s="186" t="str">
        <f>IF(BP30=A30,'Datos Biyemas'!C32,"")</f>
        <v/>
      </c>
      <c r="D30" s="37" t="str">
        <f>IF(BP30=A30,VLOOKUP(B30,'Datos Biyemas'!B32:BB69,3,0),"")</f>
        <v/>
      </c>
      <c r="E30" s="32" t="str">
        <f>IF(BP30=A30,VLOOKUP(B30,'Datos Biyemas'!B32:BB69,4,0),"")</f>
        <v/>
      </c>
      <c r="F30" s="32" t="str">
        <f>IF(BP30=A30,VLOOKUP(B30,'Datos Biyemas'!B32:BB69,5,0),"")</f>
        <v/>
      </c>
      <c r="G30" s="32" t="str">
        <f>IF(BP30=A30,VLOOKUP(B30,'Datos Biyemas'!B32:BB69,6,0),"")</f>
        <v/>
      </c>
      <c r="H30" s="33" t="str">
        <f t="shared" si="30"/>
        <v/>
      </c>
      <c r="I30" s="33" t="str">
        <f t="shared" si="1"/>
        <v/>
      </c>
      <c r="J30" s="34" t="str">
        <f t="shared" si="2"/>
        <v/>
      </c>
      <c r="K30" s="31" t="str">
        <f t="shared" si="3"/>
        <v/>
      </c>
      <c r="L30" s="37" t="str">
        <f>IF(A30="","",VLOOKUP(B30,'Datos Biyemas'!B32:BB69,11,0))</f>
        <v/>
      </c>
      <c r="M30" s="32" t="str">
        <f>IF(A30="","",VLOOKUP(B30,'Datos Biyemas'!B32:BB69,12,0))</f>
        <v/>
      </c>
      <c r="N30" s="32" t="str">
        <f>IF(A30="","",VLOOKUP(B30,'Datos Biyemas'!B32:BB69,13,0))</f>
        <v/>
      </c>
      <c r="O30" s="32" t="str">
        <f>IF(A30="","",VLOOKUP(B30,'Datos Biyemas'!B32:BB69,14,0))</f>
        <v/>
      </c>
      <c r="P30" s="33" t="str">
        <f t="shared" si="6"/>
        <v/>
      </c>
      <c r="Q30" s="33" t="str">
        <f t="shared" si="7"/>
        <v/>
      </c>
      <c r="R30" s="34" t="str">
        <f t="shared" si="4"/>
        <v/>
      </c>
      <c r="S30" s="31" t="str">
        <f t="shared" si="5"/>
        <v/>
      </c>
      <c r="T30" s="35" t="str">
        <f t="shared" si="8"/>
        <v/>
      </c>
      <c r="U30" s="35" t="str">
        <f t="shared" si="9"/>
        <v/>
      </c>
      <c r="V30" s="37" t="str">
        <f>IF(A30="","",VLOOKUP(B30,'Datos Biyemas'!B32:BB69,21,0))</f>
        <v/>
      </c>
      <c r="W30" s="32" t="str">
        <f>IF(A30="","",VLOOKUP(B30,'Datos Biyemas'!B32:BB69,22,0))</f>
        <v/>
      </c>
      <c r="X30" s="32" t="str">
        <f>IF(A30="","",VLOOKUP(B30,'Datos Biyemas'!B32:BB69,23,0))</f>
        <v/>
      </c>
      <c r="Y30" s="32" t="str">
        <f>IF(A30="","",VLOOKUP(B30,'Datos Biyemas'!B32:BB69,24,0))</f>
        <v/>
      </c>
      <c r="Z30" s="33" t="str">
        <f t="shared" si="23"/>
        <v/>
      </c>
      <c r="AA30" s="33" t="str">
        <f t="shared" si="24"/>
        <v/>
      </c>
      <c r="AB30" s="34" t="str">
        <f t="shared" si="25"/>
        <v/>
      </c>
      <c r="AC30" s="31" t="str">
        <f t="shared" si="26"/>
        <v/>
      </c>
      <c r="AD30" s="37" t="str">
        <f t="shared" si="14"/>
        <v/>
      </c>
      <c r="AE30" s="32" t="str">
        <f>IF(A30="","",VLOOKUP(B30,'Datos Biyemas'!B32:BB69,30,0))</f>
        <v/>
      </c>
      <c r="AF30" s="31" t="str">
        <f t="shared" si="15"/>
        <v/>
      </c>
      <c r="AG30" s="32" t="str">
        <f>IF(A30="","",VLOOKUP(B30,'Datos Biyemas'!B32:BB69,32,0))</f>
        <v/>
      </c>
      <c r="AH30" s="32" t="str">
        <f>IF(A30="","",VLOOKUP(B30,'Datos Biyemas'!B32:BB69,33,0))</f>
        <v/>
      </c>
      <c r="AI30" s="32" t="str">
        <f>IF(A30="","",VLOOKUP(B30,'Datos Biyemas'!B32:BB69,34,0))</f>
        <v/>
      </c>
      <c r="AJ30" s="34" t="str">
        <f t="shared" si="27"/>
        <v/>
      </c>
      <c r="AK30" s="35" t="str">
        <f t="shared" si="17"/>
        <v/>
      </c>
      <c r="AL30" s="37" t="str">
        <f>IF(A30="","",VLOOKUP(B30,'Datos Biyemas'!B32:BB69,37,0))</f>
        <v/>
      </c>
      <c r="AM30" s="58" t="str">
        <f t="shared" si="18"/>
        <v/>
      </c>
      <c r="AN30" s="262" t="str">
        <f>IF(BP30=A30,'Datos Biyemas'!BL32,"")</f>
        <v/>
      </c>
      <c r="AO30" s="32" t="str">
        <f>IF(A30="","",VLOOKUP(B30,'Datos Biyemas'!B32:BF69,39,0))</f>
        <v/>
      </c>
      <c r="AP30" s="36" t="str">
        <f t="shared" si="28"/>
        <v/>
      </c>
      <c r="AQ30" s="32" t="str">
        <f>IF(A30="","",VLOOKUP(B30,'Datos Biyemas'!B32:BH69,41,0))</f>
        <v/>
      </c>
      <c r="AR30" s="32" t="str">
        <f>IF(A30="","",VLOOKUP(B30,'Datos Biyemas'!B32:BI69,42,0))</f>
        <v/>
      </c>
      <c r="AS30" s="32" t="str">
        <f>IF(A30="","",VLOOKUP(B30,'Datos Biyemas'!B32:BJ69,43,0))</f>
        <v/>
      </c>
      <c r="AT30" s="32" t="str">
        <f>IF(A30="","",VLOOKUP(B30,'Datos Biyemas'!B32:BK69,44,0))</f>
        <v/>
      </c>
      <c r="AU30" s="58" t="str">
        <f>IF(A30="","",VLOOKUP(C30,'Datos Biyemas'!C32:BL69,44,0))</f>
        <v/>
      </c>
      <c r="AV30" s="37" t="str">
        <f t="shared" si="29"/>
        <v/>
      </c>
      <c r="AW30" s="38" t="str">
        <f t="shared" si="19"/>
        <v/>
      </c>
      <c r="AY30" s="180" t="str">
        <f>IF(A30="","",+'Datos Biyemas'!AY32)</f>
        <v/>
      </c>
      <c r="AZ30" s="258" t="str">
        <f t="shared" si="20"/>
        <v/>
      </c>
      <c r="BA30" s="255" t="str">
        <f>IF(A30="","",VLOOKUP(B30,'Datos Biyemas'!B32:BF69,51,0))</f>
        <v/>
      </c>
      <c r="BB30" s="28" t="str">
        <f t="shared" si="21"/>
        <v/>
      </c>
      <c r="BC30" s="180" t="str">
        <f>IF(BP30=A30,'Datos Biyemas'!BL32,"")</f>
        <v/>
      </c>
      <c r="BD30" s="181" t="str">
        <f>IF(A30="","",IF(AN30=BC30,0,IF(BC30&gt;0,(AN30-BC30)/BC30,1)))</f>
        <v/>
      </c>
      <c r="BE30" s="29" t="str">
        <f>IF(A30="","",VLOOKUP(B30,'Datos Biyemas'!B32:BF69,53,0))</f>
        <v/>
      </c>
      <c r="BF30" s="28" t="str">
        <f>IF(A30="","",VLOOKUP(B30,'Datos Biyemas'!B32:BF69,54,0))</f>
        <v/>
      </c>
      <c r="BG30" s="28" t="str">
        <f>IF(A30="","",VLOOKUP(B30,'Datos Biyemas'!B32:BF69,55,0))</f>
        <v/>
      </c>
      <c r="BH30" s="28" t="str">
        <f>IF(A30="","",VLOOKUP(B30,'Datos Biyemas'!B32:BF69,51,0))</f>
        <v/>
      </c>
      <c r="BI30" s="28" t="str">
        <f>IF(A30="","",VLOOKUP(B30,'Datos Biyemas'!B32:BF69,52,0))</f>
        <v/>
      </c>
      <c r="BJ30" s="211" t="str">
        <f>IF(A30="","",VLOOKUP(B30,'Datos Biyemas'!B32:BH69,58,0))</f>
        <v/>
      </c>
      <c r="BK30" s="27" t="str">
        <f>IF(A30="","",VLOOKUP(B30,'Datos Biyemas'!B32:BH69,59,0))</f>
        <v/>
      </c>
      <c r="BL30" s="29" t="str">
        <f>IF(A30="","",VLOOKUP(B30,'Datos Biyemas'!B32:BF69,55,0))</f>
        <v/>
      </c>
      <c r="BM30" s="28" t="str">
        <f>IF(A30="","",VLOOKUP(B30,'Datos Biyemas'!B32:BF69,56,0))</f>
        <v/>
      </c>
      <c r="BN30" s="181" t="str">
        <f>IF(A30="","",VLOOKUP(B30,'Datos Biyemas'!B32:BF69,57,0))</f>
        <v/>
      </c>
      <c r="BO30" s="59"/>
      <c r="BP30" s="190" t="s">
        <v>101</v>
      </c>
    </row>
    <row r="31" spans="1:68" ht="11.25" customHeight="1" x14ac:dyDescent="0.2">
      <c r="A31" s="188" t="str">
        <f>IF(BP31='Datos Biyemas'!A33,'Datos Biyemas'!A33,"")</f>
        <v/>
      </c>
      <c r="B31" s="185" t="str">
        <f>IF(BP31=A31,'Datos Biyemas'!B33,"")</f>
        <v/>
      </c>
      <c r="C31" s="186" t="str">
        <f>IF(BP31=A31,'Datos Biyemas'!C33,"")</f>
        <v/>
      </c>
      <c r="D31" s="37" t="str">
        <f>IF(BP31=A31,VLOOKUP(B31,'Datos Biyemas'!B33:BB70,3,0),"")</f>
        <v/>
      </c>
      <c r="E31" s="32" t="str">
        <f>IF(BP31=A31,VLOOKUP(B31,'Datos Biyemas'!B33:BB70,4,0),"")</f>
        <v/>
      </c>
      <c r="F31" s="32" t="str">
        <f>IF(BP31=A31,VLOOKUP(B31,'Datos Biyemas'!B33:BB70,5,0),"")</f>
        <v/>
      </c>
      <c r="G31" s="32" t="str">
        <f>IF(BP31=A31,VLOOKUP(B31,'Datos Biyemas'!B33:BB70,6,0),"")</f>
        <v/>
      </c>
      <c r="H31" s="33" t="str">
        <f t="shared" si="30"/>
        <v/>
      </c>
      <c r="I31" s="33" t="str">
        <f t="shared" si="1"/>
        <v/>
      </c>
      <c r="J31" s="34" t="str">
        <f t="shared" si="2"/>
        <v/>
      </c>
      <c r="K31" s="31" t="str">
        <f t="shared" si="3"/>
        <v/>
      </c>
      <c r="L31" s="37" t="str">
        <f>IF(A31="","",VLOOKUP(B31,'Datos Biyemas'!B33:BB70,11,0))</f>
        <v/>
      </c>
      <c r="M31" s="32" t="str">
        <f>IF(A31="","",VLOOKUP(B31,'Datos Biyemas'!B33:BB70,12,0))</f>
        <v/>
      </c>
      <c r="N31" s="32" t="str">
        <f>IF(A31="","",VLOOKUP(B31,'Datos Biyemas'!B33:BB70,13,0))</f>
        <v/>
      </c>
      <c r="O31" s="32" t="str">
        <f>IF(A31="","",VLOOKUP(B31,'Datos Biyemas'!B33:BB70,14,0))</f>
        <v/>
      </c>
      <c r="P31" s="33" t="str">
        <f t="shared" si="6"/>
        <v/>
      </c>
      <c r="Q31" s="33" t="str">
        <f t="shared" si="7"/>
        <v/>
      </c>
      <c r="R31" s="34" t="str">
        <f t="shared" si="4"/>
        <v/>
      </c>
      <c r="S31" s="31" t="str">
        <f t="shared" si="5"/>
        <v/>
      </c>
      <c r="T31" s="35" t="str">
        <f t="shared" si="8"/>
        <v/>
      </c>
      <c r="U31" s="35" t="str">
        <f t="shared" si="9"/>
        <v/>
      </c>
      <c r="V31" s="37" t="str">
        <f>IF(A31="","",VLOOKUP(B31,'Datos Biyemas'!B33:BB70,21,0))</f>
        <v/>
      </c>
      <c r="W31" s="32" t="str">
        <f>IF(A31="","",VLOOKUP(B31,'Datos Biyemas'!B33:BB70,22,0))</f>
        <v/>
      </c>
      <c r="X31" s="32" t="str">
        <f>IF(A31="","",VLOOKUP(B31,'Datos Biyemas'!B33:BB70,23,0))</f>
        <v/>
      </c>
      <c r="Y31" s="32" t="str">
        <f>IF(A31="","",VLOOKUP(B31,'Datos Biyemas'!B33:BB70,24,0))</f>
        <v/>
      </c>
      <c r="Z31" s="33" t="str">
        <f t="shared" si="23"/>
        <v/>
      </c>
      <c r="AA31" s="33" t="str">
        <f t="shared" si="24"/>
        <v/>
      </c>
      <c r="AB31" s="34" t="str">
        <f t="shared" si="25"/>
        <v/>
      </c>
      <c r="AC31" s="31" t="str">
        <f t="shared" si="26"/>
        <v/>
      </c>
      <c r="AD31" s="37" t="str">
        <f t="shared" si="14"/>
        <v/>
      </c>
      <c r="AE31" s="32" t="str">
        <f>IF(A31="","",VLOOKUP(B31,'Datos Biyemas'!B33:BB70,30,0))</f>
        <v/>
      </c>
      <c r="AF31" s="31" t="str">
        <f t="shared" si="15"/>
        <v/>
      </c>
      <c r="AG31" s="32" t="str">
        <f>IF(A31="","",VLOOKUP(B31,'Datos Biyemas'!B33:BB70,32,0))</f>
        <v/>
      </c>
      <c r="AH31" s="32" t="str">
        <f>IF(A31="","",VLOOKUP(B31,'Datos Biyemas'!B33:BB70,33,0))</f>
        <v/>
      </c>
      <c r="AI31" s="32" t="str">
        <f>IF(A31="","",VLOOKUP(B31,'Datos Biyemas'!B33:BB70,34,0))</f>
        <v/>
      </c>
      <c r="AJ31" s="34" t="str">
        <f t="shared" si="27"/>
        <v/>
      </c>
      <c r="AK31" s="35" t="str">
        <f t="shared" si="17"/>
        <v/>
      </c>
      <c r="AL31" s="37" t="str">
        <f>IF(A31="","",VLOOKUP(B31,'Datos Biyemas'!B33:BB70,37,0))</f>
        <v/>
      </c>
      <c r="AM31" s="58" t="str">
        <f t="shared" si="18"/>
        <v/>
      </c>
      <c r="AN31" s="262" t="str">
        <f>IF(BP31=A31,'Datos Biyemas'!BL33,"")</f>
        <v/>
      </c>
      <c r="AO31" s="32" t="str">
        <f>IF(A31="","",VLOOKUP(B31,'Datos Biyemas'!B33:BF70,39,0))</f>
        <v/>
      </c>
      <c r="AP31" s="36" t="str">
        <f t="shared" si="28"/>
        <v/>
      </c>
      <c r="AQ31" s="32" t="str">
        <f>IF(A31="","",VLOOKUP(B31,'Datos Biyemas'!B33:BH70,41,0))</f>
        <v/>
      </c>
      <c r="AR31" s="32" t="str">
        <f>IF(A31="","",VLOOKUP(B31,'Datos Biyemas'!B33:BI70,42,0))</f>
        <v/>
      </c>
      <c r="AS31" s="32" t="str">
        <f>IF(A31="","",VLOOKUP(B31,'Datos Biyemas'!B33:BJ70,43,0))</f>
        <v/>
      </c>
      <c r="AT31" s="32" t="str">
        <f>IF(A31="","",VLOOKUP(B31,'Datos Biyemas'!B33:BK70,44,0))</f>
        <v/>
      </c>
      <c r="AU31" s="58" t="str">
        <f>IF(A31="","",VLOOKUP(C31,'Datos Biyemas'!C33:BL70,44,0))</f>
        <v/>
      </c>
      <c r="AV31" s="37" t="str">
        <f t="shared" si="29"/>
        <v/>
      </c>
      <c r="AW31" s="38" t="str">
        <f t="shared" si="19"/>
        <v/>
      </c>
      <c r="AY31" s="180" t="str">
        <f>IF(A31="","",+'Datos Biyemas'!AY33)</f>
        <v/>
      </c>
      <c r="AZ31" s="258" t="str">
        <f t="shared" si="20"/>
        <v/>
      </c>
      <c r="BA31" s="255" t="str">
        <f>IF(A31="","",VLOOKUP(B31,'Datos Biyemas'!B33:BF70,51,0))</f>
        <v/>
      </c>
      <c r="BB31" s="28" t="str">
        <f t="shared" si="21"/>
        <v/>
      </c>
      <c r="BC31" s="180" t="str">
        <f>IF(BP31=A31,'Datos Biyemas'!BL33,"")</f>
        <v/>
      </c>
      <c r="BD31" s="181" t="str">
        <f t="shared" ref="BD31:BD37" si="32">IF(A31="","",IF(BC31&gt;0,(AN31-BC31)/BC31,1))</f>
        <v/>
      </c>
      <c r="BE31" s="29" t="str">
        <f>IF(A31="","",VLOOKUP(B31,'Datos Biyemas'!B33:BF70,53,0))</f>
        <v/>
      </c>
      <c r="BF31" s="28" t="str">
        <f>IF(A31="","",VLOOKUP(B31,'Datos Biyemas'!B33:BF70,54,0))</f>
        <v/>
      </c>
      <c r="BG31" s="28" t="str">
        <f>IF(A31="","",VLOOKUP(B31,'Datos Biyemas'!B33:BF70,55,0))</f>
        <v/>
      </c>
      <c r="BH31" s="28" t="str">
        <f>IF(A31="","",VLOOKUP(B31,'Datos Biyemas'!B33:BF70,51,0))</f>
        <v/>
      </c>
      <c r="BI31" s="28" t="str">
        <f>IF(A31="","",VLOOKUP(B31,'Datos Biyemas'!B33:BF70,52,0))</f>
        <v/>
      </c>
      <c r="BJ31" s="211" t="str">
        <f>IF(A31="","",VLOOKUP(B31,'Datos Biyemas'!B33:BH70,58,0))</f>
        <v/>
      </c>
      <c r="BK31" s="27" t="str">
        <f>IF(A31="","",VLOOKUP(B31,'Datos Biyemas'!B33:BH70,59,0))</f>
        <v/>
      </c>
      <c r="BL31" s="29" t="str">
        <f>IF(A31="","",VLOOKUP(B31,'Datos Biyemas'!B33:BF70,55,0))</f>
        <v/>
      </c>
      <c r="BM31" s="28" t="str">
        <f>IF(A31="","",VLOOKUP(B31,'Datos Biyemas'!B33:BF70,56,0))</f>
        <v/>
      </c>
      <c r="BN31" s="181" t="str">
        <f>IF(A31="","",VLOOKUP(B31,'Datos Biyemas'!B33:BF70,57,0))</f>
        <v/>
      </c>
      <c r="BO31" s="59"/>
      <c r="BP31" s="190" t="s">
        <v>102</v>
      </c>
    </row>
    <row r="32" spans="1:68" ht="11.25" customHeight="1" x14ac:dyDescent="0.2">
      <c r="A32" s="188" t="str">
        <f>IF(BP32='Datos Biyemas'!A34,'Datos Biyemas'!A34,"")</f>
        <v/>
      </c>
      <c r="B32" s="185" t="str">
        <f>IF(BP32=A32,'Datos Biyemas'!B34,"")</f>
        <v/>
      </c>
      <c r="C32" s="186" t="str">
        <f>IF(BP32=A32,'Datos Biyemas'!C34,"")</f>
        <v/>
      </c>
      <c r="D32" s="37" t="str">
        <f>IF(BP32=A32,VLOOKUP(B32,'Datos Biyemas'!B34:BB71,3,0),"")</f>
        <v/>
      </c>
      <c r="E32" s="32" t="str">
        <f>IF(BP32=A32,VLOOKUP(B32,'Datos Biyemas'!B34:BB71,4,0),"")</f>
        <v/>
      </c>
      <c r="F32" s="32" t="str">
        <f>IF(BP32=A32,VLOOKUP(B32,'Datos Biyemas'!B34:BB71,5,0),"")</f>
        <v/>
      </c>
      <c r="G32" s="32" t="str">
        <f>IF(BP32=A32,VLOOKUP(B32,'Datos Biyemas'!B34:BB71,6,0),"")</f>
        <v/>
      </c>
      <c r="H32" s="33" t="str">
        <f t="shared" si="30"/>
        <v/>
      </c>
      <c r="I32" s="33" t="str">
        <f t="shared" si="1"/>
        <v/>
      </c>
      <c r="J32" s="34" t="str">
        <f t="shared" si="2"/>
        <v/>
      </c>
      <c r="K32" s="31" t="str">
        <f t="shared" si="3"/>
        <v/>
      </c>
      <c r="L32" s="37" t="str">
        <f>IF(A32="","",VLOOKUP(B32,'Datos Biyemas'!B34:BB71,11,0))</f>
        <v/>
      </c>
      <c r="M32" s="32" t="str">
        <f>IF(A32="","",VLOOKUP(B32,'Datos Biyemas'!B34:BB71,12,0))</f>
        <v/>
      </c>
      <c r="N32" s="32" t="str">
        <f>IF(A32="","",VLOOKUP(B32,'Datos Biyemas'!B34:BB71,13,0))</f>
        <v/>
      </c>
      <c r="O32" s="32" t="str">
        <f>IF(A32="","",VLOOKUP(B32,'Datos Biyemas'!B34:BB71,14,0))</f>
        <v/>
      </c>
      <c r="P32" s="33" t="str">
        <f t="shared" si="6"/>
        <v/>
      </c>
      <c r="Q32" s="33" t="str">
        <f t="shared" si="7"/>
        <v/>
      </c>
      <c r="R32" s="34" t="str">
        <f t="shared" si="4"/>
        <v/>
      </c>
      <c r="S32" s="31" t="str">
        <f t="shared" si="5"/>
        <v/>
      </c>
      <c r="T32" s="35" t="str">
        <f t="shared" si="8"/>
        <v/>
      </c>
      <c r="U32" s="35" t="str">
        <f t="shared" si="9"/>
        <v/>
      </c>
      <c r="V32" s="37" t="str">
        <f>IF(A32="","",VLOOKUP(B32,'Datos Biyemas'!B34:BB71,21,0))</f>
        <v/>
      </c>
      <c r="W32" s="32" t="str">
        <f>IF(A32="","",VLOOKUP(B32,'Datos Biyemas'!B34:BB71,22,0))</f>
        <v/>
      </c>
      <c r="X32" s="32" t="str">
        <f>IF(A32="","",VLOOKUP(B32,'Datos Biyemas'!B34:BB71,23,0))</f>
        <v/>
      </c>
      <c r="Y32" s="32" t="str">
        <f>IF(A32="","",VLOOKUP(B32,'Datos Biyemas'!B34:BB71,24,0))</f>
        <v/>
      </c>
      <c r="Z32" s="33" t="str">
        <f t="shared" si="23"/>
        <v/>
      </c>
      <c r="AA32" s="33" t="str">
        <f t="shared" si="24"/>
        <v/>
      </c>
      <c r="AB32" s="34" t="str">
        <f t="shared" si="25"/>
        <v/>
      </c>
      <c r="AC32" s="31" t="str">
        <f t="shared" si="26"/>
        <v/>
      </c>
      <c r="AD32" s="37" t="str">
        <f t="shared" si="14"/>
        <v/>
      </c>
      <c r="AE32" s="32" t="str">
        <f>IF(A32="","",VLOOKUP(B32,'Datos Biyemas'!B34:BB71,30,0))</f>
        <v/>
      </c>
      <c r="AF32" s="31" t="str">
        <f t="shared" si="15"/>
        <v/>
      </c>
      <c r="AG32" s="32" t="str">
        <f>IF(A32="","",VLOOKUP(B32,'Datos Biyemas'!B34:BB71,32,0))</f>
        <v/>
      </c>
      <c r="AH32" s="32" t="str">
        <f>IF(A32="","",VLOOKUP(B32,'Datos Biyemas'!B34:BB71,33,0))</f>
        <v/>
      </c>
      <c r="AI32" s="32" t="str">
        <f>IF(A32="","",VLOOKUP(B32,'Datos Biyemas'!B34:BB71,34,0))</f>
        <v/>
      </c>
      <c r="AJ32" s="34" t="str">
        <f t="shared" si="27"/>
        <v/>
      </c>
      <c r="AK32" s="35" t="str">
        <f t="shared" si="17"/>
        <v/>
      </c>
      <c r="AL32" s="37" t="str">
        <f>IF(A32="","",VLOOKUP(B32,'Datos Biyemas'!B34:BB71,37,0))</f>
        <v/>
      </c>
      <c r="AM32" s="58" t="str">
        <f t="shared" si="18"/>
        <v/>
      </c>
      <c r="AN32" s="262" t="str">
        <f>IF(BP32=A32,'Datos Biyemas'!BL34,"")</f>
        <v/>
      </c>
      <c r="AO32" s="32" t="str">
        <f>IF(A32="","",VLOOKUP(B32,'Datos Biyemas'!B34:BF71,39,0))</f>
        <v/>
      </c>
      <c r="AP32" s="36" t="str">
        <f t="shared" si="28"/>
        <v/>
      </c>
      <c r="AQ32" s="32" t="str">
        <f>IF(A32="","",VLOOKUP(B32,'Datos Biyemas'!B34:BH71,41,0))</f>
        <v/>
      </c>
      <c r="AR32" s="32" t="str">
        <f>IF(A32="","",VLOOKUP(B32,'Datos Biyemas'!B34:BI71,42,0))</f>
        <v/>
      </c>
      <c r="AS32" s="32" t="str">
        <f>IF(A32="","",VLOOKUP(B32,'Datos Biyemas'!B34:BJ71,43,0))</f>
        <v/>
      </c>
      <c r="AT32" s="32" t="str">
        <f>IF(A32="","",VLOOKUP(B32,'Datos Biyemas'!B34:BK71,44,0))</f>
        <v/>
      </c>
      <c r="AU32" s="58" t="str">
        <f>IF(A32="","",VLOOKUP(C32,'Datos Biyemas'!C34:BL71,44,0))</f>
        <v/>
      </c>
      <c r="AV32" s="37" t="str">
        <f t="shared" si="29"/>
        <v/>
      </c>
      <c r="AW32" s="38" t="str">
        <f t="shared" si="19"/>
        <v/>
      </c>
      <c r="AY32" s="180" t="str">
        <f>IF(A32="","",+'Datos Biyemas'!AY34)</f>
        <v/>
      </c>
      <c r="AZ32" s="258" t="str">
        <f t="shared" si="20"/>
        <v/>
      </c>
      <c r="BA32" s="255" t="str">
        <f>IF(A32="","",VLOOKUP(B32,'Datos Biyemas'!B34:BF71,51,0))</f>
        <v/>
      </c>
      <c r="BB32" s="28" t="str">
        <f t="shared" si="21"/>
        <v/>
      </c>
      <c r="BC32" s="180" t="str">
        <f>IF(BP32=A32,'Datos Biyemas'!BL34,"")</f>
        <v/>
      </c>
      <c r="BD32" s="181" t="str">
        <f t="shared" si="32"/>
        <v/>
      </c>
      <c r="BE32" s="29" t="str">
        <f>IF(A32="","",VLOOKUP(B32,'Datos Biyemas'!B34:BF71,53,0))</f>
        <v/>
      </c>
      <c r="BF32" s="28" t="str">
        <f>IF(A32="","",VLOOKUP(B32,'Datos Biyemas'!B34:BF71,54,0))</f>
        <v/>
      </c>
      <c r="BG32" s="28" t="str">
        <f>IF(A32="","",VLOOKUP(B32,'Datos Biyemas'!B34:BF71,55,0))</f>
        <v/>
      </c>
      <c r="BH32" s="28" t="str">
        <f>IF(A32="","",VLOOKUP(B32,'Datos Biyemas'!B34:BF71,51,0))</f>
        <v/>
      </c>
      <c r="BI32" s="28" t="str">
        <f>IF(A32="","",VLOOKUP(B32,'Datos Biyemas'!B34:BF71,52,0))</f>
        <v/>
      </c>
      <c r="BJ32" s="211" t="str">
        <f>IF(A32="","",VLOOKUP(B32,'Datos Biyemas'!B34:BH71,58,0))</f>
        <v/>
      </c>
      <c r="BK32" s="27" t="str">
        <f>IF(A32="","",VLOOKUP(B32,'Datos Biyemas'!B34:BH71,59,0))</f>
        <v/>
      </c>
      <c r="BL32" s="29" t="str">
        <f>IF(A32="","",VLOOKUP(B32,'Datos Biyemas'!B34:BF71,55,0))</f>
        <v/>
      </c>
      <c r="BM32" s="28" t="str">
        <f>IF(A32="","",VLOOKUP(B32,'Datos Biyemas'!B34:BF71,56,0))</f>
        <v/>
      </c>
      <c r="BN32" s="181" t="str">
        <f>IF(A32="","",VLOOKUP(B32,'Datos Biyemas'!B34:BF71,57,0))</f>
        <v/>
      </c>
      <c r="BO32" s="59"/>
      <c r="BP32" s="190" t="s">
        <v>103</v>
      </c>
    </row>
    <row r="33" spans="1:76" ht="11.25" customHeight="1" x14ac:dyDescent="0.2">
      <c r="A33" s="188" t="str">
        <f>IF(BP33='Datos Biyemas'!A35,'Datos Biyemas'!A35,"")</f>
        <v/>
      </c>
      <c r="B33" s="185" t="str">
        <f>IF(BP33=A33,'Datos Biyemas'!B35,"")</f>
        <v/>
      </c>
      <c r="C33" s="186" t="str">
        <f>IF(BP33=A33,'Datos Biyemas'!C35,"")</f>
        <v/>
      </c>
      <c r="D33" s="37" t="str">
        <f>IF(BP33=A33,VLOOKUP(B33,'Datos Biyemas'!B35:BB72,3,0),"")</f>
        <v/>
      </c>
      <c r="E33" s="32" t="str">
        <f>IF(BP33=A33,VLOOKUP(B33,'Datos Biyemas'!B35:BB72,4,0),"")</f>
        <v/>
      </c>
      <c r="F33" s="32" t="str">
        <f>IF(BP33=A33,VLOOKUP(B33,'Datos Biyemas'!B35:BB72,5,0),"")</f>
        <v/>
      </c>
      <c r="G33" s="32" t="str">
        <f>IF(BP33=A33,VLOOKUP(B33,'Datos Biyemas'!B35:BB72,6,0),"")</f>
        <v/>
      </c>
      <c r="H33" s="33" t="str">
        <f t="shared" si="30"/>
        <v/>
      </c>
      <c r="I33" s="33" t="str">
        <f t="shared" si="1"/>
        <v/>
      </c>
      <c r="J33" s="34" t="str">
        <f t="shared" si="2"/>
        <v/>
      </c>
      <c r="K33" s="31" t="str">
        <f t="shared" si="3"/>
        <v/>
      </c>
      <c r="L33" s="37" t="str">
        <f>IF(A33="","",VLOOKUP(B33,'Datos Biyemas'!B35:BB72,11,0))</f>
        <v/>
      </c>
      <c r="M33" s="32" t="str">
        <f>IF(A33="","",VLOOKUP(B33,'Datos Biyemas'!B35:BB72,12,0))</f>
        <v/>
      </c>
      <c r="N33" s="32" t="str">
        <f>IF(A33="","",VLOOKUP(B33,'Datos Biyemas'!B35:BB72,13,0))</f>
        <v/>
      </c>
      <c r="O33" s="32" t="str">
        <f>IF(A33="","",VLOOKUP(B33,'Datos Biyemas'!B35:BB72,14,0))</f>
        <v/>
      </c>
      <c r="P33" s="33" t="str">
        <f t="shared" si="6"/>
        <v/>
      </c>
      <c r="Q33" s="33" t="str">
        <f t="shared" si="7"/>
        <v/>
      </c>
      <c r="R33" s="34" t="str">
        <f t="shared" si="4"/>
        <v/>
      </c>
      <c r="S33" s="31" t="str">
        <f t="shared" si="5"/>
        <v/>
      </c>
      <c r="T33" s="35" t="str">
        <f t="shared" si="8"/>
        <v/>
      </c>
      <c r="U33" s="35" t="str">
        <f t="shared" si="9"/>
        <v/>
      </c>
      <c r="V33" s="37" t="str">
        <f>IF(A33="","",VLOOKUP(B33,'Datos Biyemas'!B35:BB72,21,0))</f>
        <v/>
      </c>
      <c r="W33" s="32" t="str">
        <f>IF(A33="","",VLOOKUP(B33,'Datos Biyemas'!B35:BB72,22,0))</f>
        <v/>
      </c>
      <c r="X33" s="32" t="str">
        <f>IF(A33="","",VLOOKUP(B33,'Datos Biyemas'!B35:BB72,23,0))</f>
        <v/>
      </c>
      <c r="Y33" s="32" t="str">
        <f>IF(A33="","",VLOOKUP(B33,'Datos Biyemas'!B35:BB72,24,0))</f>
        <v/>
      </c>
      <c r="Z33" s="33" t="str">
        <f t="shared" si="23"/>
        <v/>
      </c>
      <c r="AA33" s="33" t="str">
        <f t="shared" si="24"/>
        <v/>
      </c>
      <c r="AB33" s="34" t="str">
        <f t="shared" si="25"/>
        <v/>
      </c>
      <c r="AC33" s="31" t="str">
        <f t="shared" si="26"/>
        <v/>
      </c>
      <c r="AD33" s="37" t="str">
        <f t="shared" si="14"/>
        <v/>
      </c>
      <c r="AE33" s="32" t="str">
        <f>IF(A33="","",VLOOKUP(B33,'Datos Biyemas'!B35:BB72,30,0))</f>
        <v/>
      </c>
      <c r="AF33" s="31" t="str">
        <f t="shared" si="15"/>
        <v/>
      </c>
      <c r="AG33" s="32" t="str">
        <f>IF(A33="","",VLOOKUP(B33,'Datos Biyemas'!B35:BB72,32,0))</f>
        <v/>
      </c>
      <c r="AH33" s="32" t="str">
        <f>IF(A33="","",VLOOKUP(B33,'Datos Biyemas'!B35:BB72,33,0))</f>
        <v/>
      </c>
      <c r="AI33" s="32" t="str">
        <f>IF(A33="","",VLOOKUP(B33,'Datos Biyemas'!B35:BB72,34,0))</f>
        <v/>
      </c>
      <c r="AJ33" s="34" t="str">
        <f t="shared" si="27"/>
        <v/>
      </c>
      <c r="AK33" s="35" t="str">
        <f t="shared" si="17"/>
        <v/>
      </c>
      <c r="AL33" s="37" t="str">
        <f>IF(A33="","",VLOOKUP(B33,'Datos Biyemas'!B35:BB72,37,0))</f>
        <v/>
      </c>
      <c r="AM33" s="58" t="str">
        <f t="shared" si="18"/>
        <v/>
      </c>
      <c r="AN33" s="262" t="str">
        <f>IF(BP33=A33,'Datos Biyemas'!BL35,"")</f>
        <v/>
      </c>
      <c r="AO33" s="32" t="str">
        <f>IF(A33="","",VLOOKUP(B33,'Datos Biyemas'!B35:BF72,39,0))</f>
        <v/>
      </c>
      <c r="AP33" s="36" t="str">
        <f t="shared" si="28"/>
        <v/>
      </c>
      <c r="AQ33" s="32" t="str">
        <f>IF(A33="","",VLOOKUP(B33,'Datos Biyemas'!B35:BH72,41,0))</f>
        <v/>
      </c>
      <c r="AR33" s="32" t="str">
        <f>IF(A33="","",VLOOKUP(B33,'Datos Biyemas'!B35:BI72,42,0))</f>
        <v/>
      </c>
      <c r="AS33" s="32" t="str">
        <f>IF(A33="","",VLOOKUP(B33,'Datos Biyemas'!B35:BJ72,43,0))</f>
        <v/>
      </c>
      <c r="AT33" s="32" t="str">
        <f>IF(A33="","",VLOOKUP(B33,'Datos Biyemas'!B35:BK72,44,0))</f>
        <v/>
      </c>
      <c r="AU33" s="58" t="str">
        <f>IF(A33="","",VLOOKUP(C33,'Datos Biyemas'!C35:BL72,44,0))</f>
        <v/>
      </c>
      <c r="AV33" s="37" t="str">
        <f t="shared" si="29"/>
        <v/>
      </c>
      <c r="AW33" s="38" t="str">
        <f t="shared" si="19"/>
        <v/>
      </c>
      <c r="AY33" s="180" t="str">
        <f>IF(A33="","",+'Datos Biyemas'!AY35)</f>
        <v/>
      </c>
      <c r="AZ33" s="258" t="str">
        <f t="shared" si="20"/>
        <v/>
      </c>
      <c r="BA33" s="255" t="str">
        <f>IF(A33="","",VLOOKUP(B33,'Datos Biyemas'!B35:BF72,51,0))</f>
        <v/>
      </c>
      <c r="BB33" s="28" t="str">
        <f t="shared" si="21"/>
        <v/>
      </c>
      <c r="BC33" s="180" t="str">
        <f>IF(BP33=A33,'Datos Biyemas'!BL35,"")</f>
        <v/>
      </c>
      <c r="BD33" s="181" t="str">
        <f t="shared" si="32"/>
        <v/>
      </c>
      <c r="BE33" s="29" t="str">
        <f>IF(A33="","",VLOOKUP(B33,'Datos Biyemas'!B35:BF72,53,0))</f>
        <v/>
      </c>
      <c r="BF33" s="28" t="str">
        <f>IF(A33="","",VLOOKUP(B33,'Datos Biyemas'!B35:BF72,54,0))</f>
        <v/>
      </c>
      <c r="BG33" s="28" t="str">
        <f>IF(A33="","",VLOOKUP(B33,'Datos Biyemas'!B35:BF72,55,0))</f>
        <v/>
      </c>
      <c r="BH33" s="28" t="str">
        <f>IF(A33="","",VLOOKUP(B33,'Datos Biyemas'!B35:BF72,51,0))</f>
        <v/>
      </c>
      <c r="BI33" s="28" t="str">
        <f>IF(A33="","",VLOOKUP(B33,'Datos Biyemas'!B35:BF72,52,0))</f>
        <v/>
      </c>
      <c r="BJ33" s="211" t="str">
        <f>IF(A33="","",VLOOKUP(B33,'Datos Biyemas'!B35:BH72,58,0))</f>
        <v/>
      </c>
      <c r="BK33" s="27" t="str">
        <f>IF(A33="","",VLOOKUP(B33,'Datos Biyemas'!B35:BH72,59,0))</f>
        <v/>
      </c>
      <c r="BL33" s="29" t="str">
        <f>IF(A33="","",VLOOKUP(B33,'Datos Biyemas'!B35:BF72,55,0))</f>
        <v/>
      </c>
      <c r="BM33" s="28" t="str">
        <f>IF(A33="","",VLOOKUP(B33,'Datos Biyemas'!B35:BF72,56,0))</f>
        <v/>
      </c>
      <c r="BN33" s="181" t="str">
        <f>IF(A33="","",VLOOKUP(B33,'Datos Biyemas'!B35:BF72,57,0))</f>
        <v/>
      </c>
      <c r="BO33" s="59"/>
      <c r="BP33" s="190" t="s">
        <v>104</v>
      </c>
    </row>
    <row r="34" spans="1:76" x14ac:dyDescent="0.2">
      <c r="A34" s="188" t="str">
        <f>IF(BP34='Datos Biyemas'!A36,'Datos Biyemas'!A36,"")</f>
        <v/>
      </c>
      <c r="B34" s="185" t="str">
        <f>IF(BP34=A34,'Datos Biyemas'!B36,"")</f>
        <v/>
      </c>
      <c r="C34" s="186" t="str">
        <f>IF(BP34=A34,'Datos Biyemas'!C36,"")</f>
        <v/>
      </c>
      <c r="D34" s="37" t="str">
        <f>IF(BP34=A34,VLOOKUP(B34,'Datos Biyemas'!B36:BB73,3,0),"")</f>
        <v/>
      </c>
      <c r="E34" s="32" t="str">
        <f>IF(BP34=A34,VLOOKUP(B34,'Datos Biyemas'!B36:BB73,4,0),"")</f>
        <v/>
      </c>
      <c r="F34" s="32" t="str">
        <f>IF(BP34=A34,VLOOKUP(B34,'Datos Biyemas'!B36:BB73,5,0),"")</f>
        <v/>
      </c>
      <c r="G34" s="32" t="str">
        <f>IF(BP34=A34,VLOOKUP(B34,'Datos Biyemas'!B36:BB73,6,0),"")</f>
        <v/>
      </c>
      <c r="H34" s="33" t="str">
        <f t="shared" si="30"/>
        <v/>
      </c>
      <c r="I34" s="33" t="str">
        <f t="shared" si="1"/>
        <v/>
      </c>
      <c r="J34" s="34" t="str">
        <f t="shared" si="2"/>
        <v/>
      </c>
      <c r="K34" s="31" t="str">
        <f t="shared" si="3"/>
        <v/>
      </c>
      <c r="L34" s="37" t="str">
        <f>IF(A34="","",VLOOKUP(B34,'Datos Biyemas'!B36:BB73,11,0))</f>
        <v/>
      </c>
      <c r="M34" s="32" t="str">
        <f>IF(A34="","",VLOOKUP(B34,'Datos Biyemas'!B36:BB73,12,0))</f>
        <v/>
      </c>
      <c r="N34" s="32" t="str">
        <f>IF(A34="","",VLOOKUP(B34,'Datos Biyemas'!B36:BB73,13,0))</f>
        <v/>
      </c>
      <c r="O34" s="32" t="str">
        <f>IF(A34="","",VLOOKUP(B34,'Datos Biyemas'!B36:BB73,14,0))</f>
        <v/>
      </c>
      <c r="P34" s="33" t="str">
        <f t="shared" si="6"/>
        <v/>
      </c>
      <c r="Q34" s="33" t="str">
        <f t="shared" si="7"/>
        <v/>
      </c>
      <c r="R34" s="34" t="str">
        <f t="shared" si="4"/>
        <v/>
      </c>
      <c r="S34" s="31" t="str">
        <f t="shared" si="5"/>
        <v/>
      </c>
      <c r="T34" s="35" t="str">
        <f t="shared" si="8"/>
        <v/>
      </c>
      <c r="U34" s="35" t="str">
        <f t="shared" si="9"/>
        <v/>
      </c>
      <c r="V34" s="37" t="str">
        <f>IF(A34="","",VLOOKUP(B34,'Datos Biyemas'!B36:BB73,21,0))</f>
        <v/>
      </c>
      <c r="W34" s="32" t="str">
        <f>IF(A34="","",VLOOKUP(B34,'Datos Biyemas'!B36:BB73,22,0))</f>
        <v/>
      </c>
      <c r="X34" s="32" t="str">
        <f>IF(A34="","",VLOOKUP(B34,'Datos Biyemas'!B36:BB73,23,0))</f>
        <v/>
      </c>
      <c r="Y34" s="32" t="str">
        <f>IF(A34="","",VLOOKUP(B34,'Datos Biyemas'!B36:BB73,24,0))</f>
        <v/>
      </c>
      <c r="Z34" s="33" t="str">
        <f t="shared" si="23"/>
        <v/>
      </c>
      <c r="AA34" s="33" t="str">
        <f t="shared" si="24"/>
        <v/>
      </c>
      <c r="AB34" s="34" t="str">
        <f t="shared" si="25"/>
        <v/>
      </c>
      <c r="AC34" s="31" t="str">
        <f t="shared" si="26"/>
        <v/>
      </c>
      <c r="AD34" s="37" t="str">
        <f t="shared" si="14"/>
        <v/>
      </c>
      <c r="AE34" s="32" t="str">
        <f>IF(A34="","",VLOOKUP(B34,'Datos Biyemas'!B36:BB73,30,0))</f>
        <v/>
      </c>
      <c r="AF34" s="31" t="str">
        <f t="shared" si="15"/>
        <v/>
      </c>
      <c r="AG34" s="32" t="str">
        <f>IF(A34="","",VLOOKUP(B34,'Datos Biyemas'!B36:BB73,32,0))</f>
        <v/>
      </c>
      <c r="AH34" s="32" t="str">
        <f>IF(A34="","",VLOOKUP(B34,'Datos Biyemas'!B36:BB73,33,0))</f>
        <v/>
      </c>
      <c r="AI34" s="32" t="str">
        <f>IF(A34="","",VLOOKUP(B34,'Datos Biyemas'!B36:BB73,34,0))</f>
        <v/>
      </c>
      <c r="AJ34" s="34" t="str">
        <f t="shared" si="27"/>
        <v/>
      </c>
      <c r="AK34" s="35" t="str">
        <f t="shared" si="17"/>
        <v/>
      </c>
      <c r="AL34" s="37" t="str">
        <f>IF(A34="","",VLOOKUP(B34,'Datos Biyemas'!B36:BB73,37,0))</f>
        <v/>
      </c>
      <c r="AM34" s="58" t="str">
        <f t="shared" si="18"/>
        <v/>
      </c>
      <c r="AN34" s="262" t="str">
        <f>IF(BP34=A34,'Datos Biyemas'!BL36,"")</f>
        <v/>
      </c>
      <c r="AO34" s="32" t="str">
        <f>IF(A34="","",VLOOKUP(B34,'Datos Biyemas'!B36:BF73,39,0))</f>
        <v/>
      </c>
      <c r="AP34" s="36" t="str">
        <f t="shared" si="28"/>
        <v/>
      </c>
      <c r="AQ34" s="32" t="str">
        <f>IF(A34="","",VLOOKUP(B34,'Datos Biyemas'!B36:BH73,41,0))</f>
        <v/>
      </c>
      <c r="AR34" s="32" t="str">
        <f>IF(A34="","",VLOOKUP(B34,'Datos Biyemas'!B36:BI73,42,0))</f>
        <v/>
      </c>
      <c r="AS34" s="32" t="str">
        <f>IF(A34="","",VLOOKUP(B34,'Datos Biyemas'!B36:BJ73,43,0))</f>
        <v/>
      </c>
      <c r="AT34" s="32" t="str">
        <f>IF(A34="","",VLOOKUP(B34,'Datos Biyemas'!B36:BK73,44,0))</f>
        <v/>
      </c>
      <c r="AU34" s="58" t="str">
        <f>IF(A34="","",VLOOKUP(C34,'Datos Biyemas'!C36:BL73,44,0))</f>
        <v/>
      </c>
      <c r="AV34" s="37" t="str">
        <f t="shared" si="29"/>
        <v/>
      </c>
      <c r="AW34" s="38" t="str">
        <f t="shared" si="19"/>
        <v/>
      </c>
      <c r="AY34" s="180" t="str">
        <f>IF(A34="","",+'Datos Biyemas'!AY36)</f>
        <v/>
      </c>
      <c r="AZ34" s="258" t="str">
        <f t="shared" si="20"/>
        <v/>
      </c>
      <c r="BA34" s="255" t="str">
        <f>IF(A34="","",VLOOKUP(B34,'Datos Biyemas'!B36:BF73,51,0))</f>
        <v/>
      </c>
      <c r="BB34" s="28" t="str">
        <f t="shared" si="21"/>
        <v/>
      </c>
      <c r="BC34" s="180" t="str">
        <f>IF(BP34=A34,'Datos Biyemas'!BL36,"")</f>
        <v/>
      </c>
      <c r="BD34" s="181" t="str">
        <f t="shared" si="32"/>
        <v/>
      </c>
      <c r="BE34" s="29" t="str">
        <f>IF(A34="","",VLOOKUP(B34,'Datos Biyemas'!B36:BF73,53,0))</f>
        <v/>
      </c>
      <c r="BF34" s="28" t="str">
        <f>IF(A34="","",VLOOKUP(B34,'Datos Biyemas'!B36:BF73,54,0))</f>
        <v/>
      </c>
      <c r="BG34" s="28" t="str">
        <f>IF(A34="","",VLOOKUP(B34,'Datos Biyemas'!B36:BF73,55,0))</f>
        <v/>
      </c>
      <c r="BH34" s="28" t="str">
        <f>IF(A34="","",VLOOKUP(B34,'Datos Biyemas'!B36:BF73,51,0))</f>
        <v/>
      </c>
      <c r="BI34" s="28" t="str">
        <f>IF(A34="","",VLOOKUP(B34,'Datos Biyemas'!B36:BF73,52,0))</f>
        <v/>
      </c>
      <c r="BJ34" s="211" t="str">
        <f>IF(A34="","",VLOOKUP(B34,'Datos Biyemas'!B36:BH73,58,0))</f>
        <v/>
      </c>
      <c r="BK34" s="27" t="str">
        <f>IF(A34="","",VLOOKUP(B34,'Datos Biyemas'!B36:BH73,59,0))</f>
        <v/>
      </c>
      <c r="BL34" s="29" t="str">
        <f>IF(A34="","",VLOOKUP(B34,'Datos Biyemas'!B36:BF73,55,0))</f>
        <v/>
      </c>
      <c r="BM34" s="28" t="str">
        <f>IF(A34="","",VLOOKUP(B34,'Datos Biyemas'!B36:BF73,56,0))</f>
        <v/>
      </c>
      <c r="BN34" s="181" t="str">
        <f>IF(A34="","",VLOOKUP(B34,'Datos Biyemas'!B36:BF73,57,0))</f>
        <v/>
      </c>
      <c r="BO34" s="59"/>
      <c r="BP34" s="190" t="s">
        <v>105</v>
      </c>
    </row>
    <row r="35" spans="1:76" ht="11.25" customHeight="1" x14ac:dyDescent="0.2">
      <c r="A35" s="188" t="str">
        <f>IF(BP35='Datos Biyemas'!A37,'Datos Biyemas'!A37,"")</f>
        <v/>
      </c>
      <c r="B35" s="185" t="str">
        <f>IF(BP35=A35,'Datos Biyemas'!B37,"")</f>
        <v/>
      </c>
      <c r="C35" s="186" t="str">
        <f>IF(BP35=A35,'Datos Biyemas'!C37,"")</f>
        <v/>
      </c>
      <c r="D35" s="37" t="str">
        <f>IF(BP35=A35,VLOOKUP(B35,'Datos Biyemas'!B37:BB74,3,0),"")</f>
        <v/>
      </c>
      <c r="E35" s="32" t="str">
        <f>IF(BP35=A35,VLOOKUP(B35,'Datos Biyemas'!B37:BB74,4,0),"")</f>
        <v/>
      </c>
      <c r="F35" s="32" t="str">
        <f>IF(BP35=A35,VLOOKUP(B35,'Datos Biyemas'!B37:BB74,5,0),"")</f>
        <v/>
      </c>
      <c r="G35" s="32" t="str">
        <f>IF(BP35=A35,VLOOKUP(B35,'Datos Biyemas'!B37:BB74,6,0),"")</f>
        <v/>
      </c>
      <c r="H35" s="33" t="str">
        <f t="shared" si="30"/>
        <v/>
      </c>
      <c r="I35" s="33" t="str">
        <f t="shared" si="1"/>
        <v/>
      </c>
      <c r="J35" s="34" t="str">
        <f t="shared" si="2"/>
        <v/>
      </c>
      <c r="K35" s="31" t="str">
        <f t="shared" si="3"/>
        <v/>
      </c>
      <c r="L35" s="37" t="str">
        <f>IF(A35="","",VLOOKUP(B35,'Datos Biyemas'!B37:BB74,11,0))</f>
        <v/>
      </c>
      <c r="M35" s="32" t="str">
        <f>IF(A35="","",VLOOKUP(B35,'Datos Biyemas'!B37:BB74,12,0))</f>
        <v/>
      </c>
      <c r="N35" s="32" t="str">
        <f>IF(A35="","",VLOOKUP(B35,'Datos Biyemas'!B37:BB74,13,0))</f>
        <v/>
      </c>
      <c r="O35" s="32" t="str">
        <f>IF(A35="","",VLOOKUP(B35,'Datos Biyemas'!B37:BB74,14,0))</f>
        <v/>
      </c>
      <c r="P35" s="33" t="str">
        <f t="shared" si="6"/>
        <v/>
      </c>
      <c r="Q35" s="33" t="str">
        <f t="shared" si="7"/>
        <v/>
      </c>
      <c r="R35" s="34" t="str">
        <f t="shared" si="4"/>
        <v/>
      </c>
      <c r="S35" s="31" t="str">
        <f t="shared" si="5"/>
        <v/>
      </c>
      <c r="T35" s="35" t="str">
        <f t="shared" si="8"/>
        <v/>
      </c>
      <c r="U35" s="35" t="str">
        <f t="shared" si="9"/>
        <v/>
      </c>
      <c r="V35" s="37" t="str">
        <f>IF(A35="","",VLOOKUP(B35,'Datos Biyemas'!B37:BB74,21,0))</f>
        <v/>
      </c>
      <c r="W35" s="32" t="str">
        <f>IF(A35="","",VLOOKUP(B35,'Datos Biyemas'!B37:BB74,22,0))</f>
        <v/>
      </c>
      <c r="X35" s="32" t="str">
        <f>IF(A35="","",VLOOKUP(B35,'Datos Biyemas'!B37:BB74,23,0))</f>
        <v/>
      </c>
      <c r="Y35" s="32" t="str">
        <f>IF(A35="","",VLOOKUP(B35,'Datos Biyemas'!B37:BB74,24,0))</f>
        <v/>
      </c>
      <c r="Z35" s="33" t="str">
        <f t="shared" si="23"/>
        <v/>
      </c>
      <c r="AA35" s="33" t="str">
        <f t="shared" si="24"/>
        <v/>
      </c>
      <c r="AB35" s="34" t="str">
        <f t="shared" si="25"/>
        <v/>
      </c>
      <c r="AC35" s="31" t="str">
        <f t="shared" si="26"/>
        <v/>
      </c>
      <c r="AD35" s="37" t="str">
        <f t="shared" si="14"/>
        <v/>
      </c>
      <c r="AE35" s="32" t="str">
        <f>IF(A35="","",VLOOKUP(B35,'Datos Biyemas'!B37:BB74,30,0))</f>
        <v/>
      </c>
      <c r="AF35" s="31" t="str">
        <f t="shared" si="15"/>
        <v/>
      </c>
      <c r="AG35" s="32" t="str">
        <f>IF(A35="","",VLOOKUP(B35,'Datos Biyemas'!B37:BB74,32,0))</f>
        <v/>
      </c>
      <c r="AH35" s="32" t="str">
        <f>IF(A35="","",VLOOKUP(B35,'Datos Biyemas'!B37:BB74,33,0))</f>
        <v/>
      </c>
      <c r="AI35" s="32" t="str">
        <f>IF(A35="","",VLOOKUP(B35,'Datos Biyemas'!B37:BB74,34,0))</f>
        <v/>
      </c>
      <c r="AJ35" s="34" t="str">
        <f t="shared" si="27"/>
        <v/>
      </c>
      <c r="AK35" s="35" t="str">
        <f t="shared" si="17"/>
        <v/>
      </c>
      <c r="AL35" s="37" t="str">
        <f>IF(A35="","",VLOOKUP(B35,'Datos Biyemas'!B37:BB74,37,0))</f>
        <v/>
      </c>
      <c r="AM35" s="58" t="str">
        <f t="shared" si="18"/>
        <v/>
      </c>
      <c r="AN35" s="262" t="str">
        <f>IF(BP35=A35,'Datos Biyemas'!BL37,"")</f>
        <v/>
      </c>
      <c r="AO35" s="32" t="str">
        <f>IF(A35="","",VLOOKUP(B35,'Datos Biyemas'!B37:BF74,39,0))</f>
        <v/>
      </c>
      <c r="AP35" s="36" t="str">
        <f t="shared" si="28"/>
        <v/>
      </c>
      <c r="AQ35" s="32" t="str">
        <f>IF(A35="","",VLOOKUP(B35,'Datos Biyemas'!B37:BH74,41,0))</f>
        <v/>
      </c>
      <c r="AR35" s="32" t="str">
        <f>IF(A35="","",VLOOKUP(B35,'Datos Biyemas'!B37:BI74,42,0))</f>
        <v/>
      </c>
      <c r="AS35" s="32" t="str">
        <f>IF(A35="","",VLOOKUP(B35,'Datos Biyemas'!B37:BJ74,43,0))</f>
        <v/>
      </c>
      <c r="AT35" s="32" t="str">
        <f>IF(A35="","",VLOOKUP(B35,'Datos Biyemas'!B37:BK74,44,0))</f>
        <v/>
      </c>
      <c r="AU35" s="58" t="str">
        <f>IF(A35="","",VLOOKUP(C35,'Datos Biyemas'!C37:BL74,44,0))</f>
        <v/>
      </c>
      <c r="AV35" s="37" t="str">
        <f t="shared" si="29"/>
        <v/>
      </c>
      <c r="AW35" s="38" t="str">
        <f t="shared" si="19"/>
        <v/>
      </c>
      <c r="AY35" s="180" t="str">
        <f>IF(A35="","",+'Datos Biyemas'!AY37)</f>
        <v/>
      </c>
      <c r="AZ35" s="258" t="str">
        <f t="shared" si="20"/>
        <v/>
      </c>
      <c r="BA35" s="255" t="str">
        <f>IF(A35="","",VLOOKUP(B35,'Datos Biyemas'!B37:BF74,51,0))</f>
        <v/>
      </c>
      <c r="BB35" s="28" t="str">
        <f t="shared" si="21"/>
        <v/>
      </c>
      <c r="BC35" s="180" t="str">
        <f>IF(BP35=A35,'Datos Biyemas'!BL37,"")</f>
        <v/>
      </c>
      <c r="BD35" s="181" t="str">
        <f t="shared" si="32"/>
        <v/>
      </c>
      <c r="BE35" s="29" t="str">
        <f>IF(A35="","",VLOOKUP(B35,'Datos Biyemas'!B37:BF74,53,0))</f>
        <v/>
      </c>
      <c r="BF35" s="28" t="str">
        <f>IF(A35="","",VLOOKUP(B35,'Datos Biyemas'!B37:BF74,54,0))</f>
        <v/>
      </c>
      <c r="BG35" s="28" t="str">
        <f>IF(A35="","",VLOOKUP(B35,'Datos Biyemas'!B37:BF74,55,0))</f>
        <v/>
      </c>
      <c r="BH35" s="28" t="str">
        <f>IF(A35="","",VLOOKUP(B35,'Datos Biyemas'!B37:BF74,51,0))</f>
        <v/>
      </c>
      <c r="BI35" s="28" t="str">
        <f>IF(A35="","",VLOOKUP(B35,'Datos Biyemas'!B37:BF74,52,0))</f>
        <v/>
      </c>
      <c r="BJ35" s="211" t="str">
        <f>IF(A35="","",VLOOKUP(B35,'Datos Biyemas'!B37:BH74,58,0))</f>
        <v/>
      </c>
      <c r="BK35" s="27" t="str">
        <f>IF(A35="","",VLOOKUP(B35,'Datos Biyemas'!B37:BH74,59,0))</f>
        <v/>
      </c>
      <c r="BL35" s="29" t="str">
        <f>IF(A35="","",VLOOKUP(B35,'Datos Biyemas'!B37:BF74,55,0))</f>
        <v/>
      </c>
      <c r="BM35" s="28" t="str">
        <f>IF(A35="","",VLOOKUP(B35,'Datos Biyemas'!B37:BF74,56,0))</f>
        <v/>
      </c>
      <c r="BN35" s="181" t="str">
        <f>IF(A35="","",VLOOKUP(B35,'Datos Biyemas'!B37:BF74,57,0))</f>
        <v/>
      </c>
      <c r="BO35" s="59"/>
      <c r="BP35" s="190" t="s">
        <v>111</v>
      </c>
    </row>
    <row r="36" spans="1:76" x14ac:dyDescent="0.2">
      <c r="A36" s="188" t="str">
        <f>IF(BP36='Datos Biyemas'!A38,'Datos Biyemas'!A38,"")</f>
        <v/>
      </c>
      <c r="B36" s="185" t="str">
        <f>IF(BP36=A36,'Datos Biyemas'!B38,"")</f>
        <v/>
      </c>
      <c r="C36" s="186" t="str">
        <f>IF(BP36=A36,'Datos Biyemas'!C38,"")</f>
        <v/>
      </c>
      <c r="D36" s="37" t="str">
        <f>IF(BP36=A36,VLOOKUP(B36,'Datos Biyemas'!B38:BB75,3,0),"")</f>
        <v/>
      </c>
      <c r="E36" s="32" t="str">
        <f>IF(BP36=A36,VLOOKUP(B36,'Datos Biyemas'!B38:BB75,4,0),"")</f>
        <v/>
      </c>
      <c r="F36" s="32" t="str">
        <f>IF(BP36=A36,VLOOKUP(B36,'Datos Biyemas'!B38:BB75,5,0),"")</f>
        <v/>
      </c>
      <c r="G36" s="32" t="str">
        <f>IF(BP36=A36,VLOOKUP(B36,'Datos Biyemas'!B38:BB75,6,0),"")</f>
        <v/>
      </c>
      <c r="H36" s="33" t="str">
        <f t="shared" si="30"/>
        <v/>
      </c>
      <c r="I36" s="33" t="str">
        <f t="shared" si="1"/>
        <v/>
      </c>
      <c r="J36" s="34" t="str">
        <f t="shared" si="2"/>
        <v/>
      </c>
      <c r="K36" s="31" t="str">
        <f t="shared" si="3"/>
        <v/>
      </c>
      <c r="L36" s="37" t="str">
        <f>IF(A36="","",VLOOKUP(B36,'Datos Biyemas'!B38:BB75,11,0))</f>
        <v/>
      </c>
      <c r="M36" s="32" t="str">
        <f>IF(A36="","",VLOOKUP(B36,'Datos Biyemas'!B38:BB75,12,0))</f>
        <v/>
      </c>
      <c r="N36" s="32" t="str">
        <f>IF(A36="","",VLOOKUP(B36,'Datos Biyemas'!B38:BB75,13,0))</f>
        <v/>
      </c>
      <c r="O36" s="32" t="str">
        <f>IF(A36="","",VLOOKUP(B36,'Datos Biyemas'!B38:BB75,14,0))</f>
        <v/>
      </c>
      <c r="P36" s="33" t="str">
        <f t="shared" si="6"/>
        <v/>
      </c>
      <c r="Q36" s="33" t="str">
        <f t="shared" si="7"/>
        <v/>
      </c>
      <c r="R36" s="34" t="str">
        <f t="shared" si="4"/>
        <v/>
      </c>
      <c r="S36" s="31" t="str">
        <f t="shared" si="5"/>
        <v/>
      </c>
      <c r="T36" s="35" t="str">
        <f t="shared" si="8"/>
        <v/>
      </c>
      <c r="U36" s="35" t="str">
        <f t="shared" si="9"/>
        <v/>
      </c>
      <c r="V36" s="37" t="str">
        <f>IF(A36="","",VLOOKUP(B36,'Datos Biyemas'!B38:BB75,21,0))</f>
        <v/>
      </c>
      <c r="W36" s="32" t="str">
        <f>IF(A36="","",VLOOKUP(B36,'Datos Biyemas'!B38:BB75,22,0))</f>
        <v/>
      </c>
      <c r="X36" s="32" t="str">
        <f>IF(A36="","",VLOOKUP(B36,'Datos Biyemas'!B38:BB75,23,0))</f>
        <v/>
      </c>
      <c r="Y36" s="32" t="str">
        <f>IF(A36="","",VLOOKUP(B36,'Datos Biyemas'!B38:BB75,24,0))</f>
        <v/>
      </c>
      <c r="Z36" s="33" t="str">
        <f t="shared" si="23"/>
        <v/>
      </c>
      <c r="AA36" s="33" t="str">
        <f t="shared" si="24"/>
        <v/>
      </c>
      <c r="AB36" s="34" t="str">
        <f t="shared" si="25"/>
        <v/>
      </c>
      <c r="AC36" s="31" t="str">
        <f t="shared" si="26"/>
        <v/>
      </c>
      <c r="AD36" s="37" t="str">
        <f t="shared" si="14"/>
        <v/>
      </c>
      <c r="AE36" s="32" t="str">
        <f>IF(A36="","",VLOOKUP(B36,'Datos Biyemas'!B38:BB75,30,0))</f>
        <v/>
      </c>
      <c r="AF36" s="31" t="str">
        <f t="shared" si="15"/>
        <v/>
      </c>
      <c r="AG36" s="32" t="str">
        <f>IF(A36="","",VLOOKUP(B36,'Datos Biyemas'!B38:BB75,32,0))</f>
        <v/>
      </c>
      <c r="AH36" s="32" t="str">
        <f>IF(A36="","",VLOOKUP(B36,'Datos Biyemas'!B38:BB75,33,0))</f>
        <v/>
      </c>
      <c r="AI36" s="32" t="str">
        <f>IF(A36="","",VLOOKUP(B36,'Datos Biyemas'!B38:BB75,34,0))</f>
        <v/>
      </c>
      <c r="AJ36" s="34" t="str">
        <f t="shared" si="27"/>
        <v/>
      </c>
      <c r="AK36" s="35" t="str">
        <f t="shared" si="17"/>
        <v/>
      </c>
      <c r="AL36" s="37" t="str">
        <f>IF(A36="","",VLOOKUP(B36,'Datos Biyemas'!B38:BB75,37,0))</f>
        <v/>
      </c>
      <c r="AM36" s="58" t="str">
        <f t="shared" si="18"/>
        <v/>
      </c>
      <c r="AN36" s="262" t="str">
        <f>IF(BP36=A36,'Datos Biyemas'!BL38,"")</f>
        <v/>
      </c>
      <c r="AO36" s="32" t="str">
        <f>IF(A36="","",VLOOKUP(B36,'Datos Biyemas'!B38:BF75,39,0))</f>
        <v/>
      </c>
      <c r="AP36" s="36" t="str">
        <f t="shared" si="28"/>
        <v/>
      </c>
      <c r="AQ36" s="32" t="str">
        <f>IF(A36="","",VLOOKUP(B36,'Datos Biyemas'!B38:BH75,41,0))</f>
        <v/>
      </c>
      <c r="AR36" s="32" t="str">
        <f>IF(A36="","",VLOOKUP(B36,'Datos Biyemas'!B38:BI75,42,0))</f>
        <v/>
      </c>
      <c r="AS36" s="32" t="str">
        <f>IF(A36="","",VLOOKUP(B36,'Datos Biyemas'!B38:BJ75,43,0))</f>
        <v/>
      </c>
      <c r="AT36" s="32" t="str">
        <f>IF(A36="","",VLOOKUP(B36,'Datos Biyemas'!B38:BK75,44,0))</f>
        <v/>
      </c>
      <c r="AU36" s="58" t="str">
        <f>IF(A36="","",VLOOKUP(C36,'Datos Biyemas'!C38:BL75,44,0))</f>
        <v/>
      </c>
      <c r="AV36" s="37" t="str">
        <f t="shared" si="29"/>
        <v/>
      </c>
      <c r="AW36" s="38" t="str">
        <f t="shared" si="19"/>
        <v/>
      </c>
      <c r="AY36" s="180" t="str">
        <f>IF(A36="","",+'Datos Biyemas'!AY38)</f>
        <v/>
      </c>
      <c r="AZ36" s="258" t="str">
        <f t="shared" si="20"/>
        <v/>
      </c>
      <c r="BA36" s="255" t="str">
        <f>IF(A36="","",VLOOKUP(B36,'Datos Biyemas'!B38:BF75,51,0))</f>
        <v/>
      </c>
      <c r="BB36" s="28" t="str">
        <f t="shared" si="21"/>
        <v/>
      </c>
      <c r="BC36" s="180" t="str">
        <f>IF(BP36=A36,'Datos Biyemas'!BL38,"")</f>
        <v/>
      </c>
      <c r="BD36" s="181" t="str">
        <f t="shared" si="32"/>
        <v/>
      </c>
      <c r="BE36" s="29" t="str">
        <f>IF(A36="","",VLOOKUP(B36,'Datos Biyemas'!B38:BF75,53,0))</f>
        <v/>
      </c>
      <c r="BF36" s="28" t="str">
        <f>IF(A36="","",VLOOKUP(B36,'Datos Biyemas'!B38:BF75,54,0))</f>
        <v/>
      </c>
      <c r="BG36" s="28" t="str">
        <f>IF(A36="","",VLOOKUP(B36,'Datos Biyemas'!B38:BF75,55,0))</f>
        <v/>
      </c>
      <c r="BH36" s="28" t="str">
        <f>IF(A36="","",VLOOKUP(B36,'Datos Biyemas'!B38:BF75,51,0))</f>
        <v/>
      </c>
      <c r="BI36" s="28" t="str">
        <f>IF(A36="","",VLOOKUP(B36,'Datos Biyemas'!B38:BF75,52,0))</f>
        <v/>
      </c>
      <c r="BJ36" s="211" t="str">
        <f>IF(A36="","",VLOOKUP(B36,'Datos Biyemas'!B38:BH75,58,0))</f>
        <v/>
      </c>
      <c r="BK36" s="27" t="str">
        <f>IF(A36="","",VLOOKUP(B36,'Datos Biyemas'!B38:BH75,59,0))</f>
        <v/>
      </c>
      <c r="BL36" s="29" t="str">
        <f>IF(A36="","",VLOOKUP(B36,'Datos Biyemas'!B38:BF75,55,0))</f>
        <v/>
      </c>
      <c r="BM36" s="28" t="str">
        <f>IF(A36="","",VLOOKUP(B36,'Datos Biyemas'!B38:BF75,56,0))</f>
        <v/>
      </c>
      <c r="BN36" s="181" t="str">
        <f>IF(A36="","",VLOOKUP(B36,'Datos Biyemas'!B38:BF75,57,0))</f>
        <v/>
      </c>
      <c r="BO36" s="59"/>
      <c r="BP36" s="190" t="s">
        <v>112</v>
      </c>
    </row>
    <row r="37" spans="1:76" ht="11.25" customHeight="1" x14ac:dyDescent="0.2">
      <c r="A37" s="188" t="str">
        <f>IF(BP37='Datos Biyemas'!A39,'Datos Biyemas'!A39,"")</f>
        <v/>
      </c>
      <c r="B37" s="185" t="str">
        <f>IF(BP37=A37,'Datos Biyemas'!B39,"")</f>
        <v/>
      </c>
      <c r="C37" s="186" t="str">
        <f>IF(BP37=A37,'Datos Biyemas'!C39,"")</f>
        <v/>
      </c>
      <c r="D37" s="37" t="str">
        <f>IF(BP37=A37,VLOOKUP(B37,'Datos Biyemas'!B39:BB76,3,0),"")</f>
        <v/>
      </c>
      <c r="E37" s="32" t="str">
        <f>IF(BP37=A37,VLOOKUP(B37,'Datos Biyemas'!B39:BB76,4,0),"")</f>
        <v/>
      </c>
      <c r="F37" s="32" t="str">
        <f>IF(BP37=A37,VLOOKUP(B37,'Datos Biyemas'!B39:BB76,5,0),"")</f>
        <v/>
      </c>
      <c r="G37" s="32" t="str">
        <f>IF(BP37=A37,VLOOKUP(B37,'Datos Biyemas'!B39:BB76,6,0),"")</f>
        <v/>
      </c>
      <c r="H37" s="33" t="str">
        <f>IF(BP37=A37,IF(E37&gt;0,+G37/E37,0),"")</f>
        <v/>
      </c>
      <c r="I37" s="33" t="str">
        <f t="shared" si="1"/>
        <v/>
      </c>
      <c r="J37" s="34" t="str">
        <f t="shared" si="2"/>
        <v/>
      </c>
      <c r="K37" s="31" t="str">
        <f t="shared" si="3"/>
        <v/>
      </c>
      <c r="L37" s="37" t="str">
        <f>IF(A37="","",VLOOKUP(B37,'Datos Biyemas'!B39:BB76,11,0))</f>
        <v/>
      </c>
      <c r="M37" s="32" t="str">
        <f>IF(A37="","",VLOOKUP(B37,'Datos Biyemas'!B39:BB76,12,0))</f>
        <v/>
      </c>
      <c r="N37" s="32" t="str">
        <f>IF(A37="","",VLOOKUP(B37,'Datos Biyemas'!B39:BB76,13,0))</f>
        <v/>
      </c>
      <c r="O37" s="32" t="str">
        <f>IF(A37="","",VLOOKUP(B37,'Datos Biyemas'!B39:BB76,14,0))</f>
        <v/>
      </c>
      <c r="P37" s="33" t="str">
        <f t="shared" si="6"/>
        <v/>
      </c>
      <c r="Q37" s="33" t="str">
        <f>IF(A37="","",IF(N37&gt;0,+O37/N37,0))</f>
        <v/>
      </c>
      <c r="R37" s="34" t="str">
        <f t="shared" si="4"/>
        <v/>
      </c>
      <c r="S37" s="31" t="str">
        <f t="shared" si="5"/>
        <v/>
      </c>
      <c r="T37" s="35" t="str">
        <f t="shared" si="8"/>
        <v/>
      </c>
      <c r="U37" s="35" t="str">
        <f t="shared" si="9"/>
        <v/>
      </c>
      <c r="V37" s="37" t="str">
        <f>IF(A37="","",VLOOKUP(B37,'Datos Biyemas'!B39:BB76,21,0))</f>
        <v/>
      </c>
      <c r="W37" s="32" t="str">
        <f>IF(A37="","",VLOOKUP(B37,'Datos Biyemas'!B39:BB76,22,0))</f>
        <v/>
      </c>
      <c r="X37" s="32" t="str">
        <f>IF(A37="","",VLOOKUP(B37,'Datos Biyemas'!B39:BB76,23,0))</f>
        <v/>
      </c>
      <c r="Y37" s="32" t="str">
        <f>IF(A37="","",VLOOKUP(B37,'Datos Biyemas'!B39:BB76,24,0))</f>
        <v/>
      </c>
      <c r="Z37" s="33" t="str">
        <f t="shared" si="23"/>
        <v/>
      </c>
      <c r="AA37" s="33" t="str">
        <f t="shared" si="24"/>
        <v/>
      </c>
      <c r="AB37" s="34" t="str">
        <f t="shared" si="25"/>
        <v/>
      </c>
      <c r="AC37" s="31" t="str">
        <f t="shared" si="26"/>
        <v/>
      </c>
      <c r="AD37" s="37" t="str">
        <f t="shared" si="14"/>
        <v/>
      </c>
      <c r="AE37" s="32" t="str">
        <f>IF(A37="","",VLOOKUP(B37,'Datos Biyemas'!B39:BB76,30,0))</f>
        <v/>
      </c>
      <c r="AF37" s="31" t="str">
        <f t="shared" si="15"/>
        <v/>
      </c>
      <c r="AG37" s="32" t="str">
        <f>IF(A37="","",VLOOKUP(B37,'Datos Biyemas'!B39:BB76,32,0))</f>
        <v/>
      </c>
      <c r="AH37" s="32" t="str">
        <f>IF(A37="","",VLOOKUP(B37,'Datos Biyemas'!B39:BB76,33,0))</f>
        <v/>
      </c>
      <c r="AI37" s="32" t="str">
        <f>IF(A37="","",VLOOKUP(B37,'Datos Biyemas'!B39:BB76,34,0))</f>
        <v/>
      </c>
      <c r="AJ37" s="34" t="str">
        <f t="shared" si="27"/>
        <v/>
      </c>
      <c r="AK37" s="35" t="str">
        <f t="shared" si="17"/>
        <v/>
      </c>
      <c r="AL37" s="37" t="str">
        <f>IF(A37="","",VLOOKUP(B37,'Datos Biyemas'!B39:BB76,37,0))</f>
        <v/>
      </c>
      <c r="AM37" s="58" t="str">
        <f t="shared" si="18"/>
        <v/>
      </c>
      <c r="AN37" s="262" t="str">
        <f>IF(BP37=A37,'Datos Biyemas'!BL39,"")</f>
        <v/>
      </c>
      <c r="AO37" s="32" t="str">
        <f>IF(A37="","",VLOOKUP(B37,'Datos Biyemas'!B39:BF76,39,0))</f>
        <v/>
      </c>
      <c r="AP37" s="36" t="str">
        <f t="shared" si="28"/>
        <v/>
      </c>
      <c r="AQ37" s="32" t="str">
        <f>IF(A37="","",VLOOKUP(B37,'Datos Biyemas'!B39:BH76,41,0))</f>
        <v/>
      </c>
      <c r="AR37" s="32" t="str">
        <f>IF(A37="","",VLOOKUP(B37,'Datos Biyemas'!B39:BI76,42,0))</f>
        <v/>
      </c>
      <c r="AS37" s="32" t="str">
        <f>IF(A37="","",VLOOKUP(B37,'Datos Biyemas'!B39:BJ76,43,0))</f>
        <v/>
      </c>
      <c r="AT37" s="32" t="str">
        <f>IF(A37="","",VLOOKUP(B37,'Datos Biyemas'!B39:BK76,44,0))</f>
        <v/>
      </c>
      <c r="AU37" s="58" t="str">
        <f>IF(A37="","",VLOOKUP(C37,'Datos Biyemas'!C39:BL76,44,0))</f>
        <v/>
      </c>
      <c r="AV37" s="37" t="str">
        <f t="shared" si="29"/>
        <v/>
      </c>
      <c r="AW37" s="38" t="str">
        <f t="shared" si="19"/>
        <v/>
      </c>
      <c r="AY37" s="180" t="str">
        <f>IF(A37="","",+'Datos Biyemas'!AY39)</f>
        <v/>
      </c>
      <c r="AZ37" s="258" t="str">
        <f t="shared" si="20"/>
        <v/>
      </c>
      <c r="BA37" s="255" t="str">
        <f>IF(A37="","",VLOOKUP(B37,'Datos Biyemas'!B39:BF76,51,0))</f>
        <v/>
      </c>
      <c r="BB37" s="28" t="str">
        <f t="shared" si="21"/>
        <v/>
      </c>
      <c r="BC37" s="180" t="str">
        <f>IF(BP37=A37,'Datos Biyemas'!BL39,"")</f>
        <v/>
      </c>
      <c r="BD37" s="181" t="str">
        <f t="shared" si="32"/>
        <v/>
      </c>
      <c r="BE37" s="29" t="str">
        <f>IF(A37="","",VLOOKUP(B37,'Datos Biyemas'!B39:BF76,53,0))</f>
        <v/>
      </c>
      <c r="BF37" s="28" t="str">
        <f>IF(A37="","",VLOOKUP(B37,'Datos Biyemas'!B39:BF76,54,0))</f>
        <v/>
      </c>
      <c r="BG37" s="28" t="str">
        <f>IF(A37="","",VLOOKUP(B37,'Datos Biyemas'!B39:BF76,55,0))</f>
        <v/>
      </c>
      <c r="BH37" s="28" t="str">
        <f>IF(A37="","",VLOOKUP(B37,'Datos Biyemas'!B39:BF76,51,0))</f>
        <v/>
      </c>
      <c r="BI37" s="28" t="str">
        <f>IF(A37="","",VLOOKUP(B37,'Datos Biyemas'!B39:BF76,52,0))</f>
        <v/>
      </c>
      <c r="BJ37" s="211" t="str">
        <f>IF(A37="","",VLOOKUP(B37,'Datos Biyemas'!B39:BH76,58,0))</f>
        <v/>
      </c>
      <c r="BK37" s="27" t="str">
        <f>IF(A37="","",VLOOKUP(B37,'Datos Biyemas'!B39:BH76,59,0))</f>
        <v/>
      </c>
      <c r="BL37" s="29" t="str">
        <f>IF(A37="","",VLOOKUP(B37,'Datos Biyemas'!B39:BF76,55,0))</f>
        <v/>
      </c>
      <c r="BM37" s="28" t="str">
        <f>IF(A37="","",VLOOKUP(B37,'Datos Biyemas'!B39:BF76,56,0))</f>
        <v/>
      </c>
      <c r="BN37" s="181" t="str">
        <f>IF(A37="","",VLOOKUP(B37,'Datos Biyemas'!B39:BF76,57,0))</f>
        <v/>
      </c>
      <c r="BO37" s="59"/>
      <c r="BP37" s="190" t="s">
        <v>101</v>
      </c>
    </row>
    <row r="38" spans="1:76" ht="12" customHeight="1" thickBot="1" x14ac:dyDescent="0.25">
      <c r="A38" s="204"/>
      <c r="B38" s="200"/>
      <c r="C38" s="31"/>
      <c r="D38" s="37"/>
      <c r="E38" s="32"/>
      <c r="F38" s="32"/>
      <c r="G38" s="32"/>
      <c r="H38" s="33"/>
      <c r="I38" s="33"/>
      <c r="J38" s="34"/>
      <c r="K38" s="31"/>
      <c r="L38" s="37"/>
      <c r="M38" s="32"/>
      <c r="N38" s="32"/>
      <c r="O38" s="32"/>
      <c r="P38" s="33"/>
      <c r="Q38" s="33"/>
      <c r="R38" s="34"/>
      <c r="S38" s="31"/>
      <c r="T38" s="207"/>
      <c r="U38" s="35"/>
      <c r="V38" s="37"/>
      <c r="W38" s="32"/>
      <c r="X38" s="32"/>
      <c r="Y38" s="32"/>
      <c r="Z38" s="32"/>
      <c r="AA38" s="32"/>
      <c r="AB38" s="32"/>
      <c r="AC38" s="31"/>
      <c r="AD38" s="37"/>
      <c r="AE38" s="32"/>
      <c r="AF38" s="31"/>
      <c r="AG38" s="32"/>
      <c r="AH38" s="32"/>
      <c r="AI38" s="32"/>
      <c r="AJ38" s="34"/>
      <c r="AK38" s="35"/>
      <c r="AL38" s="37"/>
      <c r="AM38" s="58"/>
      <c r="AN38" s="262" t="str">
        <f>IF(BP38=A38,'Datos Biyemas'!BL40,"")</f>
        <v/>
      </c>
      <c r="AO38" s="32"/>
      <c r="AP38" s="36"/>
      <c r="AQ38" s="32" t="str">
        <f>IF(A38="","",VLOOKUP(B38,'Datos Biyemas'!B40:BH77,41,0))</f>
        <v/>
      </c>
      <c r="AR38" s="32" t="str">
        <f>IF(A38="","",VLOOKUP(B38,'Datos Biyemas'!B40:BI77,42,0))</f>
        <v/>
      </c>
      <c r="AS38" s="32" t="str">
        <f>IF(A38="","",VLOOKUP(B38,'Datos Biyemas'!B40:BJ77,43,0))</f>
        <v/>
      </c>
      <c r="AT38" s="32" t="str">
        <f>IF(A38="","",VLOOKUP(B38,'Datos Biyemas'!B40:BK77,44,0))</f>
        <v/>
      </c>
      <c r="AU38" s="58"/>
      <c r="AV38" s="37"/>
      <c r="AW38" s="38"/>
      <c r="AY38" s="180" t="str">
        <f>IF(A38="","",+'Datos Biyemas'!AY40)</f>
        <v/>
      </c>
      <c r="AZ38" s="258" t="str">
        <f t="shared" si="20"/>
        <v/>
      </c>
      <c r="BA38" s="255" t="str">
        <f>IF(A38="","",VLOOKUP(B38,'Datos Biyemas'!B40:BF77,51,0))</f>
        <v/>
      </c>
      <c r="BB38" s="28" t="str">
        <f t="shared" si="21"/>
        <v/>
      </c>
      <c r="BC38" s="212" t="str">
        <f>IF(BP38=A38,'Datos Biyemas'!BL40,"")</f>
        <v/>
      </c>
      <c r="BD38" s="215"/>
      <c r="BE38" s="29" t="str">
        <f>IF(A38="","",VLOOKUP(B38,'Datos Biyemas'!B40:BF77,53,0))</f>
        <v/>
      </c>
      <c r="BF38" s="28" t="str">
        <f>IF(A38="","",VLOOKUP(B38,'Datos Biyemas'!B40:BF77,54,0))</f>
        <v/>
      </c>
      <c r="BG38" s="28" t="str">
        <f>IF(A38="","",VLOOKUP(B38,'Datos Biyemas'!B40:BF77,55,0))</f>
        <v/>
      </c>
      <c r="BH38" s="28"/>
      <c r="BI38" s="28" t="str">
        <f>IF(A38="","",VLOOKUP(B38,'Datos Biyemas'!B40:BF77,52,0))</f>
        <v/>
      </c>
      <c r="BJ38" s="212" t="str">
        <f>IF(A38="","",VLOOKUP(B38,'Datos Biyemas'!B40:BH77,58,0))</f>
        <v/>
      </c>
      <c r="BK38" s="213" t="str">
        <f>IF(A38="","",VLOOKUP(B38,'Datos Biyemas'!B40:BH77,59,0))</f>
        <v/>
      </c>
      <c r="BL38" s="214"/>
      <c r="BM38" s="225"/>
      <c r="BN38" s="181" t="str">
        <f>IF(A38="","",VLOOKUP(B38,'Datos Biyemas'!B40:BF77,57,0))</f>
        <v/>
      </c>
      <c r="BO38" s="198"/>
      <c r="BP38" s="190" t="s">
        <v>102</v>
      </c>
    </row>
    <row r="39" spans="1:76" s="2" customFormat="1" ht="12.75" customHeight="1" thickBot="1" x14ac:dyDescent="0.25">
      <c r="A39" s="205" t="s">
        <v>15</v>
      </c>
      <c r="B39" s="129" t="s">
        <v>4</v>
      </c>
      <c r="C39" s="130">
        <f>SUM(C7:C38)</f>
        <v>0</v>
      </c>
      <c r="D39" s="132"/>
      <c r="E39" s="133">
        <f>SUM(E7:E38)</f>
        <v>0</v>
      </c>
      <c r="F39" s="133">
        <f>SUM(F7:F38)</f>
        <v>0</v>
      </c>
      <c r="G39" s="133">
        <f>SUM(G7:G38)</f>
        <v>0</v>
      </c>
      <c r="H39" s="134"/>
      <c r="I39" s="47"/>
      <c r="J39" s="135"/>
      <c r="K39" s="130" t="s">
        <v>1</v>
      </c>
      <c r="L39" s="132"/>
      <c r="M39" s="133">
        <f>SUM(M7:M38)</f>
        <v>0</v>
      </c>
      <c r="N39" s="133">
        <f>SUM(N7:N38)</f>
        <v>0</v>
      </c>
      <c r="O39" s="133">
        <f>SUM(O7:O38)</f>
        <v>0</v>
      </c>
      <c r="P39" s="134"/>
      <c r="Q39" s="134"/>
      <c r="R39" s="136"/>
      <c r="S39" s="50"/>
      <c r="T39" s="208"/>
      <c r="U39" s="208"/>
      <c r="V39" s="132"/>
      <c r="W39" s="133">
        <f>SUM(W7:W38)</f>
        <v>0</v>
      </c>
      <c r="X39" s="133">
        <f>SUM(X7:X38)</f>
        <v>0</v>
      </c>
      <c r="Y39" s="133">
        <f>SUM(Y7:Y38)</f>
        <v>0</v>
      </c>
      <c r="Z39" s="134"/>
      <c r="AA39" s="47"/>
      <c r="AB39" s="135"/>
      <c r="AC39" s="130" t="s">
        <v>1</v>
      </c>
      <c r="AD39" s="132">
        <f t="shared" ref="AD39:AI39" si="33">SUM(AD7:AD38)</f>
        <v>0</v>
      </c>
      <c r="AE39" s="133">
        <f>SUM(AE7:AE38)</f>
        <v>0</v>
      </c>
      <c r="AF39" s="130">
        <f t="shared" si="33"/>
        <v>0</v>
      </c>
      <c r="AG39" s="48">
        <f t="shared" si="33"/>
        <v>0</v>
      </c>
      <c r="AH39" s="48">
        <f t="shared" si="33"/>
        <v>0</v>
      </c>
      <c r="AI39" s="48">
        <f t="shared" si="33"/>
        <v>0</v>
      </c>
      <c r="AJ39" s="136"/>
      <c r="AK39" s="208">
        <f>SUM(AK7:AK38)</f>
        <v>0</v>
      </c>
      <c r="AL39" s="51">
        <f>SUM(AL7:AL38)</f>
        <v>0</v>
      </c>
      <c r="AM39" s="52"/>
      <c r="AN39" s="51">
        <f>SUM(AN7:AN38)</f>
        <v>0</v>
      </c>
      <c r="AO39" s="48">
        <f>SUM(AO7:AO38)</f>
        <v>0</v>
      </c>
      <c r="AP39" s="48">
        <f>SUM(AP7:AP38)</f>
        <v>0</v>
      </c>
      <c r="AQ39" s="51">
        <f>SUM(AQ7:AQ38)</f>
        <v>0</v>
      </c>
      <c r="AR39" s="48">
        <f t="shared" ref="AR39:AU39" si="34">SUM(AR7:AR38)</f>
        <v>0</v>
      </c>
      <c r="AS39" s="48">
        <f t="shared" si="34"/>
        <v>0</v>
      </c>
      <c r="AT39" s="48">
        <f t="shared" si="34"/>
        <v>0</v>
      </c>
      <c r="AU39" s="50">
        <f t="shared" si="34"/>
        <v>0</v>
      </c>
      <c r="AV39" s="51">
        <f>SUM(AV7:AV38)</f>
        <v>0</v>
      </c>
      <c r="AW39" s="49"/>
      <c r="AY39" s="175" t="e">
        <f>SUM(AY7:AY38)/COUNT(AY7:AY38)</f>
        <v>#DIV/0!</v>
      </c>
      <c r="AZ39" s="259" t="e">
        <f>AY39-AZ6</f>
        <v>#DIV/0!</v>
      </c>
      <c r="BA39" s="175">
        <f>SUM(BA7:BA38)</f>
        <v>0</v>
      </c>
      <c r="BB39" s="197">
        <f>IF($AK39&gt;0,(C39-($BA39))/($BA$39),)</f>
        <v>0</v>
      </c>
      <c r="BC39" s="175">
        <f>SUM(BC7:BC38)</f>
        <v>0</v>
      </c>
      <c r="BD39" s="171" t="b">
        <f>IF($BC39&gt;0,(AN39-($BC39))/($BC$39),IF(AN39&gt;0,1))</f>
        <v>0</v>
      </c>
      <c r="BE39" s="222" t="e">
        <f>VLOOKUP("Total final",'Datos Biyemas'!A9:BF142,54,0)</f>
        <v>#N/A</v>
      </c>
      <c r="BF39" s="173" t="e">
        <f>VLOOKUP("Total final",'Datos Biyemas'!A9:BF142,55,0)</f>
        <v>#N/A</v>
      </c>
      <c r="BG39" s="173" t="e">
        <f>VLOOKUP("Total final",'Datos Biyemas'!A9:BF142,56,0)</f>
        <v>#N/A</v>
      </c>
      <c r="BH39" s="174" t="e">
        <f>VLOOKUP("Total final",'Datos Biyemas'!A9:BF142,52,0)</f>
        <v>#N/A</v>
      </c>
      <c r="BI39" s="174" t="e">
        <f>VLOOKUP("Total final",'Datos Biyemas'!A9:BF142,53,0)</f>
        <v>#N/A</v>
      </c>
      <c r="BJ39" s="169" t="e">
        <f>VLOOKUP("Total final",'Datos Biyemas'!A9:BH142,59,0)</f>
        <v>#N/A</v>
      </c>
      <c r="BK39" s="170" t="e">
        <f>VLOOKUP("Total final",'Datos Biyemas'!A9:BH142,60,0)</f>
        <v>#N/A</v>
      </c>
      <c r="BL39" s="170" t="e">
        <f>VLOOKUP("Total final",'Datos Biyemas'!A9:BF142,56,0)</f>
        <v>#N/A</v>
      </c>
      <c r="BM39" s="170" t="e">
        <f>VLOOKUP("Total final",'Datos Biyemas'!A9:BF142,57,0)</f>
        <v>#N/A</v>
      </c>
      <c r="BN39" s="171" t="e">
        <f>VLOOKUP("Total final",'Datos Biyemas'!A9:BF142,58,0)</f>
        <v>#N/A</v>
      </c>
      <c r="BO39" s="199"/>
    </row>
    <row r="40" spans="1:76" ht="12" thickBot="1" x14ac:dyDescent="0.25">
      <c r="A40" s="131" t="s">
        <v>26</v>
      </c>
      <c r="B40" s="129"/>
      <c r="C40" s="130" t="e">
        <f>VLOOKUP("MTD Average",'Datos Biyemas'!A9:BB142,3,0)</f>
        <v>#N/A</v>
      </c>
      <c r="D40" s="132" t="e">
        <f>VLOOKUP("MTD Average",'Datos Biyemas'!A9:BB142,4,0)</f>
        <v>#N/A</v>
      </c>
      <c r="E40" s="133" t="e">
        <f>VLOOKUP("MTD Average",'Datos Biyemas'!A9:BB142,5,0)</f>
        <v>#N/A</v>
      </c>
      <c r="F40" s="133" t="e">
        <f>VLOOKUP("MTD Average",'Datos Biyemas'!A9:BB142,6,0)</f>
        <v>#N/A</v>
      </c>
      <c r="G40" s="133" t="e">
        <f>VLOOKUP("MTD Average",'Datos Biyemas'!A9:BB142,7,0)</f>
        <v>#N/A</v>
      </c>
      <c r="H40" s="134" t="e">
        <f>+G40/E40</f>
        <v>#N/A</v>
      </c>
      <c r="I40" s="47" t="e">
        <f>+G40/F40</f>
        <v>#N/A</v>
      </c>
      <c r="J40" s="135" t="e">
        <f>+G40/C40</f>
        <v>#N/A</v>
      </c>
      <c r="K40" s="130" t="e">
        <f>+G40/D40</f>
        <v>#N/A</v>
      </c>
      <c r="L40" s="132" t="e">
        <f>VLOOKUP("MTD Average",'Datos Biyemas'!A9:BB142,12,0)</f>
        <v>#N/A</v>
      </c>
      <c r="M40" s="133" t="e">
        <f>VLOOKUP("MTD Average",'Datos Biyemas'!A9:BB142,13,0)</f>
        <v>#N/A</v>
      </c>
      <c r="N40" s="133" t="e">
        <f>VLOOKUP("MTD Average",'Datos Biyemas'!A9:BB142,14,0)</f>
        <v>#N/A</v>
      </c>
      <c r="O40" s="133" t="e">
        <f>VLOOKUP("MTD Average",'Datos Biyemas'!A9:BB142,15,0)</f>
        <v>#N/A</v>
      </c>
      <c r="P40" s="134" t="e">
        <f>+O40/M40</f>
        <v>#N/A</v>
      </c>
      <c r="Q40" s="134" t="e">
        <f>+O40/N40</f>
        <v>#N/A</v>
      </c>
      <c r="R40" s="136" t="e">
        <f>+O40/C40</f>
        <v>#N/A</v>
      </c>
      <c r="S40" s="50" t="e">
        <f>+O40/L40</f>
        <v>#N/A</v>
      </c>
      <c r="T40" s="208" t="e">
        <f>SUM(T7:T37)/$D$1</f>
        <v>#DIV/0!</v>
      </c>
      <c r="U40" s="208" t="e">
        <f>SUM(U7:U37)/$D$1</f>
        <v>#DIV/0!</v>
      </c>
      <c r="V40" s="132" t="e">
        <f>VLOOKUP("MTD Average",'Datos Biyemas'!A9:BB142,22,0)</f>
        <v>#N/A</v>
      </c>
      <c r="W40" s="133" t="e">
        <f>VLOOKUP("MTD Average",'Datos Biyemas'!A9:BB142,23,0)</f>
        <v>#N/A</v>
      </c>
      <c r="X40" s="133" t="e">
        <f>VLOOKUP("MTD Average",'Datos Biyemas'!A9:BB142,24,0)</f>
        <v>#N/A</v>
      </c>
      <c r="Y40" s="133" t="e">
        <f>VLOOKUP("MTD Average",'Datos Biyemas'!A9:BB142,25,0)</f>
        <v>#N/A</v>
      </c>
      <c r="Z40" s="134" t="e">
        <f>+Y40/W40</f>
        <v>#N/A</v>
      </c>
      <c r="AA40" s="47" t="e">
        <f>+Y40/X40</f>
        <v>#N/A</v>
      </c>
      <c r="AB40" s="135" t="e">
        <f>+Y40/K40</f>
        <v>#N/A</v>
      </c>
      <c r="AC40" s="130" t="e">
        <f>+Y40/V40</f>
        <v>#N/A</v>
      </c>
      <c r="AD40" s="132" t="e">
        <f>VLOOKUP("MTD Average",'Datos Biyemas'!A9:BB142,30,0)</f>
        <v>#N/A</v>
      </c>
      <c r="AE40" s="133" t="e">
        <f>VLOOKUP("MTD Average",'Datos Biyemas'!A9:BB142,31,0)</f>
        <v>#N/A</v>
      </c>
      <c r="AF40" s="130" t="e">
        <f>VLOOKUP("MTD Average",'Datos Biyemas'!A9:BB142,32,0)</f>
        <v>#N/A</v>
      </c>
      <c r="AG40" s="48" t="e">
        <f>VLOOKUP("MTD Average",'Datos Biyemas'!A9:BB142,33,0)</f>
        <v>#N/A</v>
      </c>
      <c r="AH40" s="48" t="e">
        <f>VLOOKUP("MTD Average",'Datos Biyemas'!A9:BB142,34,0)</f>
        <v>#N/A</v>
      </c>
      <c r="AI40" s="133" t="e">
        <f>VLOOKUP("MTD Average",'Datos Biyemas'!A9:BB142,35,0)</f>
        <v>#N/A</v>
      </c>
      <c r="AJ40" s="136" t="e">
        <f>+AI40/C40</f>
        <v>#N/A</v>
      </c>
      <c r="AK40" s="208" t="e">
        <f>VLOOKUP("MTD Average",'Datos Biyemas'!A9:BB142,37,0)</f>
        <v>#N/A</v>
      </c>
      <c r="AL40" s="51" t="e">
        <f>VLOOKUP("MTD Average",'Datos Biyemas'!A9:BB142,38,0)</f>
        <v>#N/A</v>
      </c>
      <c r="AM40" s="52" t="e">
        <f>+AL40/C40</f>
        <v>#N/A</v>
      </c>
      <c r="AN40" s="132" t="e">
        <f>+AN39/Resumen!D1</f>
        <v>#DIV/0!</v>
      </c>
      <c r="AO40" s="133" t="e">
        <f>VLOOKUP("MTD Average",'Datos Biyemas'!A9:BF142,40,0)</f>
        <v>#N/A</v>
      </c>
      <c r="AP40" s="52" t="e">
        <f>+AO40/AN40</f>
        <v>#N/A</v>
      </c>
      <c r="AQ40" s="206" t="e">
        <f>VLOOKUP("MTD Average",'Datos Biyemas'!A9:BH142,42,0)</f>
        <v>#N/A</v>
      </c>
      <c r="AR40" s="206" t="e">
        <f>VLOOKUP("MTD Average",'Datos Biyemas'!A9:BI142,43,0)</f>
        <v>#N/A</v>
      </c>
      <c r="AS40" s="206" t="e">
        <f>VLOOKUP("MTD Average",'Datos Biyemas'!A9:BJ142,44,0)</f>
        <v>#N/A</v>
      </c>
      <c r="AT40" s="206" t="e">
        <f>VLOOKUP("MTD Average",'Datos Biyemas'!A9:BK142,45,0)</f>
        <v>#N/A</v>
      </c>
      <c r="AU40" s="206" t="e">
        <f>VLOOKUP("MTD Average",'Datos Biyemas'!A9:BK142,46,0)</f>
        <v>#N/A</v>
      </c>
      <c r="AV40" s="51" t="e">
        <f>VLOOKUP("MTD Average",'Datos Biyemas'!A9:BB142,47,0)</f>
        <v>#N/A</v>
      </c>
      <c r="AW40" s="49" t="e">
        <f>+AV40/C40</f>
        <v>#N/A</v>
      </c>
      <c r="AY40" s="32"/>
      <c r="BB40" s="61" t="s">
        <v>48</v>
      </c>
      <c r="BC40" s="61"/>
      <c r="BD40" s="61"/>
      <c r="BE40" s="62" t="e">
        <f>+AV40</f>
        <v>#N/A</v>
      </c>
      <c r="BF40" s="62" t="e">
        <f>+AD40</f>
        <v>#N/A</v>
      </c>
      <c r="BG40" s="62" t="e">
        <f>+AI40</f>
        <v>#N/A</v>
      </c>
      <c r="BH40" s="62" t="e">
        <f>+AL40</f>
        <v>#N/A</v>
      </c>
      <c r="BI40" s="62" t="e">
        <f>+AO40</f>
        <v>#N/A</v>
      </c>
      <c r="BJ40" s="280" t="e">
        <f>(1+BJ39)*BJ6</f>
        <v>#N/A</v>
      </c>
      <c r="BK40" s="63" t="e">
        <f>(1+BK39)*BK6</f>
        <v>#N/A</v>
      </c>
      <c r="BL40" s="63" t="e">
        <f>(1+BL39)*BL6</f>
        <v>#N/A</v>
      </c>
      <c r="BM40" s="63" t="e">
        <f>(1+BM39)*BM6</f>
        <v>#N/A</v>
      </c>
      <c r="BN40" s="63" t="e">
        <f>IF(((1+BN39)*BN6)=0,+BI40,(1+BN39)*BN6)</f>
        <v>#N/A</v>
      </c>
    </row>
    <row r="41" spans="1:76" ht="13.5" thickBot="1" x14ac:dyDescent="0.25">
      <c r="B41" s="55"/>
      <c r="C41" s="32"/>
      <c r="D41" s="32"/>
      <c r="E41" s="32"/>
      <c r="F41" s="32"/>
      <c r="G41" s="32"/>
      <c r="H41" s="33"/>
      <c r="I41" s="33"/>
      <c r="J41" s="34"/>
      <c r="K41" s="32"/>
      <c r="L41" s="32"/>
      <c r="M41" s="32"/>
      <c r="N41" s="32"/>
      <c r="O41" s="32"/>
      <c r="P41" s="33"/>
      <c r="Q41" s="33"/>
      <c r="R41" s="34" t="s">
        <v>4</v>
      </c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/>
      <c r="AK41" s="32"/>
      <c r="AL41" s="32"/>
      <c r="AM41" s="58"/>
      <c r="AN41" s="58"/>
      <c r="AO41" s="32"/>
      <c r="AP41" s="58"/>
      <c r="AQ41" s="58"/>
      <c r="AR41" s="58"/>
      <c r="AS41" s="58"/>
      <c r="AT41" s="58"/>
      <c r="AU41" s="58"/>
      <c r="AV41" s="32"/>
      <c r="AW41" s="34"/>
      <c r="BB41" s="60" t="s">
        <v>49</v>
      </c>
      <c r="BC41" s="60"/>
      <c r="BD41" s="60"/>
      <c r="BE41" s="64" t="e">
        <f>HLOOKUP(BP41,'Datos Biyemas'!AX7:BB110,COUNT(BF7:BF38)+5,0)</f>
        <v>#N/A</v>
      </c>
      <c r="BF41" s="64" t="e">
        <f>HLOOKUP(BQ41,'Datos Biyemas'!AY7:BC110,COUNT(BG7:BG38)+5,0)</f>
        <v>#N/A</v>
      </c>
      <c r="BG41" s="64" t="e">
        <f>HLOOKUP(BR41,'Datos Biyemas'!AZ7:BD110,COUNT(BH7:BH38)+5,0)</f>
        <v>#N/A</v>
      </c>
      <c r="BH41" s="64" t="e">
        <f>HLOOKUP(BS41,'Datos Biyemas'!BA7:BE110,COUNT(BI7:BI38)+5,0)</f>
        <v>#N/A</v>
      </c>
      <c r="BI41" s="64" t="e">
        <f>HLOOKUP(BT41,'Datos Biyemas'!BB7:BF110,COUNT(BJ7:BJ38)+5,0)</f>
        <v>#N/A</v>
      </c>
      <c r="BJ41" s="65" t="e">
        <f>HLOOKUP(BU41,'Datos Biyemas'!BC7:BG110,COUNT(BK7:BK38)+5,0)</f>
        <v>#N/A</v>
      </c>
      <c r="BK41" s="65" t="e">
        <f>HLOOKUP(BV41,'Datos Biyemas'!BD7:BH110,COUNT(BL7:BL38)+5,0)</f>
        <v>#N/A</v>
      </c>
      <c r="BL41" s="65" t="e">
        <f>HLOOKUP(BW41,'Datos Biyemas'!BE7:BI110,COUNT(BM7:BM38)+5,0)</f>
        <v>#N/A</v>
      </c>
      <c r="BM41" s="65" t="e">
        <f>HLOOKUP(BX41,'Datos Biyemas'!BF7:BJ110,COUNT(BN7:BN38)+5,0)</f>
        <v>#N/A</v>
      </c>
      <c r="BN41" s="65" t="e">
        <f>HLOOKUP(BY41,'Datos Biyemas'!BG7:BK110,COUNT(BO7:BO38)+5,0)</f>
        <v>#N/A</v>
      </c>
      <c r="BP41" t="s">
        <v>97</v>
      </c>
      <c r="BQ41" s="39" t="s">
        <v>42</v>
      </c>
      <c r="BR41" s="39" t="s">
        <v>98</v>
      </c>
      <c r="BS41" s="39" t="s">
        <v>99</v>
      </c>
      <c r="BT41" s="39" t="s">
        <v>97</v>
      </c>
      <c r="BU41" s="39" t="s">
        <v>42</v>
      </c>
      <c r="BV41" s="39" t="s">
        <v>98</v>
      </c>
      <c r="BW41" s="39" t="s">
        <v>100</v>
      </c>
      <c r="BX41" s="39" t="s">
        <v>120</v>
      </c>
    </row>
    <row r="42" spans="1:76" ht="13.5" thickTop="1" x14ac:dyDescent="0.2">
      <c r="B42" s="55"/>
      <c r="C42" s="32"/>
      <c r="D42" s="32"/>
      <c r="E42" s="32"/>
      <c r="F42" s="32"/>
      <c r="G42" s="166"/>
      <c r="H42" s="56"/>
      <c r="I42" s="33"/>
      <c r="J42" s="34"/>
      <c r="K42" s="32"/>
      <c r="L42" s="32"/>
      <c r="M42" s="32"/>
      <c r="N42" s="32"/>
      <c r="O42" s="32"/>
      <c r="P42" s="56"/>
      <c r="Q42" s="56"/>
      <c r="R42" s="34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/>
      <c r="AK42" s="32"/>
      <c r="AL42" s="32"/>
      <c r="AM42" s="58"/>
      <c r="AN42" s="58"/>
      <c r="AO42" s="32"/>
      <c r="AP42" s="58"/>
      <c r="AQ42" s="58"/>
      <c r="AR42" s="58"/>
      <c r="AS42" s="58"/>
      <c r="AT42" s="58"/>
      <c r="AU42" s="58"/>
      <c r="AV42" s="32"/>
      <c r="AW42" s="34"/>
      <c r="BB42" s="60"/>
      <c r="BC42" s="60"/>
      <c r="BD42" s="60"/>
      <c r="BE42" s="113"/>
      <c r="BF42" s="113"/>
      <c r="BG42" s="113"/>
      <c r="BH42" s="113"/>
      <c r="BI42" s="113"/>
      <c r="BJ42" s="119"/>
      <c r="BK42" s="119"/>
      <c r="BL42" s="119"/>
      <c r="BM42" s="119"/>
      <c r="BN42" s="29"/>
    </row>
    <row r="43" spans="1:76" x14ac:dyDescent="0.2">
      <c r="B43" s="55"/>
      <c r="C43" s="32"/>
      <c r="D43" s="32"/>
      <c r="E43" s="32"/>
      <c r="F43" s="32"/>
      <c r="G43" s="32"/>
      <c r="H43" s="56"/>
      <c r="I43" s="33"/>
      <c r="J43" s="34"/>
      <c r="K43" s="32"/>
      <c r="L43" s="32"/>
      <c r="M43" s="32"/>
      <c r="N43" s="32"/>
      <c r="O43" s="32"/>
      <c r="P43" s="56"/>
      <c r="Q43" s="56"/>
      <c r="R43" s="34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/>
      <c r="AK43" s="32"/>
      <c r="AL43" s="32"/>
      <c r="AM43" s="58"/>
      <c r="AN43" s="58"/>
      <c r="AO43" s="32"/>
      <c r="AP43" s="58"/>
      <c r="AQ43" s="58"/>
      <c r="AR43" s="58"/>
      <c r="AS43" s="58"/>
      <c r="AT43" s="58"/>
      <c r="AU43" s="58"/>
      <c r="AV43" s="32"/>
      <c r="AW43" s="34"/>
      <c r="BB43" s="60"/>
      <c r="BC43" s="60"/>
      <c r="BD43" s="60"/>
      <c r="BE43" s="113"/>
      <c r="BF43" s="113"/>
      <c r="BG43" s="113"/>
      <c r="BH43" s="113"/>
      <c r="BI43" s="113"/>
      <c r="BJ43" s="119"/>
      <c r="BK43" s="119"/>
      <c r="BL43" s="119"/>
      <c r="BM43" s="119"/>
      <c r="BN43" s="29"/>
    </row>
    <row r="44" spans="1:76" ht="12" thickBot="1" x14ac:dyDescent="0.25">
      <c r="A44" s="234" t="s">
        <v>133</v>
      </c>
      <c r="B44" s="235"/>
      <c r="C44" s="235"/>
      <c r="D44" s="32"/>
      <c r="E44" s="32"/>
      <c r="F44" s="32"/>
      <c r="G44" s="32"/>
      <c r="H44" s="56"/>
      <c r="I44" s="33"/>
      <c r="J44" s="34"/>
      <c r="K44" s="57"/>
      <c r="L44" s="32"/>
      <c r="M44" s="32"/>
      <c r="N44" s="32"/>
      <c r="O44" s="32"/>
      <c r="P44" s="56"/>
      <c r="Q44" s="56"/>
      <c r="R44" s="34"/>
      <c r="S44" s="32"/>
      <c r="T44" s="32"/>
      <c r="U44" s="32"/>
      <c r="V44" s="32"/>
      <c r="W44" s="32"/>
      <c r="X44" s="32"/>
      <c r="Y44" s="32"/>
      <c r="Z44" s="57"/>
      <c r="AA44" s="57"/>
      <c r="AB44" s="57"/>
      <c r="AC44" s="57"/>
      <c r="AD44" s="57"/>
      <c r="AE44" s="57"/>
      <c r="AF44" s="57"/>
      <c r="AG44" s="32"/>
      <c r="AH44" s="32"/>
      <c r="AI44" s="32"/>
      <c r="AJ44" s="34"/>
      <c r="AK44" s="32"/>
      <c r="AL44" s="32"/>
      <c r="AM44" s="58"/>
      <c r="AN44" s="58"/>
      <c r="AO44" s="32"/>
      <c r="AP44" s="58"/>
      <c r="AQ44" s="58"/>
      <c r="AR44" s="58"/>
      <c r="AS44" s="58"/>
      <c r="AT44" s="58"/>
      <c r="AU44" s="58"/>
      <c r="AV44" s="59"/>
      <c r="AW44" s="34"/>
      <c r="AX44" s="34"/>
      <c r="AY44" s="34"/>
      <c r="BB44" s="60"/>
      <c r="BC44" s="60"/>
      <c r="BD44" s="60"/>
      <c r="BE44" s="60"/>
      <c r="BF44" s="60"/>
      <c r="BG44" s="60"/>
      <c r="BH44" s="60"/>
      <c r="BI44" s="60"/>
      <c r="BJ44" s="114"/>
      <c r="BK44" s="114"/>
      <c r="BL44" s="114"/>
      <c r="BM44" s="114"/>
      <c r="BN44" s="214"/>
    </row>
    <row r="45" spans="1:76" ht="13.5" customHeight="1" thickBot="1" x14ac:dyDescent="0.25">
      <c r="A45" s="92" t="s">
        <v>15</v>
      </c>
      <c r="B45" s="93" t="s">
        <v>4</v>
      </c>
      <c r="C45" s="94" t="e">
        <f>VLOOKUP(+BP45,'Datos Biyemas'!A9:BB145,3,0)</f>
        <v>#N/A</v>
      </c>
      <c r="D45" s="94"/>
      <c r="E45" s="94" t="e">
        <f>VLOOKUP(+BP45,'Datos Biyemas'!A9:BB145,5,0)</f>
        <v>#N/A</v>
      </c>
      <c r="F45" s="94" t="e">
        <f>VLOOKUP(+BP45,'Datos Biyemas'!A9:BB145,6,0)</f>
        <v>#N/A</v>
      </c>
      <c r="G45" s="94" t="e">
        <f>VLOOKUP(+BP45,'Datos Biyemas'!A9:BB145,7,0)</f>
        <v>#N/A</v>
      </c>
      <c r="H45" s="95"/>
      <c r="I45" s="96"/>
      <c r="J45" s="97"/>
      <c r="K45" s="94" t="s">
        <v>1</v>
      </c>
      <c r="L45" s="98"/>
      <c r="M45" s="94" t="e">
        <f>VLOOKUP(+BP45,'Datos Biyemas'!A9:BB145,13,0)</f>
        <v>#N/A</v>
      </c>
      <c r="N45" s="94" t="e">
        <f>VLOOKUP(+BP45,'Datos Biyemas'!A9:BB145,14,0)</f>
        <v>#N/A</v>
      </c>
      <c r="O45" s="94" t="e">
        <f>VLOOKUP(+BP45,'Datos Biyemas'!A9:BB145,15,0)</f>
        <v>#N/A</v>
      </c>
      <c r="P45" s="95"/>
      <c r="Q45" s="95"/>
      <c r="R45" s="99"/>
      <c r="S45" s="100"/>
      <c r="T45" s="101"/>
      <c r="U45" s="102"/>
      <c r="V45" s="94"/>
      <c r="W45" s="94" t="e">
        <f>VLOOKUP(+BP45,'Datos Biyemas'!A9:BB145,23,0)</f>
        <v>#N/A</v>
      </c>
      <c r="X45" s="94" t="e">
        <f>VLOOKUP(+BP45,'Datos Biyemas'!A9:BB145,24,0)</f>
        <v>#N/A</v>
      </c>
      <c r="Y45" s="94" t="e">
        <f>VLOOKUP(+BP45,'Datos Biyemas'!A9:BB145,25,0)</f>
        <v>#N/A</v>
      </c>
      <c r="Z45" s="94"/>
      <c r="AA45" s="94"/>
      <c r="AB45" s="94"/>
      <c r="AC45" s="94"/>
      <c r="AD45" s="98" t="e">
        <f>VLOOKUP(+BP45,'Datos Biyemas'!A9:BB145,30,0)</f>
        <v>#N/A</v>
      </c>
      <c r="AE45" s="94" t="e">
        <f>VLOOKUP(+BP45,'Datos Biyemas'!A9:BB145,31,0)</f>
        <v>#N/A</v>
      </c>
      <c r="AF45" s="141" t="e">
        <f>VLOOKUP(+BP45,'Datos Biyemas'!A9:BB145,32,0)</f>
        <v>#N/A</v>
      </c>
      <c r="AG45" s="98" t="e">
        <f>VLOOKUP(+BP45,'Datos Biyemas'!A9:BB145,33,0)</f>
        <v>#N/A</v>
      </c>
      <c r="AH45" s="94" t="e">
        <f>VLOOKUP(+BP45,'Datos Biyemas'!A9:BB145,34,0)</f>
        <v>#N/A</v>
      </c>
      <c r="AI45" s="94" t="e">
        <f>VLOOKUP(+BP45,'Datos Biyemas'!A9:BB145,35,0)</f>
        <v>#N/A</v>
      </c>
      <c r="AJ45" s="103"/>
      <c r="AK45" s="138" t="e">
        <f>VLOOKUP(+BP45,'Datos Biyemas'!A9:BB145,37,0)</f>
        <v>#N/A</v>
      </c>
      <c r="AL45" s="98" t="e">
        <f>VLOOKUP(+BP45,'Datos Biyemas'!A9:BB145,38,0)</f>
        <v>#N/A</v>
      </c>
      <c r="AM45" s="142"/>
      <c r="AN45" s="51" t="e">
        <f>VLOOKUP(+BP45,'Datos Biyemas'!A9:BL145,64,0)</f>
        <v>#N/A</v>
      </c>
      <c r="AO45" s="133" t="e">
        <f>VLOOKUP(+BP45,'Datos Biyemas'!A9:BF145,40,0)</f>
        <v>#N/A</v>
      </c>
      <c r="AP45" s="133"/>
      <c r="AQ45" s="133" t="e">
        <f>VLOOKUP(+BP45,'Datos Biyemas'!A9:AU100,42,FALSE)</f>
        <v>#N/A</v>
      </c>
      <c r="AR45" s="133" t="e">
        <f>VLOOKUP(+BP45,'Datos Biyemas'!A9:AV100,43,FALSE)</f>
        <v>#N/A</v>
      </c>
      <c r="AS45" s="133" t="e">
        <f>VLOOKUP(+BP45,'Datos Biyemas'!A9:AW100,44,FALSE)</f>
        <v>#N/A</v>
      </c>
      <c r="AT45" s="133" t="e">
        <f>VLOOKUP(+BP45,'Datos Biyemas'!A9:AX100,45,FALSE)</f>
        <v>#N/A</v>
      </c>
      <c r="AU45" s="133" t="e">
        <f>VLOOKUP(+BP45,'Datos Biyemas'!A9:AY100,46,FALSE)</f>
        <v>#N/A</v>
      </c>
      <c r="AV45" s="94" t="e">
        <f>VLOOKUP(+BP45,'Datos Biyemas'!A9:BF145,47,0)</f>
        <v>#N/A</v>
      </c>
      <c r="AW45" s="103"/>
      <c r="BA45" s="175" t="e">
        <f>VLOOKUP(+BP45,'Datos Biyemas'!A9:BF145,47,0)</f>
        <v>#N/A</v>
      </c>
      <c r="BB45" s="171" t="e">
        <f>IF($AK45&gt;0,(C45-($BA45))/($BA$45),)</f>
        <v>#N/A</v>
      </c>
      <c r="BC45" s="175" t="e">
        <f>VLOOKUP(+BP45,'Datos Biyemas'!A9:BH145,60,0)</f>
        <v>#N/A</v>
      </c>
      <c r="BD45" s="171" t="e">
        <f>IF($BC45&gt;0,(AN45-($BC45))/($BC$45),IF(AN45&gt;0,1))</f>
        <v>#N/A</v>
      </c>
      <c r="BE45" s="222" t="e">
        <f>VLOOKUP(+BP45,'Datos Biyemas'!A9:BF145,54,0)</f>
        <v>#N/A</v>
      </c>
      <c r="BF45" s="173" t="e">
        <f>VLOOKUP(+BP45,'Datos Biyemas'!A9:BF145,55,0)</f>
        <v>#N/A</v>
      </c>
      <c r="BG45" s="173" t="e">
        <f>VLOOKUP(+BP45,'Datos Biyemas'!A9:BB145,51,0)</f>
        <v>#N/A</v>
      </c>
      <c r="BH45" s="223" t="e">
        <f>VLOOKUP(+BP45,'Datos Biyemas'!A9:BB145,52,0)</f>
        <v>#N/A</v>
      </c>
      <c r="BI45" s="173" t="e">
        <f>VLOOKUP(+BP45,'Datos Biyemas'!A9:BB145,53,0)</f>
        <v>#N/A</v>
      </c>
      <c r="BJ45" s="169" t="e">
        <f>VLOOKUP(+BP45,'Datos Biyemas'!A9:BH145,59,0)</f>
        <v>#N/A</v>
      </c>
      <c r="BK45" s="170" t="e">
        <f>VLOOKUP(+BP45,'Datos Biyemas'!A9:BH145,60,0)</f>
        <v>#N/A</v>
      </c>
      <c r="BL45" s="170" t="e">
        <f>VLOOKUP(+BP45,'Datos Biyemas'!A9:BF145,56,0)</f>
        <v>#N/A</v>
      </c>
      <c r="BM45" s="170" t="e">
        <f>VLOOKUP(+BP45,'Datos Biyemas'!A9:BF145,57,0)</f>
        <v>#N/A</v>
      </c>
      <c r="BN45" s="171" t="e">
        <f>VLOOKUP(+BP45,'Datos Biyemas'!A9:BF145,58,0)</f>
        <v>#N/A</v>
      </c>
      <c r="BP45" s="39" t="s">
        <v>106</v>
      </c>
    </row>
    <row r="46" spans="1:76" ht="12" thickBot="1" x14ac:dyDescent="0.25">
      <c r="A46" s="88" t="s">
        <v>26</v>
      </c>
      <c r="B46" s="83"/>
      <c r="C46" s="91" t="e">
        <f>VLOOKUP(+BP46,'Datos Biyemas'!A9:BB145,3,0)</f>
        <v>#N/A</v>
      </c>
      <c r="D46" s="84" t="e">
        <f>VLOOKUP(+BP46,'Datos Biyemas'!A9:BB145,4,0)</f>
        <v>#N/A</v>
      </c>
      <c r="E46" s="84" t="e">
        <f>VLOOKUP(+BP46,'Datos Biyemas'!A9:BB145,5,0)</f>
        <v>#N/A</v>
      </c>
      <c r="F46" s="84" t="e">
        <f>VLOOKUP(+BP46,'Datos Biyemas'!A9:BB145,6,0)</f>
        <v>#N/A</v>
      </c>
      <c r="G46" s="84" t="e">
        <f>VLOOKUP(+BP46,'Datos Biyemas'!A9:BB145,7,0)</f>
        <v>#N/A</v>
      </c>
      <c r="H46" s="85" t="e">
        <f>+G46/E46</f>
        <v>#N/A</v>
      </c>
      <c r="I46" s="78" t="e">
        <f>+G46/F46</f>
        <v>#N/A</v>
      </c>
      <c r="J46" s="86" t="e">
        <f>+G46/C46</f>
        <v>#N/A</v>
      </c>
      <c r="K46" s="84" t="e">
        <f>+G46/D46</f>
        <v>#N/A</v>
      </c>
      <c r="L46" s="89" t="e">
        <f>VLOOKUP(+BP46,'Datos Biyemas'!A9:BB145,12,0)</f>
        <v>#N/A</v>
      </c>
      <c r="M46" s="84" t="e">
        <f>VLOOKUP(+BP46,'Datos Biyemas'!A9:BB145,13,0)</f>
        <v>#N/A</v>
      </c>
      <c r="N46" s="84" t="e">
        <f>VLOOKUP(+BP46,'Datos Biyemas'!A9:BB145,14,0)</f>
        <v>#N/A</v>
      </c>
      <c r="O46" s="84" t="e">
        <f>VLOOKUP(+BP46,'Datos Biyemas'!A9:BB145,15,0)</f>
        <v>#N/A</v>
      </c>
      <c r="P46" s="85" t="e">
        <f>+O46/M46</f>
        <v>#N/A</v>
      </c>
      <c r="Q46" s="85" t="e">
        <f>+O46/N46</f>
        <v>#N/A</v>
      </c>
      <c r="R46" s="87" t="e">
        <f>+O46/C46</f>
        <v>#N/A</v>
      </c>
      <c r="S46" s="102" t="e">
        <f>+O46/L46</f>
        <v>#N/A</v>
      </c>
      <c r="T46" s="90" t="e">
        <f>+SUM(O46+G46)/+SUM(D46+L46)</f>
        <v>#N/A</v>
      </c>
      <c r="U46" s="79" t="e">
        <f>+D46+L46</f>
        <v>#N/A</v>
      </c>
      <c r="V46" s="89" t="e">
        <f>VLOOKUP(+BP46,'Datos Biyemas'!A9:BB145,22,0)</f>
        <v>#N/A</v>
      </c>
      <c r="W46" s="84" t="e">
        <f>VLOOKUP(+BP46,'Datos Biyemas'!A9:BB145,23,0)</f>
        <v>#N/A</v>
      </c>
      <c r="X46" s="84" t="e">
        <f>VLOOKUP(+BP46,'Datos Biyemas'!A9:BB145,24,0)</f>
        <v>#N/A</v>
      </c>
      <c r="Y46" s="84" t="e">
        <f>VLOOKUP(+BP46,'Datos Biyemas'!A9:BB145,25,0)</f>
        <v>#N/A</v>
      </c>
      <c r="Z46" s="85" t="e">
        <f>+Y46/W46</f>
        <v>#N/A</v>
      </c>
      <c r="AA46" s="85" t="e">
        <f>+Y46/X46</f>
        <v>#N/A</v>
      </c>
      <c r="AB46" s="87" t="e">
        <f>+Y46/M46</f>
        <v>#N/A</v>
      </c>
      <c r="AC46" s="80" t="e">
        <f>VLOOKUP(+BP46,'Datos Biyemas'!A9:BB145,29,0)</f>
        <v>#N/A</v>
      </c>
      <c r="AD46" s="89" t="e">
        <f>VLOOKUP(+BP46,'Datos Biyemas'!A9:BB145,30,0)</f>
        <v>#N/A</v>
      </c>
      <c r="AE46" s="84" t="e">
        <f>VLOOKUP(+BP46,'Datos Biyemas'!A9:BB145,31,0)</f>
        <v>#N/A</v>
      </c>
      <c r="AF46" s="91" t="e">
        <f>VLOOKUP(+BP46,'Datos Biyemas'!A9:BB145,32,0)</f>
        <v>#N/A</v>
      </c>
      <c r="AG46" s="81" t="e">
        <f>VLOOKUP(+BP46,'Datos Biyemas'!A9:BB145,33,0)</f>
        <v>#N/A</v>
      </c>
      <c r="AH46" s="80" t="e">
        <f>VLOOKUP(+BP46,'Datos Biyemas'!A9:BB145,34,0)</f>
        <v>#N/A</v>
      </c>
      <c r="AI46" s="84" t="e">
        <f>VLOOKUP(+BP46,'Datos Biyemas'!A9:BB145,35,0)</f>
        <v>#N/A</v>
      </c>
      <c r="AJ46" s="82" t="e">
        <f>+AI46/C46</f>
        <v>#N/A</v>
      </c>
      <c r="AK46" s="90" t="e">
        <f>VLOOKUP(+BP46,'Datos Biyemas'!A9:BB145,37,0)</f>
        <v>#N/A</v>
      </c>
      <c r="AL46" s="81" t="e">
        <f>VLOOKUP(+BP46,'Datos Biyemas'!A9:BB145,38,0)</f>
        <v>#N/A</v>
      </c>
      <c r="AM46" s="143" t="e">
        <f>+AL46/C46</f>
        <v>#N/A</v>
      </c>
      <c r="AN46" s="74" t="e">
        <f>+AN45/Resumen!D1</f>
        <v>#N/A</v>
      </c>
      <c r="AO46" s="74" t="e">
        <f>VLOOKUP(+BP46,'Datos Biyemas'!A9:BF145,40,0)</f>
        <v>#N/A</v>
      </c>
      <c r="AP46" s="82" t="e">
        <f>+AO46/AN46</f>
        <v>#N/A</v>
      </c>
      <c r="AQ46" s="74" t="e">
        <f>VLOOKUP(+BP46,'Datos Biyemas'!A9:AU145,42,0)</f>
        <v>#N/A</v>
      </c>
      <c r="AR46" s="74" t="e">
        <f>VLOOKUP(+BP46,'Datos Biyemas'!A9:AU145,43,FALSE)</f>
        <v>#N/A</v>
      </c>
      <c r="AS46" s="74" t="e">
        <f>VLOOKUP(+BP46,'Datos Biyemas'!A9:AU145,44,FALSE)</f>
        <v>#N/A</v>
      </c>
      <c r="AT46" s="74" t="e">
        <f>VLOOKUP(+BP46,'Datos Biyemas'!A9:AU145,45,FALSE)</f>
        <v>#N/A</v>
      </c>
      <c r="AU46" s="74" t="e">
        <f>VLOOKUP(+BP46,'Datos Biyemas'!A9:AU145,46,FALSE)</f>
        <v>#N/A</v>
      </c>
      <c r="AV46" s="80" t="e">
        <f>VLOOKUP(+BP46,'Datos Biyemas'!A9:BF145,47,0)</f>
        <v>#N/A</v>
      </c>
      <c r="AW46" s="82" t="e">
        <f>+AV46/C46</f>
        <v>#N/A</v>
      </c>
      <c r="BB46" s="61" t="s">
        <v>48</v>
      </c>
      <c r="BC46" s="61"/>
      <c r="BD46" s="61"/>
      <c r="BE46" s="62" t="e">
        <f>+AV46</f>
        <v>#N/A</v>
      </c>
      <c r="BF46" s="62" t="e">
        <f>+AD46</f>
        <v>#N/A</v>
      </c>
      <c r="BG46" s="62" t="e">
        <f>+AI46</f>
        <v>#N/A</v>
      </c>
      <c r="BH46" s="62" t="e">
        <f>+AL46</f>
        <v>#N/A</v>
      </c>
      <c r="BI46" s="62" t="e">
        <f>+AO46</f>
        <v>#N/A</v>
      </c>
      <c r="BJ46" s="62" t="e">
        <f>+BE46</f>
        <v>#N/A</v>
      </c>
      <c r="BK46" s="62" t="e">
        <f>+BF46</f>
        <v>#N/A</v>
      </c>
      <c r="BL46" s="62" t="e">
        <f>+BG46</f>
        <v>#N/A</v>
      </c>
      <c r="BM46" s="62" t="e">
        <f>+BH46</f>
        <v>#N/A</v>
      </c>
      <c r="BN46" s="62" t="e">
        <f>+BI46</f>
        <v>#N/A</v>
      </c>
      <c r="BP46" s="39" t="s">
        <v>107</v>
      </c>
    </row>
    <row r="47" spans="1:76" ht="12" thickBot="1" x14ac:dyDescent="0.25">
      <c r="C47" s="32"/>
      <c r="D47" s="32"/>
      <c r="E47" s="32"/>
      <c r="F47" s="32"/>
      <c r="G47" s="32"/>
      <c r="H47" s="56"/>
      <c r="I47" s="33"/>
      <c r="J47" s="34"/>
      <c r="K47" s="57"/>
      <c r="L47" s="32"/>
      <c r="M47" s="32"/>
      <c r="N47" s="32"/>
      <c r="O47" s="32"/>
      <c r="P47" s="56"/>
      <c r="Q47" s="56"/>
      <c r="R47" s="34"/>
      <c r="S47" s="32"/>
      <c r="T47" s="32"/>
      <c r="U47" s="32"/>
      <c r="V47" s="32"/>
      <c r="W47" s="32"/>
      <c r="X47" s="32"/>
      <c r="Y47" s="32"/>
      <c r="Z47" s="57"/>
      <c r="AA47" s="57"/>
      <c r="AB47" s="57"/>
      <c r="AC47" s="57"/>
      <c r="AD47" s="57"/>
      <c r="AE47" s="57"/>
      <c r="AF47" s="57"/>
      <c r="AG47" s="32"/>
      <c r="AH47" s="32"/>
      <c r="AI47" s="32"/>
      <c r="AJ47" s="34"/>
      <c r="AK47" s="32"/>
      <c r="AL47" s="32"/>
      <c r="AM47" s="58"/>
      <c r="AN47" s="58"/>
      <c r="AO47" s="32"/>
      <c r="AP47" s="58"/>
      <c r="AQ47" s="58"/>
      <c r="AR47" s="58"/>
      <c r="AS47" s="58"/>
      <c r="AT47" s="58"/>
      <c r="AU47" s="58"/>
      <c r="AV47" s="59"/>
      <c r="AW47" s="34"/>
      <c r="AX47" s="34"/>
      <c r="AY47" s="34"/>
      <c r="BB47" s="60" t="s">
        <v>49</v>
      </c>
      <c r="BC47" s="60"/>
      <c r="BD47" s="60"/>
      <c r="BE47" s="64" t="e">
        <f>VLOOKUP(+BP47,'Datos Biyemas'!AY4:BG171,4,0)</f>
        <v>#N/A</v>
      </c>
      <c r="BF47" s="64" t="e">
        <f>VLOOKUP(+BP47,'Datos Biyemas'!AY4:BG171,5,0)</f>
        <v>#N/A</v>
      </c>
      <c r="BG47" s="64" t="e">
        <f>VLOOKUP(+BP47,'Datos Biyemas'!AY4:BG171,6,0)</f>
        <v>#N/A</v>
      </c>
      <c r="BH47" s="64" t="e">
        <f>VLOOKUP(+BP47,'Datos Biyemas'!AY4:BG171,7,0)</f>
        <v>#N/A</v>
      </c>
      <c r="BI47" s="64" t="e">
        <f>IF(BI45=1,+BI46,VLOOKUP(+BP47,'Datos Biyemas'!AY4:BG171,8,0))</f>
        <v>#N/A</v>
      </c>
      <c r="BJ47" s="64" t="e">
        <f>VLOOKUP(+BP47,'Datos Biyemas'!AY4:BG171,9,0)</f>
        <v>#N/A</v>
      </c>
      <c r="BK47" s="64" t="e">
        <f>VLOOKUP(+BP47,'Datos Biyemas'!AY4:BH171,10,0)</f>
        <v>#N/A</v>
      </c>
      <c r="BL47" s="64" t="e">
        <f>VLOOKUP(+BP47,'Datos Biyemas'!AY4:BG171,11,0)</f>
        <v>#N/A</v>
      </c>
      <c r="BM47" s="64" t="e">
        <f>VLOOKUP(+BP47,'Datos Biyemas'!AY4:BG171,12,0)</f>
        <v>#N/A</v>
      </c>
      <c r="BN47" s="64" t="e">
        <f>IF(BN45=1,+BN46,VLOOKUP(+BP47,'Datos Biyemas'!AY4:BG171,13,0))</f>
        <v>#N/A</v>
      </c>
      <c r="BP47" s="39" t="s">
        <v>116</v>
      </c>
    </row>
    <row r="48" spans="1:76" ht="12.75" thickTop="1" thickBot="1" x14ac:dyDescent="0.25">
      <c r="A48" s="66" t="s">
        <v>82</v>
      </c>
      <c r="B48" s="67"/>
      <c r="C48" s="68" t="e">
        <f>(+C40-C46)/C46</f>
        <v>#N/A</v>
      </c>
      <c r="D48" s="66"/>
      <c r="E48" s="68" t="e">
        <f>(+E40-E46)/E46</f>
        <v>#N/A</v>
      </c>
      <c r="F48" s="68" t="e">
        <f>(+F40-F46)/F46</f>
        <v>#N/A</v>
      </c>
      <c r="G48" s="68" t="e">
        <f>(+G40-G46)/G46</f>
        <v>#N/A</v>
      </c>
      <c r="H48" s="67"/>
      <c r="I48" s="67"/>
      <c r="J48" s="67"/>
      <c r="K48" s="69" t="e">
        <f>(+K40-K46)/K46</f>
        <v>#N/A</v>
      </c>
      <c r="L48" s="67"/>
      <c r="M48" s="68" t="e">
        <f>(+M40-M46)/M46</f>
        <v>#N/A</v>
      </c>
      <c r="N48" s="68" t="e">
        <f>(+N40-N46)/N46</f>
        <v>#N/A</v>
      </c>
      <c r="O48" s="68" t="e">
        <f>(+O40-O46)/O46</f>
        <v>#N/A</v>
      </c>
      <c r="P48" s="67"/>
      <c r="Q48" s="67"/>
      <c r="R48" s="67"/>
      <c r="S48" s="68" t="e">
        <f>(+S40-S46)/S46</f>
        <v>#N/A</v>
      </c>
      <c r="T48" s="139" t="e">
        <f>(+T40-T46)/T46</f>
        <v>#DIV/0!</v>
      </c>
      <c r="U48" s="70" t="e">
        <f>(+U40-U46)/U46</f>
        <v>#DIV/0!</v>
      </c>
      <c r="V48" s="66"/>
      <c r="W48" s="68" t="e">
        <f>(+W40-W46)/W46</f>
        <v>#N/A</v>
      </c>
      <c r="X48" s="68" t="e">
        <f>(+X40-X46)/X46</f>
        <v>#N/A</v>
      </c>
      <c r="Y48" s="68" t="e">
        <f>(+Y40-Y46)/Y46</f>
        <v>#N/A</v>
      </c>
      <c r="Z48" s="68"/>
      <c r="AA48" s="68"/>
      <c r="AB48" s="68"/>
      <c r="AC48" s="68"/>
      <c r="AD48" s="139" t="e">
        <f t="shared" ref="AD48:AI48" si="35">(+AD40-AD46)/AD46</f>
        <v>#N/A</v>
      </c>
      <c r="AE48" s="68" t="e">
        <f t="shared" si="35"/>
        <v>#N/A</v>
      </c>
      <c r="AF48" s="69" t="e">
        <f t="shared" si="35"/>
        <v>#N/A</v>
      </c>
      <c r="AG48" s="68" t="e">
        <f t="shared" si="35"/>
        <v>#N/A</v>
      </c>
      <c r="AH48" s="68" t="e">
        <f t="shared" si="35"/>
        <v>#N/A</v>
      </c>
      <c r="AI48" s="68" t="e">
        <f t="shared" si="35"/>
        <v>#N/A</v>
      </c>
      <c r="AJ48" s="67"/>
      <c r="AK48" s="70" t="e">
        <f>(+AK40-AK46)/AK46</f>
        <v>#N/A</v>
      </c>
      <c r="AL48" s="68" t="e">
        <f>(+AL40-AL46)/AL46</f>
        <v>#N/A</v>
      </c>
      <c r="AM48" s="69"/>
      <c r="AN48" s="68" t="e">
        <f>(+AN40-AN46)/AN46</f>
        <v>#DIV/0!</v>
      </c>
      <c r="AO48" s="68" t="e">
        <f>(+AO40-AO46)/AO46</f>
        <v>#N/A</v>
      </c>
      <c r="AP48" s="69"/>
      <c r="AQ48" s="68" t="e">
        <f>(+AQ40-AQ46)/AQ46</f>
        <v>#N/A</v>
      </c>
      <c r="AR48" s="68" t="e">
        <f>(+AR40-AR46)/AR46</f>
        <v>#N/A</v>
      </c>
      <c r="AS48" s="68" t="e">
        <f t="shared" ref="AS48:AT48" si="36">(+AS40-AS46)/AS46</f>
        <v>#N/A</v>
      </c>
      <c r="AT48" s="68" t="e">
        <f t="shared" si="36"/>
        <v>#N/A</v>
      </c>
      <c r="AU48" s="68" t="e">
        <f>(+AU40-AU46)/AU46</f>
        <v>#N/A</v>
      </c>
      <c r="AV48" s="68" t="e">
        <f>(+AV40-AV46)/AV46</f>
        <v>#N/A</v>
      </c>
      <c r="AW48" s="71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8" ht="12" thickBot="1" x14ac:dyDescent="0.25">
      <c r="A49" s="72" t="s">
        <v>83</v>
      </c>
      <c r="B49" s="73"/>
      <c r="C49" s="73"/>
      <c r="D49" s="72"/>
      <c r="E49" s="74" t="e">
        <f>+E40-E46</f>
        <v>#N/A</v>
      </c>
      <c r="F49" s="74" t="e">
        <f>+F40-F46</f>
        <v>#N/A</v>
      </c>
      <c r="G49" s="74" t="e">
        <f>+G40-G46</f>
        <v>#N/A</v>
      </c>
      <c r="H49" s="73"/>
      <c r="I49" s="73"/>
      <c r="J49" s="73"/>
      <c r="K49" s="75" t="e">
        <f>+K40-K46</f>
        <v>#N/A</v>
      </c>
      <c r="L49" s="73"/>
      <c r="M49" s="74" t="e">
        <f>+M40-M46</f>
        <v>#N/A</v>
      </c>
      <c r="N49" s="74" t="e">
        <f>+N40-N46</f>
        <v>#N/A</v>
      </c>
      <c r="O49" s="74" t="e">
        <f>+O40-O46</f>
        <v>#N/A</v>
      </c>
      <c r="P49" s="73"/>
      <c r="Q49" s="73"/>
      <c r="R49" s="73"/>
      <c r="S49" s="74" t="e">
        <f>+S40-S46</f>
        <v>#N/A</v>
      </c>
      <c r="T49" s="140" t="e">
        <f>+T40-T46</f>
        <v>#DIV/0!</v>
      </c>
      <c r="U49" s="76" t="e">
        <f>+U40-U46</f>
        <v>#DIV/0!</v>
      </c>
      <c r="V49" s="72"/>
      <c r="W49" s="74" t="e">
        <f>+W40-W46</f>
        <v>#N/A</v>
      </c>
      <c r="X49" s="74" t="e">
        <f>+X40-X46</f>
        <v>#N/A</v>
      </c>
      <c r="Y49" s="74" t="e">
        <f>+Y40-Y46</f>
        <v>#N/A</v>
      </c>
      <c r="Z49" s="74"/>
      <c r="AA49" s="74"/>
      <c r="AB49" s="74"/>
      <c r="AC49" s="74"/>
      <c r="AD49" s="140" t="e">
        <f t="shared" ref="AD49:AI49" si="37">+AD40-AD46</f>
        <v>#N/A</v>
      </c>
      <c r="AE49" s="74" t="e">
        <f t="shared" si="37"/>
        <v>#N/A</v>
      </c>
      <c r="AF49" s="75" t="e">
        <f t="shared" si="37"/>
        <v>#N/A</v>
      </c>
      <c r="AG49" s="74" t="e">
        <f t="shared" si="37"/>
        <v>#N/A</v>
      </c>
      <c r="AH49" s="74" t="e">
        <f t="shared" si="37"/>
        <v>#N/A</v>
      </c>
      <c r="AI49" s="74" t="e">
        <f t="shared" si="37"/>
        <v>#N/A</v>
      </c>
      <c r="AJ49" s="73"/>
      <c r="AK49" s="76" t="e">
        <f>+AK40-AK46</f>
        <v>#N/A</v>
      </c>
      <c r="AL49" s="74" t="e">
        <f>+AL40-AL46</f>
        <v>#N/A</v>
      </c>
      <c r="AM49" s="77"/>
      <c r="AN49" s="73"/>
      <c r="AO49" s="74" t="e">
        <f>+AO40-AO46</f>
        <v>#N/A</v>
      </c>
      <c r="AP49" s="77"/>
      <c r="AQ49" s="74" t="e">
        <f>+AQ40-AQ46</f>
        <v>#N/A</v>
      </c>
      <c r="AR49" s="74" t="e">
        <f t="shared" ref="AR49:AU49" si="38">+AR40-AR46</f>
        <v>#N/A</v>
      </c>
      <c r="AS49" s="74" t="e">
        <f t="shared" si="38"/>
        <v>#N/A</v>
      </c>
      <c r="AT49" s="74" t="e">
        <f t="shared" si="38"/>
        <v>#N/A</v>
      </c>
      <c r="AU49" s="74" t="e">
        <f t="shared" si="38"/>
        <v>#N/A</v>
      </c>
      <c r="AV49" s="74" t="e">
        <f>+AV40-AV46</f>
        <v>#N/A</v>
      </c>
      <c r="AW49" s="77"/>
      <c r="BE49" s="3"/>
      <c r="BF49" s="3"/>
      <c r="BG49" s="3"/>
      <c r="BH49" s="237"/>
      <c r="BI49" s="237"/>
      <c r="BJ49" s="238"/>
      <c r="BK49" s="3"/>
      <c r="BL49" s="3"/>
      <c r="BM49" s="3"/>
      <c r="BN49" s="3"/>
    </row>
    <row r="50" spans="1:68" x14ac:dyDescent="0.2">
      <c r="BE50" s="3"/>
      <c r="BF50" s="3"/>
      <c r="BG50" s="3"/>
      <c r="BH50" s="3"/>
      <c r="BI50" s="3"/>
      <c r="BJ50" s="238"/>
      <c r="BK50" s="3"/>
      <c r="BL50" s="3"/>
      <c r="BM50" s="3"/>
      <c r="BN50" s="3"/>
    </row>
    <row r="51" spans="1:68" x14ac:dyDescent="0.2">
      <c r="BE51" s="3"/>
      <c r="BF51" s="3"/>
      <c r="BG51" s="3"/>
      <c r="BH51" s="237"/>
      <c r="BI51" s="237"/>
      <c r="BJ51" s="3"/>
      <c r="BK51" s="3"/>
      <c r="BL51" s="3"/>
      <c r="BM51" s="3"/>
      <c r="BN51" s="3"/>
    </row>
    <row r="52" spans="1:68" x14ac:dyDescent="0.2"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8" ht="12" thickBot="1" x14ac:dyDescent="0.25">
      <c r="A53" s="234" t="s">
        <v>134</v>
      </c>
      <c r="B53" s="235"/>
      <c r="C53" s="235"/>
      <c r="D53" s="32"/>
      <c r="E53" s="115"/>
      <c r="F53" s="32"/>
      <c r="G53" s="32"/>
      <c r="H53" s="56"/>
      <c r="I53" s="33"/>
      <c r="J53" s="34"/>
      <c r="K53" s="57"/>
      <c r="L53" s="32"/>
      <c r="M53" s="116"/>
      <c r="N53" s="116"/>
      <c r="O53" s="116"/>
      <c r="P53" s="56"/>
      <c r="Q53" s="56"/>
      <c r="R53" s="34"/>
      <c r="S53" s="32"/>
      <c r="T53" s="32"/>
      <c r="U53" s="32"/>
      <c r="V53" s="32"/>
      <c r="W53" s="115"/>
      <c r="X53" s="32"/>
      <c r="Y53" s="32"/>
      <c r="Z53" s="57"/>
      <c r="AA53" s="57"/>
      <c r="AB53" s="57"/>
      <c r="AC53" s="57"/>
      <c r="AD53" s="57"/>
      <c r="AE53" s="57"/>
      <c r="AF53" s="57"/>
      <c r="AG53" s="32"/>
      <c r="AH53" s="32"/>
      <c r="AI53" s="32"/>
      <c r="AJ53" s="34"/>
      <c r="AK53" s="32"/>
      <c r="AL53" s="32"/>
      <c r="AM53" s="58"/>
      <c r="AN53" s="58"/>
      <c r="AO53" s="32"/>
      <c r="AP53" s="58"/>
      <c r="AQ53" s="58"/>
      <c r="AR53" s="58"/>
      <c r="AS53" s="58"/>
      <c r="AT53" s="58"/>
      <c r="AU53" s="58"/>
      <c r="AV53" s="59"/>
      <c r="AW53" s="34"/>
      <c r="AX53" s="34"/>
      <c r="AY53" s="34"/>
      <c r="BB53" s="60"/>
      <c r="BC53" s="60"/>
      <c r="BD53" s="60"/>
      <c r="BE53" s="60"/>
      <c r="BF53" s="60"/>
      <c r="BG53" s="60"/>
      <c r="BH53" s="60"/>
      <c r="BI53" s="60"/>
      <c r="BJ53" s="114"/>
      <c r="BK53" s="114"/>
      <c r="BL53" s="114"/>
      <c r="BM53" s="114"/>
      <c r="BN53" s="114"/>
    </row>
    <row r="54" spans="1:68" ht="13.5" customHeight="1" thickBot="1" x14ac:dyDescent="0.25">
      <c r="A54" s="92">
        <v>0</v>
      </c>
      <c r="B54" s="93" t="s">
        <v>4</v>
      </c>
      <c r="C54" s="94" t="e">
        <f>VLOOKUP(+BP54,'Datos Biyemas'!A9:BB145,3,0)</f>
        <v>#N/A</v>
      </c>
      <c r="D54" s="98"/>
      <c r="E54" s="94" t="e">
        <f>VLOOKUP(+BP54,'Datos Biyemas'!A9:BB145,5,0)</f>
        <v>#N/A</v>
      </c>
      <c r="F54" s="94" t="e">
        <f>VLOOKUP(+BP54,'Datos Biyemas'!A9:BB145,6,0)</f>
        <v>#N/A</v>
      </c>
      <c r="G54" s="94" t="e">
        <f>VLOOKUP(+BP54,'Datos Biyemas'!A9:BB145,7,0)</f>
        <v>#N/A</v>
      </c>
      <c r="H54" s="95"/>
      <c r="I54" s="96"/>
      <c r="J54" s="97"/>
      <c r="K54" s="141" t="s">
        <v>1</v>
      </c>
      <c r="L54" s="94"/>
      <c r="M54" s="94" t="e">
        <f>VLOOKUP(+BP54,'Datos Biyemas'!A9:BB145,13,0)</f>
        <v>#N/A</v>
      </c>
      <c r="N54" s="94" t="e">
        <f>VLOOKUP(+BP54,'Datos Biyemas'!A9:BB145,14,0)</f>
        <v>#N/A</v>
      </c>
      <c r="O54" s="94" t="e">
        <f>VLOOKUP(+BP54,'Datos Biyemas'!A9:BB145,15,0)</f>
        <v>#N/A</v>
      </c>
      <c r="P54" s="95"/>
      <c r="Q54" s="95"/>
      <c r="R54" s="99"/>
      <c r="S54" s="100"/>
      <c r="T54" s="101"/>
      <c r="U54" s="101"/>
      <c r="V54" s="98"/>
      <c r="W54" s="94" t="e">
        <f>VLOOKUP(+BP54,'Datos Biyemas'!A9:BB145,23,0)</f>
        <v>#N/A</v>
      </c>
      <c r="X54" s="94" t="e">
        <f>VLOOKUP(+BP54,'Datos Biyemas'!A9:BB145,24,0)</f>
        <v>#N/A</v>
      </c>
      <c r="Y54" s="94" t="e">
        <f>VLOOKUP(+BP54,'Datos Biyemas'!A9:BB145,25,0)</f>
        <v>#N/A</v>
      </c>
      <c r="Z54" s="94"/>
      <c r="AA54" s="94"/>
      <c r="AB54" s="94"/>
      <c r="AC54" s="94"/>
      <c r="AD54" s="98" t="e">
        <f>VLOOKUP(+BP54,'Datos Biyemas'!A9:BB145,30,0)</f>
        <v>#N/A</v>
      </c>
      <c r="AE54" s="94" t="e">
        <f>VLOOKUP(+BP54,'Datos Biyemas'!A9:BB145,31,0)</f>
        <v>#N/A</v>
      </c>
      <c r="AF54" s="141" t="e">
        <f>VLOOKUP(+BP54,'Datos Biyemas'!A9:BB145,32,0)</f>
        <v>#N/A</v>
      </c>
      <c r="AG54" s="94" t="e">
        <f>VLOOKUP(+BP54,'Datos Biyemas'!A9:BB145,33,0)</f>
        <v>#N/A</v>
      </c>
      <c r="AH54" s="94" t="e">
        <f>VLOOKUP(+BP54,'Datos Biyemas'!A9:BB145,34,0)</f>
        <v>#N/A</v>
      </c>
      <c r="AI54" s="94" t="e">
        <f>VLOOKUP(+BP54,'Datos Biyemas'!A9:BB145,35,0)</f>
        <v>#N/A</v>
      </c>
      <c r="AJ54" s="99"/>
      <c r="AK54" s="138" t="e">
        <f>VLOOKUP(+BP54,'Datos Biyemas'!A9:BB145,37,0)</f>
        <v>#N/A</v>
      </c>
      <c r="AL54" s="98" t="e">
        <f>VLOOKUP(+BP54,'Datos Biyemas'!A9:BB145,38,0)</f>
        <v>#N/A</v>
      </c>
      <c r="AM54" s="142"/>
      <c r="AN54" s="51" t="e">
        <f>VLOOKUP(+BP54,'Datos Biyemas'!A9:BL145,64,0)</f>
        <v>#N/A</v>
      </c>
      <c r="AO54" s="248" t="e">
        <f>VLOOKUP(+BP54,'Datos Biyemas'!A9:BF145,40,0)</f>
        <v>#N/A</v>
      </c>
      <c r="AP54" s="249"/>
      <c r="AQ54" s="282"/>
      <c r="AR54" s="282"/>
      <c r="AS54" s="282"/>
      <c r="AT54" s="282"/>
      <c r="AU54" s="282"/>
      <c r="AV54" s="94" t="e">
        <f>VLOOKUP(+BP54,'Datos Biyemas'!A9:BF145,47,0)</f>
        <v>#N/A</v>
      </c>
      <c r="AW54" s="103"/>
      <c r="BA54" s="175" t="e">
        <f>VLOOKUP(+BP54,'Datos Biyemas'!A9:BB145,47,0)</f>
        <v>#N/A</v>
      </c>
      <c r="BB54" s="171" t="e">
        <f>IF($AK54&gt;0,(C54-($BA54))/($BA$54),)</f>
        <v>#N/A</v>
      </c>
      <c r="BC54" s="175" t="e">
        <f>VLOOKUP(+BP54,'Datos Biyemas'!A9:BH145,60,0)</f>
        <v>#N/A</v>
      </c>
      <c r="BD54" s="171" t="e">
        <f>IF($BC54&gt;0,(AN54-($BC54))/($BC$54),IF(AN54&gt;0,1))</f>
        <v>#N/A</v>
      </c>
      <c r="BE54" s="172" t="e">
        <f>VLOOKUP(+BP54,'Datos Biyemas'!A9:BF145,54,0)</f>
        <v>#N/A</v>
      </c>
      <c r="BF54" s="173" t="e">
        <f>VLOOKUP(+BP54,'Datos Biyemas'!A9:BF145,55,0)</f>
        <v>#N/A</v>
      </c>
      <c r="BG54" s="173" t="e">
        <f>VLOOKUP(+BP54,'Datos Biyemas'!A9:BB145,51,0)</f>
        <v>#N/A</v>
      </c>
      <c r="BH54" s="223" t="e">
        <f>VLOOKUP(+BP54,'Datos Biyemas'!A9:BB145,52,0)</f>
        <v>#N/A</v>
      </c>
      <c r="BI54" s="173" t="e">
        <f>VLOOKUP(+BP54,'Datos Biyemas'!A9:BB145,53,0)</f>
        <v>#N/A</v>
      </c>
      <c r="BJ54" s="169" t="e">
        <f>BJ55/SUM(BJ55-BJ56)-1</f>
        <v>#N/A</v>
      </c>
      <c r="BK54" s="169" t="e">
        <f>BK55/SUM(BK55-BK56)-1</f>
        <v>#N/A</v>
      </c>
      <c r="BL54" s="170" t="e">
        <f>BL55/SUM(BL55-BL56)-1</f>
        <v>#N/A</v>
      </c>
      <c r="BM54" s="170" t="e">
        <f>BM55/SUM(BM55-BM56)-1</f>
        <v>#N/A</v>
      </c>
      <c r="BN54" s="170" t="e">
        <f>BN55/SUM(BN55-BN56)-1</f>
        <v>#N/A</v>
      </c>
      <c r="BP54" s="39" t="s">
        <v>108</v>
      </c>
    </row>
    <row r="55" spans="1:68" ht="12" thickBot="1" x14ac:dyDescent="0.25">
      <c r="A55" s="88" t="s">
        <v>26</v>
      </c>
      <c r="B55" s="83"/>
      <c r="C55" s="84" t="e">
        <f>VLOOKUP(+BP55,'Datos Biyemas'!A9:BB145,3,0)</f>
        <v>#N/A</v>
      </c>
      <c r="D55" s="89" t="e">
        <f>VLOOKUP(+BP55,'Datos Biyemas'!A9:BB145,4,0)</f>
        <v>#N/A</v>
      </c>
      <c r="E55" s="84" t="e">
        <f>VLOOKUP(+BP55,'Datos Biyemas'!A9:BB145,5,0)</f>
        <v>#N/A</v>
      </c>
      <c r="F55" s="84" t="e">
        <f>VLOOKUP(+BP55,'Datos Biyemas'!A9:BB145,6,0)</f>
        <v>#N/A</v>
      </c>
      <c r="G55" s="84" t="e">
        <f>VLOOKUP(+BP55,'Datos Biyemas'!A9:BB145,7,0)</f>
        <v>#N/A</v>
      </c>
      <c r="H55" s="85" t="e">
        <f>+G55/E55</f>
        <v>#N/A</v>
      </c>
      <c r="I55" s="78" t="e">
        <f>+G55/F55</f>
        <v>#N/A</v>
      </c>
      <c r="J55" s="86" t="e">
        <f>+G55/C55</f>
        <v>#N/A</v>
      </c>
      <c r="K55" s="91" t="e">
        <f>+G55/D55</f>
        <v>#N/A</v>
      </c>
      <c r="L55" s="84" t="e">
        <f>VLOOKUP(+BP55,'Datos Biyemas'!A9:BB145,12,0)</f>
        <v>#N/A</v>
      </c>
      <c r="M55" s="84" t="e">
        <f>VLOOKUP(+BP55,'Datos Biyemas'!A9:BB145,13,0)</f>
        <v>#N/A</v>
      </c>
      <c r="N55" s="84" t="e">
        <f>VLOOKUP(+BP55,'Datos Biyemas'!A9:BB145,14,0)</f>
        <v>#N/A</v>
      </c>
      <c r="O55" s="84" t="e">
        <f>VLOOKUP(+BP55,'Datos Biyemas'!A9:BB145,15,0)</f>
        <v>#N/A</v>
      </c>
      <c r="P55" s="85" t="e">
        <f>+O55/M55</f>
        <v>#N/A</v>
      </c>
      <c r="Q55" s="85" t="e">
        <f>+O55/N55</f>
        <v>#N/A</v>
      </c>
      <c r="R55" s="87" t="e">
        <f>+O55/C55</f>
        <v>#N/A</v>
      </c>
      <c r="S55" s="102" t="e">
        <f>+O55/L55</f>
        <v>#N/A</v>
      </c>
      <c r="T55" s="90" t="e">
        <f>+SUM(O55+G55)/+SUM(D55+L55)</f>
        <v>#N/A</v>
      </c>
      <c r="U55" s="79" t="e">
        <f>+D55+L55</f>
        <v>#N/A</v>
      </c>
      <c r="V55" s="84" t="e">
        <f>VLOOKUP(+BP55,'Datos Biyemas'!A9:BB145,22,0)</f>
        <v>#N/A</v>
      </c>
      <c r="W55" s="84" t="e">
        <f>VLOOKUP(+BP55,'Datos Biyemas'!A9:BB145,23,0)</f>
        <v>#N/A</v>
      </c>
      <c r="X55" s="84" t="e">
        <f>VLOOKUP(+BP55,'Datos Biyemas'!A9:BB145,24,0)</f>
        <v>#N/A</v>
      </c>
      <c r="Y55" s="84" t="e">
        <f>VLOOKUP(+BP55,'Datos Biyemas'!A9:BB145,25,0)</f>
        <v>#N/A</v>
      </c>
      <c r="Z55" s="85" t="e">
        <f>+Y55/W55</f>
        <v>#N/A</v>
      </c>
      <c r="AA55" s="85" t="e">
        <f>+Y55/X55</f>
        <v>#N/A</v>
      </c>
      <c r="AB55" s="87" t="e">
        <f>+Y55/M55</f>
        <v>#N/A</v>
      </c>
      <c r="AC55" s="84" t="e">
        <f>VLOOKUP(+BP55,'Datos Biyemas'!A9:BB145,29,0)</f>
        <v>#N/A</v>
      </c>
      <c r="AD55" s="89" t="e">
        <f>VLOOKUP(+BP55,'Datos Biyemas'!A9:BB145,30,0)</f>
        <v>#N/A</v>
      </c>
      <c r="AE55" s="84" t="e">
        <f>VLOOKUP(+BP55,'Datos Biyemas'!A9:BB145,31,0)</f>
        <v>#N/A</v>
      </c>
      <c r="AF55" s="91" t="e">
        <f>VLOOKUP(+BP55,'Datos Biyemas'!A9:BB145,32,0)</f>
        <v>#N/A</v>
      </c>
      <c r="AG55" s="80" t="e">
        <f>VLOOKUP(+BP55,'Datos Biyemas'!A9:BB145,33,0)</f>
        <v>#N/A</v>
      </c>
      <c r="AH55" s="80" t="e">
        <f>VLOOKUP(+BP55,'Datos Biyemas'!A9:BB145,34,0)</f>
        <v>#N/A</v>
      </c>
      <c r="AI55" s="84" t="e">
        <f>VLOOKUP(+BP55,'Datos Biyemas'!A9:BB145,35,0)</f>
        <v>#N/A</v>
      </c>
      <c r="AJ55" s="87" t="e">
        <f>+AI55/C55</f>
        <v>#N/A</v>
      </c>
      <c r="AK55" s="137" t="e">
        <f>VLOOKUP(+BP55,'Datos Biyemas'!A9:BB145,37,0)</f>
        <v>#N/A</v>
      </c>
      <c r="AL55" s="81" t="e">
        <f>VLOOKUP(+BP55,'Datos Biyemas'!A9:BB145,38,0)</f>
        <v>#N/A</v>
      </c>
      <c r="AM55" s="143" t="e">
        <f>+AL55/C55</f>
        <v>#N/A</v>
      </c>
      <c r="AN55" s="245" t="e">
        <f>+AN54/Resumen!D1</f>
        <v>#N/A</v>
      </c>
      <c r="AO55" s="84" t="e">
        <f>VLOOKUP(+BP55,'Datos Biyemas'!A9:BF145,40,0)</f>
        <v>#N/A</v>
      </c>
      <c r="AP55" s="143" t="e">
        <f>+AO55/AN55</f>
        <v>#N/A</v>
      </c>
      <c r="AQ55" s="245"/>
      <c r="AR55" s="245"/>
      <c r="AS55" s="245"/>
      <c r="AT55" s="245"/>
      <c r="AU55" s="245"/>
      <c r="AV55" s="80" t="e">
        <f>VLOOKUP(+BP55,'Datos Biyemas'!A9:BF145,47,0)</f>
        <v>#N/A</v>
      </c>
      <c r="AW55" s="82" t="e">
        <f>+AV55/C55</f>
        <v>#N/A</v>
      </c>
      <c r="BB55" s="61" t="s">
        <v>48</v>
      </c>
      <c r="BC55" s="61"/>
      <c r="BD55" s="61"/>
      <c r="BE55" s="62" t="e">
        <f>+AV55</f>
        <v>#N/A</v>
      </c>
      <c r="BF55" s="62" t="e">
        <f>+AD55</f>
        <v>#N/A</v>
      </c>
      <c r="BG55" s="62" t="e">
        <f>+AI55</f>
        <v>#N/A</v>
      </c>
      <c r="BH55" s="62" t="e">
        <f>+AL55</f>
        <v>#N/A</v>
      </c>
      <c r="BI55" s="62" t="e">
        <f>+AO55</f>
        <v>#N/A</v>
      </c>
      <c r="BJ55" s="62" t="e">
        <f>+BE55</f>
        <v>#N/A</v>
      </c>
      <c r="BK55" s="62" t="e">
        <f t="shared" ref="BK55:BM55" si="39">+BF55</f>
        <v>#N/A</v>
      </c>
      <c r="BL55" s="62" t="e">
        <f t="shared" si="39"/>
        <v>#N/A</v>
      </c>
      <c r="BM55" s="62" t="e">
        <f t="shared" si="39"/>
        <v>#N/A</v>
      </c>
      <c r="BN55" s="62" t="e">
        <f>+BI55</f>
        <v>#N/A</v>
      </c>
      <c r="BP55" s="39" t="s">
        <v>109</v>
      </c>
    </row>
    <row r="56" spans="1:68" ht="12" thickBot="1" x14ac:dyDescent="0.25">
      <c r="C56" s="32"/>
      <c r="D56" s="32"/>
      <c r="E56" s="32"/>
      <c r="F56" s="32"/>
      <c r="G56" s="32"/>
      <c r="H56" s="56"/>
      <c r="I56" s="33"/>
      <c r="J56" s="34"/>
      <c r="K56" s="57"/>
      <c r="L56" s="32"/>
      <c r="M56" s="32"/>
      <c r="N56" s="32"/>
      <c r="O56" s="32"/>
      <c r="P56" s="56"/>
      <c r="Q56" s="56"/>
      <c r="R56" s="34"/>
      <c r="S56" s="32"/>
      <c r="T56" s="32"/>
      <c r="U56" s="32"/>
      <c r="V56" s="32"/>
      <c r="W56" s="32"/>
      <c r="X56" s="32"/>
      <c r="Y56" s="32"/>
      <c r="Z56" s="57"/>
      <c r="AA56" s="57"/>
      <c r="AB56" s="57"/>
      <c r="AC56" s="57"/>
      <c r="AD56" s="32"/>
      <c r="AE56" s="32"/>
      <c r="AF56" s="32"/>
      <c r="AG56" s="32"/>
      <c r="AH56" s="32"/>
      <c r="AI56" s="32"/>
      <c r="AJ56" s="34"/>
      <c r="AK56" s="32"/>
      <c r="AL56" s="32"/>
      <c r="AM56" s="58"/>
      <c r="AN56" s="58"/>
      <c r="AO56" s="32"/>
      <c r="AP56" s="58"/>
      <c r="AQ56" s="58"/>
      <c r="AR56" s="58"/>
      <c r="AS56" s="58"/>
      <c r="AT56" s="58"/>
      <c r="AU56" s="58"/>
      <c r="AV56" s="59"/>
      <c r="AW56" s="34"/>
      <c r="AX56" s="34"/>
      <c r="AY56" s="34"/>
      <c r="BB56" s="60" t="s">
        <v>49</v>
      </c>
      <c r="BC56" s="60"/>
      <c r="BD56" s="60"/>
      <c r="BE56" s="64" t="e">
        <f>VLOOKUP(+BP56,'Datos Biyemas'!AY4:BG171,4,0)</f>
        <v>#N/A</v>
      </c>
      <c r="BF56" s="64" t="e">
        <f>VLOOKUP(+BP56,'Datos Biyemas'!AY4:BG171,5,0)</f>
        <v>#N/A</v>
      </c>
      <c r="BG56" s="64" t="e">
        <f>VLOOKUP(+BP56,'Datos Biyemas'!AY4:BG171,6,0)</f>
        <v>#N/A</v>
      </c>
      <c r="BH56" s="64" t="e">
        <f>VLOOKUP(+BP56,'Datos Biyemas'!AY4:BG171,7,0)</f>
        <v>#N/A</v>
      </c>
      <c r="BI56" s="64" t="e">
        <f>VLOOKUP(+BP56,'Datos Biyemas'!AY4:BG171,8,0)</f>
        <v>#N/A</v>
      </c>
      <c r="BJ56" s="64" t="e">
        <f>VLOOKUP(+BP56,'Datos Biyemas'!AY4:BG171,9,0)</f>
        <v>#N/A</v>
      </c>
      <c r="BK56" s="64" t="e">
        <f>VLOOKUP(+BP56,'Datos Biyemas'!AY4:BH171,10,0)</f>
        <v>#N/A</v>
      </c>
      <c r="BL56" s="64" t="e">
        <f>VLOOKUP(+BP56,'Datos Biyemas'!AY4:BG171,11,0)</f>
        <v>#N/A</v>
      </c>
      <c r="BM56" s="64" t="e">
        <f>VLOOKUP(+BP56,'Datos Biyemas'!AY4:BG171,12,0)</f>
        <v>#N/A</v>
      </c>
      <c r="BN56" s="64" t="e">
        <f>VLOOKUP(+BP56,'Datos Biyemas'!AY4:BG171,13,0)</f>
        <v>#N/A</v>
      </c>
      <c r="BP56" s="39" t="s">
        <v>117</v>
      </c>
    </row>
    <row r="57" spans="1:68" ht="12.75" thickTop="1" thickBot="1" x14ac:dyDescent="0.25">
      <c r="A57" s="66" t="s">
        <v>82</v>
      </c>
      <c r="B57" s="67"/>
      <c r="C57" s="68" t="e">
        <f>(+C40-C55)/C55</f>
        <v>#N/A</v>
      </c>
      <c r="D57" s="66"/>
      <c r="E57" s="68" t="e">
        <f>(+E40-E55)/E55</f>
        <v>#N/A</v>
      </c>
      <c r="F57" s="68" t="e">
        <f>(+F40-F55)/F55</f>
        <v>#N/A</v>
      </c>
      <c r="G57" s="68" t="e">
        <f>(+G40-G55)/G55</f>
        <v>#N/A</v>
      </c>
      <c r="H57" s="67"/>
      <c r="I57" s="67"/>
      <c r="J57" s="67"/>
      <c r="K57" s="69" t="e">
        <f>(+K40-K55)/K55</f>
        <v>#N/A</v>
      </c>
      <c r="L57" s="67"/>
      <c r="M57" s="68" t="e">
        <f>(+M40-M55)/M55</f>
        <v>#N/A</v>
      </c>
      <c r="N57" s="68" t="e">
        <f>(+N40-N55)/N55</f>
        <v>#N/A</v>
      </c>
      <c r="O57" s="68" t="e">
        <f>(+O40-O55)/O55</f>
        <v>#N/A</v>
      </c>
      <c r="P57" s="67"/>
      <c r="Q57" s="67"/>
      <c r="R57" s="67"/>
      <c r="S57" s="69" t="e">
        <f>(+S40-S55)/S55</f>
        <v>#N/A</v>
      </c>
      <c r="T57" s="69" t="e">
        <f>(+T40-T55)/T55</f>
        <v>#DIV/0!</v>
      </c>
      <c r="U57" s="69" t="e">
        <f>(+U40-U55)/U55</f>
        <v>#DIV/0!</v>
      </c>
      <c r="V57" s="66"/>
      <c r="W57" s="68" t="e">
        <f>(+W40-W55)/W55</f>
        <v>#N/A</v>
      </c>
      <c r="X57" s="68" t="e">
        <f>(+X40-X55)/X55</f>
        <v>#N/A</v>
      </c>
      <c r="Y57" s="68" t="e">
        <f>(+Y40-Y55)/Y55</f>
        <v>#N/A</v>
      </c>
      <c r="Z57" s="68"/>
      <c r="AA57" s="68"/>
      <c r="AB57" s="68"/>
      <c r="AC57" s="68"/>
      <c r="AD57" s="139" t="e">
        <f t="shared" ref="AD57:AI57" si="40">(+AD40-AD55)/AD55</f>
        <v>#N/A</v>
      </c>
      <c r="AE57" s="68" t="e">
        <f t="shared" si="40"/>
        <v>#N/A</v>
      </c>
      <c r="AF57" s="69" t="e">
        <f t="shared" si="40"/>
        <v>#N/A</v>
      </c>
      <c r="AG57" s="68" t="e">
        <f t="shared" si="40"/>
        <v>#N/A</v>
      </c>
      <c r="AH57" s="68" t="e">
        <f t="shared" si="40"/>
        <v>#N/A</v>
      </c>
      <c r="AI57" s="68" t="e">
        <f t="shared" si="40"/>
        <v>#N/A</v>
      </c>
      <c r="AJ57" s="67"/>
      <c r="AK57" s="70" t="e">
        <f>(+AK40-AK55)/AK55</f>
        <v>#N/A</v>
      </c>
      <c r="AL57" s="68" t="e">
        <f>(+AL40-AL55)/AL55</f>
        <v>#N/A</v>
      </c>
      <c r="AM57" s="69"/>
      <c r="AN57" s="68" t="e">
        <f>(+AN40-AN55)/AN55</f>
        <v>#DIV/0!</v>
      </c>
      <c r="AO57" s="68" t="e">
        <f>(+AO40-AO55)/AO55</f>
        <v>#N/A</v>
      </c>
      <c r="AP57" s="69"/>
      <c r="AQ57" s="68"/>
      <c r="AR57" s="68"/>
      <c r="AS57" s="68"/>
      <c r="AT57" s="68"/>
      <c r="AU57" s="68"/>
      <c r="AV57" s="68" t="e">
        <f>(+AV40-AV55)/AV55</f>
        <v>#N/A</v>
      </c>
      <c r="AW57" s="71"/>
      <c r="BE57" s="3"/>
      <c r="BF57" s="3"/>
      <c r="BG57" s="3"/>
      <c r="BH57" s="3"/>
      <c r="BI57" s="3"/>
      <c r="BJ57" s="3"/>
      <c r="BK57" s="3"/>
      <c r="BL57" s="3"/>
    </row>
    <row r="58" spans="1:68" ht="12" thickBot="1" x14ac:dyDescent="0.25">
      <c r="A58" s="72" t="s">
        <v>83</v>
      </c>
      <c r="B58" s="73"/>
      <c r="C58" s="73"/>
      <c r="D58" s="72"/>
      <c r="E58" s="74" t="e">
        <f>+E40-E55</f>
        <v>#N/A</v>
      </c>
      <c r="F58" s="74" t="e">
        <f>+F40-F55</f>
        <v>#N/A</v>
      </c>
      <c r="G58" s="74" t="e">
        <f>+G40-G55</f>
        <v>#N/A</v>
      </c>
      <c r="H58" s="73"/>
      <c r="I58" s="73"/>
      <c r="J58" s="73"/>
      <c r="K58" s="75" t="e">
        <f>+K40-K55</f>
        <v>#N/A</v>
      </c>
      <c r="L58" s="73"/>
      <c r="M58" s="74" t="e">
        <f>+M40-M55</f>
        <v>#N/A</v>
      </c>
      <c r="N58" s="74" t="e">
        <f>+N40-N55</f>
        <v>#N/A</v>
      </c>
      <c r="O58" s="74" t="e">
        <f>+O40-O55</f>
        <v>#N/A</v>
      </c>
      <c r="P58" s="73"/>
      <c r="Q58" s="73"/>
      <c r="R58" s="73"/>
      <c r="S58" s="75" t="e">
        <f>+S40-S55</f>
        <v>#N/A</v>
      </c>
      <c r="T58" s="75" t="e">
        <f>+T40-T55</f>
        <v>#DIV/0!</v>
      </c>
      <c r="U58" s="75" t="e">
        <f>+U40-U55</f>
        <v>#DIV/0!</v>
      </c>
      <c r="V58" s="72"/>
      <c r="W58" s="74" t="e">
        <f>+W40-W55</f>
        <v>#N/A</v>
      </c>
      <c r="X58" s="74" t="e">
        <f>+X40-X55</f>
        <v>#N/A</v>
      </c>
      <c r="Y58" s="74" t="e">
        <f>+Y40-Y55</f>
        <v>#N/A</v>
      </c>
      <c r="Z58" s="74"/>
      <c r="AA58" s="74"/>
      <c r="AB58" s="74"/>
      <c r="AC58" s="74"/>
      <c r="AD58" s="140" t="e">
        <f t="shared" ref="AD58:AI58" si="41">+AD40-AD55</f>
        <v>#N/A</v>
      </c>
      <c r="AE58" s="74" t="e">
        <f t="shared" si="41"/>
        <v>#N/A</v>
      </c>
      <c r="AF58" s="75" t="e">
        <f t="shared" si="41"/>
        <v>#N/A</v>
      </c>
      <c r="AG58" s="74" t="e">
        <f t="shared" si="41"/>
        <v>#N/A</v>
      </c>
      <c r="AH58" s="74" t="e">
        <f t="shared" si="41"/>
        <v>#N/A</v>
      </c>
      <c r="AI58" s="74" t="e">
        <f t="shared" si="41"/>
        <v>#N/A</v>
      </c>
      <c r="AJ58" s="73"/>
      <c r="AK58" s="76" t="e">
        <f>+AK40-AK55</f>
        <v>#N/A</v>
      </c>
      <c r="AL58" s="74" t="e">
        <f>+AL40-AL55</f>
        <v>#N/A</v>
      </c>
      <c r="AM58" s="77"/>
      <c r="AN58" s="74" t="e">
        <f>+AN40-AN55</f>
        <v>#DIV/0!</v>
      </c>
      <c r="AO58" s="74" t="e">
        <f>+AO40-AO55</f>
        <v>#N/A</v>
      </c>
      <c r="AP58" s="77"/>
      <c r="AQ58" s="73"/>
      <c r="AR58" s="73"/>
      <c r="AS58" s="73"/>
      <c r="AT58" s="73"/>
      <c r="AU58" s="73"/>
      <c r="AV58" s="74" t="e">
        <f>+AV40-AV55</f>
        <v>#N/A</v>
      </c>
      <c r="AW58" s="77"/>
      <c r="BK58" s="114"/>
    </row>
    <row r="59" spans="1:68" x14ac:dyDescent="0.2">
      <c r="BJ59" s="232"/>
    </row>
    <row r="60" spans="1:68" x14ac:dyDescent="0.2">
      <c r="BJ60" s="114"/>
      <c r="BK60" s="233"/>
    </row>
  </sheetData>
  <mergeCells count="23">
    <mergeCell ref="D4:K4"/>
    <mergeCell ref="L4:S4"/>
    <mergeCell ref="D5:K5"/>
    <mergeCell ref="V5:AC5"/>
    <mergeCell ref="BE5:BE6"/>
    <mergeCell ref="AL4:AM4"/>
    <mergeCell ref="V4:AC4"/>
    <mergeCell ref="AG4:AJ4"/>
    <mergeCell ref="BA5:BA6"/>
    <mergeCell ref="BB5:BB6"/>
    <mergeCell ref="BA4:BB4"/>
    <mergeCell ref="AY4:AZ4"/>
    <mergeCell ref="AN4:AP4"/>
    <mergeCell ref="BC4:BD4"/>
    <mergeCell ref="BC5:BC6"/>
    <mergeCell ref="BD5:BD6"/>
    <mergeCell ref="AQ4:AU4"/>
    <mergeCell ref="BH5:BH6"/>
    <mergeCell ref="BG5:BG6"/>
    <mergeCell ref="BJ4:BN4"/>
    <mergeCell ref="BI5:BI6"/>
    <mergeCell ref="BE4:BI4"/>
    <mergeCell ref="BF5:BF6"/>
  </mergeCells>
  <phoneticPr fontId="0" type="noConversion"/>
  <printOptions horizontalCentered="1"/>
  <pageMargins left="7.874015748031496E-2" right="0.11811023622047245" top="0.39370078740157483" bottom="0.98425196850393704" header="0" footer="0"/>
  <pageSetup paperSize="5" scale="72" orientation="landscape" r:id="rId1"/>
  <headerFooter alignWithMargins="0"/>
  <ignoredErrors>
    <ignoredError sqref="BB3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60"/>
  <sheetViews>
    <sheetView showGridLines="0" showZeros="0" workbookViewId="0">
      <pane xSplit="3" ySplit="6" topLeftCell="D7" activePane="bottomRight" state="frozen"/>
      <selection activeCell="AU7" sqref="AU7"/>
      <selection pane="topRight" activeCell="AU7" sqref="AU7"/>
      <selection pane="bottomLeft" activeCell="AU7" sqref="AU7"/>
      <selection pane="bottomRight" activeCell="B22" sqref="B22"/>
    </sheetView>
  </sheetViews>
  <sheetFormatPr defaultColWidth="11.42578125" defaultRowHeight="11.25" x14ac:dyDescent="0.2"/>
  <cols>
    <col min="1" max="1" width="11.88671875" style="39" customWidth="1"/>
    <col min="2" max="2" width="9.6640625" style="39" bestFit="1" customWidth="1"/>
    <col min="3" max="3" width="9.109375" style="39" customWidth="1"/>
    <col min="4" max="4" width="5.33203125" style="39" customWidth="1"/>
    <col min="5" max="5" width="10.88671875" style="39" bestFit="1" customWidth="1"/>
    <col min="6" max="6" width="10.109375" style="39" customWidth="1"/>
    <col min="7" max="7" width="10" style="39" customWidth="1"/>
    <col min="8" max="8" width="7.109375" style="39" customWidth="1"/>
    <col min="9" max="9" width="6.33203125" style="39" customWidth="1"/>
    <col min="10" max="10" width="6.5546875" style="39" bestFit="1" customWidth="1"/>
    <col min="11" max="11" width="8" style="39" bestFit="1" customWidth="1"/>
    <col min="12" max="12" width="6.33203125" style="39" customWidth="1"/>
    <col min="13" max="13" width="11.33203125" style="39" bestFit="1" customWidth="1"/>
    <col min="14" max="14" width="10.109375" style="39" bestFit="1" customWidth="1"/>
    <col min="15" max="15" width="10" style="39" bestFit="1" customWidth="1"/>
    <col min="16" max="16" width="7.44140625" style="39" bestFit="1" customWidth="1"/>
    <col min="17" max="17" width="6.5546875" style="39" customWidth="1"/>
    <col min="18" max="18" width="7.44140625" style="39" bestFit="1" customWidth="1"/>
    <col min="19" max="19" width="8" style="39" customWidth="1"/>
    <col min="20" max="20" width="10.44140625" style="39" bestFit="1" customWidth="1"/>
    <col min="21" max="21" width="10.44140625" style="39" customWidth="1"/>
    <col min="22" max="22" width="6.5546875" style="39" hidden="1" customWidth="1"/>
    <col min="23" max="23" width="11.109375" style="39" hidden="1" customWidth="1"/>
    <col min="24" max="25" width="10.109375" style="39" hidden="1" customWidth="1"/>
    <col min="26" max="26" width="8.88671875" style="39" hidden="1" customWidth="1"/>
    <col min="27" max="29" width="6.5546875" style="39" hidden="1" customWidth="1"/>
    <col min="30" max="32" width="10.6640625" style="39" customWidth="1"/>
    <col min="33" max="35" width="9.109375" style="39" customWidth="1"/>
    <col min="36" max="36" width="6.33203125" style="39" customWidth="1"/>
    <col min="37" max="37" width="10.44140625" style="39" bestFit="1" customWidth="1"/>
    <col min="38" max="42" width="9.44140625" style="39" customWidth="1"/>
    <col min="43" max="43" width="11.109375" style="39" bestFit="1" customWidth="1"/>
    <col min="44" max="44" width="10.88671875" style="39" bestFit="1" customWidth="1"/>
    <col min="45" max="45" width="10" style="39" bestFit="1" customWidth="1"/>
    <col min="46" max="46" width="10.5546875" style="39" bestFit="1" customWidth="1"/>
    <col min="47" max="47" width="10" style="39" bestFit="1" customWidth="1"/>
    <col min="48" max="48" width="12.5546875" style="39" bestFit="1" customWidth="1"/>
    <col min="49" max="49" width="7.33203125" style="39" customWidth="1"/>
    <col min="50" max="50" width="4.5546875" style="39" customWidth="1"/>
    <col min="51" max="56" width="8.6640625" style="39" customWidth="1"/>
    <col min="57" max="57" width="11.5546875" style="39" customWidth="1"/>
    <col min="58" max="58" width="10" style="39" bestFit="1" customWidth="1"/>
    <col min="59" max="61" width="9.44140625" style="39" customWidth="1"/>
    <col min="62" max="62" width="11.5546875" style="39" customWidth="1"/>
    <col min="63" max="63" width="10" style="39" bestFit="1" customWidth="1"/>
    <col min="64" max="66" width="9.44140625" style="39" customWidth="1"/>
    <col min="67" max="67" width="11.44140625" style="39"/>
    <col min="68" max="76" width="11.44140625" style="39" hidden="1" customWidth="1"/>
    <col min="77" max="77" width="11.44140625" style="39" customWidth="1"/>
    <col min="78" max="78" width="11.33203125" style="39" customWidth="1"/>
    <col min="79" max="79" width="11.44140625" style="39" customWidth="1"/>
    <col min="80" max="16384" width="11.44140625" style="39"/>
  </cols>
  <sheetData>
    <row r="1" spans="1:68" x14ac:dyDescent="0.2">
      <c r="A1" s="2" t="s">
        <v>33</v>
      </c>
      <c r="C1" s="191" t="s">
        <v>115</v>
      </c>
      <c r="D1" s="146">
        <f>COUNT(C7:C37)</f>
        <v>0</v>
      </c>
      <c r="F1" s="189"/>
      <c r="X1" s="57"/>
    </row>
    <row r="2" spans="1:68" ht="10.5" customHeight="1" x14ac:dyDescent="0.2">
      <c r="A2" s="2"/>
      <c r="E2" s="61"/>
      <c r="N2" s="32"/>
      <c r="W2" s="61"/>
      <c r="X2" s="32"/>
      <c r="Y2" s="32"/>
      <c r="BE2" s="104"/>
      <c r="BF2" s="104"/>
      <c r="BG2" s="104"/>
      <c r="BH2" s="104"/>
      <c r="BI2" s="104"/>
    </row>
    <row r="3" spans="1:68" ht="12" customHeight="1" thickBot="1" x14ac:dyDescent="0.25">
      <c r="A3" s="234" t="str">
        <f>+'Biyemas S.A.'!A3</f>
        <v>Reporte Flash Agosto 26</v>
      </c>
      <c r="B3" s="235"/>
      <c r="C3" s="235"/>
      <c r="D3" s="236"/>
      <c r="E3" s="144"/>
      <c r="F3" s="144"/>
      <c r="G3" s="144"/>
      <c r="H3" s="144"/>
      <c r="I3" s="144"/>
      <c r="J3" s="144"/>
      <c r="K3" s="144"/>
    </row>
    <row r="4" spans="1:68" ht="14.25" customHeight="1" thickBot="1" x14ac:dyDescent="0.25">
      <c r="A4" s="17" t="s">
        <v>1</v>
      </c>
      <c r="B4" s="44" t="s">
        <v>2</v>
      </c>
      <c r="C4" s="53" t="s">
        <v>2</v>
      </c>
      <c r="D4" s="299" t="s">
        <v>16</v>
      </c>
      <c r="E4" s="300"/>
      <c r="F4" s="300"/>
      <c r="G4" s="300"/>
      <c r="H4" s="300"/>
      <c r="I4" s="300"/>
      <c r="J4" s="300"/>
      <c r="K4" s="301"/>
      <c r="L4" s="286" t="s">
        <v>114</v>
      </c>
      <c r="M4" s="302"/>
      <c r="N4" s="302"/>
      <c r="O4" s="302"/>
      <c r="P4" s="302"/>
      <c r="Q4" s="302"/>
      <c r="R4" s="302"/>
      <c r="S4" s="303"/>
      <c r="T4" s="18" t="s">
        <v>21</v>
      </c>
      <c r="U4" s="18" t="s">
        <v>39</v>
      </c>
      <c r="V4" s="299" t="s">
        <v>86</v>
      </c>
      <c r="W4" s="300"/>
      <c r="X4" s="300"/>
      <c r="Y4" s="300"/>
      <c r="Z4" s="300"/>
      <c r="AA4" s="300"/>
      <c r="AB4" s="300"/>
      <c r="AC4" s="301"/>
      <c r="AD4" s="147" t="s">
        <v>94</v>
      </c>
      <c r="AE4" s="148" t="s">
        <v>21</v>
      </c>
      <c r="AF4" s="269"/>
      <c r="AG4" s="286" t="s">
        <v>18</v>
      </c>
      <c r="AH4" s="302"/>
      <c r="AI4" s="302"/>
      <c r="AJ4" s="303"/>
      <c r="AK4" s="2"/>
      <c r="AL4" s="286" t="s">
        <v>85</v>
      </c>
      <c r="AM4" s="303"/>
      <c r="AN4" s="286" t="s">
        <v>121</v>
      </c>
      <c r="AO4" s="302"/>
      <c r="AP4" s="303"/>
      <c r="AQ4" s="286" t="s">
        <v>131</v>
      </c>
      <c r="AR4" s="287"/>
      <c r="AS4" s="287"/>
      <c r="AT4" s="287"/>
      <c r="AU4" s="288"/>
      <c r="AV4" s="2"/>
      <c r="AW4" s="2"/>
      <c r="AY4" s="316" t="s">
        <v>41</v>
      </c>
      <c r="AZ4" s="315"/>
      <c r="BA4" s="314" t="s">
        <v>47</v>
      </c>
      <c r="BB4" s="315"/>
      <c r="BC4" s="316" t="s">
        <v>123</v>
      </c>
      <c r="BD4" s="315"/>
      <c r="BE4" s="296" t="s">
        <v>110</v>
      </c>
      <c r="BF4" s="297"/>
      <c r="BG4" s="297"/>
      <c r="BH4" s="297"/>
      <c r="BI4" s="298"/>
      <c r="BJ4" s="328" t="s">
        <v>81</v>
      </c>
      <c r="BK4" s="329"/>
      <c r="BL4" s="329"/>
      <c r="BM4" s="330"/>
      <c r="BN4" s="268"/>
    </row>
    <row r="5" spans="1:68" ht="14.25" customHeight="1" x14ac:dyDescent="0.2">
      <c r="A5" s="20" t="s">
        <v>1</v>
      </c>
      <c r="B5" s="21" t="s">
        <v>2</v>
      </c>
      <c r="C5" s="54" t="s">
        <v>2</v>
      </c>
      <c r="D5" s="304" t="s">
        <v>113</v>
      </c>
      <c r="E5" s="305"/>
      <c r="F5" s="305"/>
      <c r="G5" s="305"/>
      <c r="H5" s="305"/>
      <c r="I5" s="305"/>
      <c r="J5" s="305"/>
      <c r="K5" s="306"/>
      <c r="L5" s="45"/>
      <c r="M5" s="46"/>
      <c r="N5" s="46"/>
      <c r="O5" s="146" t="s">
        <v>84</v>
      </c>
      <c r="P5" s="21" t="s">
        <v>31</v>
      </c>
      <c r="Q5" s="21" t="s">
        <v>31</v>
      </c>
      <c r="R5" s="21" t="s">
        <v>5</v>
      </c>
      <c r="S5" s="22" t="s">
        <v>5</v>
      </c>
      <c r="T5" s="165" t="s">
        <v>35</v>
      </c>
      <c r="U5" s="19" t="s">
        <v>37</v>
      </c>
      <c r="V5" s="307" t="s">
        <v>113</v>
      </c>
      <c r="W5" s="308"/>
      <c r="X5" s="308"/>
      <c r="Y5" s="308"/>
      <c r="Z5" s="308"/>
      <c r="AA5" s="308"/>
      <c r="AB5" s="308"/>
      <c r="AC5" s="309"/>
      <c r="AD5" s="152" t="s">
        <v>42</v>
      </c>
      <c r="AE5" s="153" t="s">
        <v>95</v>
      </c>
      <c r="AF5" s="270" t="s">
        <v>96</v>
      </c>
      <c r="AG5" s="20" t="s">
        <v>20</v>
      </c>
      <c r="AH5" s="21"/>
      <c r="AI5" s="21" t="s">
        <v>22</v>
      </c>
      <c r="AJ5" s="22"/>
      <c r="AK5" s="44" t="s">
        <v>6</v>
      </c>
      <c r="AL5" s="20" t="s">
        <v>3</v>
      </c>
      <c r="AM5" s="22"/>
      <c r="AN5" s="20"/>
      <c r="AO5" s="21"/>
      <c r="AP5" s="22"/>
      <c r="AQ5" s="20"/>
      <c r="AR5" s="21"/>
      <c r="AS5" s="21"/>
      <c r="AT5" s="21"/>
      <c r="AU5" s="22"/>
      <c r="AV5" s="44" t="s">
        <v>45</v>
      </c>
      <c r="AW5" s="105" t="s">
        <v>5</v>
      </c>
      <c r="AY5" s="217" t="s">
        <v>84</v>
      </c>
      <c r="AZ5" s="240" t="s">
        <v>40</v>
      </c>
      <c r="BA5" s="310" t="s">
        <v>50</v>
      </c>
      <c r="BB5" s="312" t="s">
        <v>46</v>
      </c>
      <c r="BC5" s="317" t="s">
        <v>50</v>
      </c>
      <c r="BD5" s="312" t="s">
        <v>46</v>
      </c>
      <c r="BE5" s="289" t="s">
        <v>39</v>
      </c>
      <c r="BF5" s="289" t="s">
        <v>42</v>
      </c>
      <c r="BG5" s="289" t="s">
        <v>43</v>
      </c>
      <c r="BH5" s="289" t="s">
        <v>44</v>
      </c>
      <c r="BI5" s="294" t="s">
        <v>122</v>
      </c>
      <c r="BJ5" s="218" t="s">
        <v>39</v>
      </c>
      <c r="BK5" s="219" t="s">
        <v>42</v>
      </c>
      <c r="BL5" s="220" t="s">
        <v>43</v>
      </c>
      <c r="BM5" s="221" t="s">
        <v>44</v>
      </c>
      <c r="BN5" s="264" t="s">
        <v>122</v>
      </c>
    </row>
    <row r="6" spans="1:68" ht="14.25" customHeight="1" thickBot="1" x14ac:dyDescent="0.25">
      <c r="A6" s="187" t="s">
        <v>7</v>
      </c>
      <c r="B6" s="23" t="s">
        <v>8</v>
      </c>
      <c r="C6" s="26" t="s">
        <v>28</v>
      </c>
      <c r="D6" s="24" t="s">
        <v>11</v>
      </c>
      <c r="E6" s="23" t="s">
        <v>17</v>
      </c>
      <c r="F6" s="23" t="s">
        <v>29</v>
      </c>
      <c r="G6" s="23" t="s">
        <v>10</v>
      </c>
      <c r="H6" s="23" t="s">
        <v>30</v>
      </c>
      <c r="I6" s="23" t="s">
        <v>29</v>
      </c>
      <c r="J6" s="23" t="s">
        <v>9</v>
      </c>
      <c r="K6" s="26" t="s">
        <v>12</v>
      </c>
      <c r="L6" s="24" t="s">
        <v>27</v>
      </c>
      <c r="M6" s="23" t="s">
        <v>17</v>
      </c>
      <c r="N6" s="23" t="s">
        <v>29</v>
      </c>
      <c r="O6" s="23" t="s">
        <v>21</v>
      </c>
      <c r="P6" s="23" t="s">
        <v>30</v>
      </c>
      <c r="Q6" s="23" t="s">
        <v>29</v>
      </c>
      <c r="R6" s="23" t="s">
        <v>9</v>
      </c>
      <c r="S6" s="26" t="s">
        <v>13</v>
      </c>
      <c r="T6" s="25" t="s">
        <v>36</v>
      </c>
      <c r="U6" s="25" t="s">
        <v>38</v>
      </c>
      <c r="V6" s="24" t="s">
        <v>11</v>
      </c>
      <c r="W6" s="23" t="s">
        <v>17</v>
      </c>
      <c r="X6" s="23" t="s">
        <v>29</v>
      </c>
      <c r="Y6" s="23" t="s">
        <v>10</v>
      </c>
      <c r="Z6" s="23" t="s">
        <v>30</v>
      </c>
      <c r="AA6" s="23" t="s">
        <v>29</v>
      </c>
      <c r="AB6" s="23" t="s">
        <v>9</v>
      </c>
      <c r="AC6" s="26" t="s">
        <v>12</v>
      </c>
      <c r="AD6" s="149" t="s">
        <v>21</v>
      </c>
      <c r="AE6" s="150" t="s">
        <v>21</v>
      </c>
      <c r="AF6" s="151"/>
      <c r="AG6" s="24" t="s">
        <v>19</v>
      </c>
      <c r="AH6" s="23" t="s">
        <v>24</v>
      </c>
      <c r="AI6" s="23" t="s">
        <v>23</v>
      </c>
      <c r="AJ6" s="26" t="s">
        <v>9</v>
      </c>
      <c r="AK6" s="23" t="s">
        <v>14</v>
      </c>
      <c r="AL6" s="24" t="s">
        <v>24</v>
      </c>
      <c r="AM6" s="26" t="s">
        <v>9</v>
      </c>
      <c r="AN6" s="20" t="s">
        <v>123</v>
      </c>
      <c r="AO6" s="21" t="s">
        <v>24</v>
      </c>
      <c r="AP6" s="22" t="s">
        <v>124</v>
      </c>
      <c r="AQ6" s="24" t="s">
        <v>126</v>
      </c>
      <c r="AR6" s="23" t="s">
        <v>127</v>
      </c>
      <c r="AS6" s="23" t="s">
        <v>128</v>
      </c>
      <c r="AT6" s="23" t="s">
        <v>129</v>
      </c>
      <c r="AU6" s="26" t="s">
        <v>130</v>
      </c>
      <c r="AV6" s="23" t="s">
        <v>25</v>
      </c>
      <c r="AW6" s="26" t="s">
        <v>9</v>
      </c>
      <c r="AY6" s="182"/>
      <c r="AZ6" s="257">
        <f>+'Datos Kandiko'!AT8</f>
        <v>0</v>
      </c>
      <c r="BA6" s="311"/>
      <c r="BB6" s="313"/>
      <c r="BC6" s="311"/>
      <c r="BD6" s="313"/>
      <c r="BE6" s="290"/>
      <c r="BF6" s="290"/>
      <c r="BG6" s="290"/>
      <c r="BH6" s="290"/>
      <c r="BI6" s="295"/>
      <c r="BJ6" s="216">
        <f>+BK6+BL6+BM6+BN6</f>
        <v>0</v>
      </c>
      <c r="BK6" s="183">
        <f>+'Datos Kandiko'!BH8</f>
        <v>0</v>
      </c>
      <c r="BL6" s="183">
        <f>+'Datos Kandiko'!BD8</f>
        <v>0</v>
      </c>
      <c r="BM6" s="184">
        <f>+'Datos Kandiko'!BE8</f>
        <v>0</v>
      </c>
      <c r="BN6" s="265">
        <v>0</v>
      </c>
    </row>
    <row r="7" spans="1:68" ht="11.25" customHeight="1" x14ac:dyDescent="0.2">
      <c r="A7" s="201" t="str">
        <f>IF(BP7='Datos Kandiko'!A9,'Datos Kandiko'!A9,"")</f>
        <v/>
      </c>
      <c r="B7" s="202" t="str">
        <f>IF(BP7=A7,'Datos Kandiko'!B9,"")</f>
        <v/>
      </c>
      <c r="C7" s="203" t="str">
        <f>IF(BP7=A7,'Datos Kandiko'!C9,"")</f>
        <v/>
      </c>
      <c r="D7" s="111" t="str">
        <f>IF(BP7=A7,VLOOKUP(B7,'Datos Kandiko'!B9:BB46,3,0),"")</f>
        <v/>
      </c>
      <c r="E7" s="107" t="str">
        <f>IF(BP7=A7,VLOOKUP(B7,'Datos Kandiko'!B9:BB46,4,0),"")</f>
        <v/>
      </c>
      <c r="F7" s="107" t="str">
        <f>IF(BP7=A7,VLOOKUP(B7,'Datos Kandiko'!B9:BB46,5,0),"")</f>
        <v/>
      </c>
      <c r="G7" s="107" t="str">
        <f>IF(BP7=A7,VLOOKUP(B7,'Datos Kandiko'!B9:BB46,6,0),"")</f>
        <v/>
      </c>
      <c r="H7" s="108" t="str">
        <f t="shared" ref="H7:H37" si="0">IF(BP7=A7,IF(E7&gt;0,+G7/E7,0),"")</f>
        <v/>
      </c>
      <c r="I7" s="108" t="str">
        <f t="shared" ref="I7:I37" si="1">IF(A7="","",IF(F7&gt;0,+G7/F7,0))</f>
        <v/>
      </c>
      <c r="J7" s="109" t="str">
        <f t="shared" ref="J7:J37" si="2">IF(A7="","",IF(G7&gt;0,+G7/C7,0))</f>
        <v/>
      </c>
      <c r="K7" s="106" t="str">
        <f t="shared" ref="K7:K37" si="3">IF(A7="","",IF(G7&gt;0,+G7/D7,0))</f>
        <v/>
      </c>
      <c r="L7" s="111" t="str">
        <f>IF(A7="","",VLOOKUP(B7,'Datos Kandiko'!B9:BB46,11,0))</f>
        <v/>
      </c>
      <c r="M7" s="107" t="str">
        <f>IF(A7="","",VLOOKUP(B7,'Datos Kandiko'!B9:BB46,12,0))</f>
        <v/>
      </c>
      <c r="N7" s="107" t="str">
        <f>IF(A7="","",VLOOKUP(B7,'Datos Kandiko'!B9:BB46,13,0))</f>
        <v/>
      </c>
      <c r="O7" s="107" t="str">
        <f>IF(A7="","",VLOOKUP(B7,'Datos Kandiko'!B9:BB46,14,0))</f>
        <v/>
      </c>
      <c r="P7" s="108" t="str">
        <f>IF(A7="","",IF(M7&gt;0,+O7/M7,0))</f>
        <v/>
      </c>
      <c r="Q7" s="108" t="str">
        <f>IF(A7="","",IF(N7&gt;0,+O7/N7,0))</f>
        <v/>
      </c>
      <c r="R7" s="109" t="str">
        <f t="shared" ref="R7:R37" si="4">IF(A7="","",IF(C7&gt;0,+O7/C7,0))</f>
        <v/>
      </c>
      <c r="S7" s="106" t="str">
        <f t="shared" ref="S7:S37" si="5">IF(A7="","",IF(C7&gt;0,+O7/L7,0))</f>
        <v/>
      </c>
      <c r="T7" s="110" t="str">
        <f>IF(A7="","",IF(G7&gt;0,(G7+O7)/(D7+L7),0))</f>
        <v/>
      </c>
      <c r="U7" s="110" t="str">
        <f>IF(A7="","",IF(D7&gt;0,+L7+D7,0))</f>
        <v/>
      </c>
      <c r="V7" s="111" t="str">
        <f>IF(A7="","",VLOOKUP(B7,'Datos Kandiko'!B9:BB46,21,0))</f>
        <v/>
      </c>
      <c r="W7" s="107" t="str">
        <f>IF(A7="","",VLOOKUP(B7,'Datos Kandiko'!B9:BB46,22,0))</f>
        <v/>
      </c>
      <c r="X7" s="107" t="str">
        <f>IF(A7="","",VLOOKUP(B7,'Datos Kandiko'!B9:BB46,23,0))</f>
        <v/>
      </c>
      <c r="Y7" s="107" t="str">
        <f>IF(A7="","",VLOOKUP(B7,'Datos Kandiko'!B9:BB46,24,0))</f>
        <v/>
      </c>
      <c r="Z7" s="108" t="str">
        <f>IF(A7="","",IF(W7&gt;0,+Y7/W7,0))</f>
        <v/>
      </c>
      <c r="AA7" s="108" t="str">
        <f>IF(A7="","",IF(X7&gt;0,+Y7/X7,0))</f>
        <v/>
      </c>
      <c r="AB7" s="109" t="str">
        <f>IF(A7="","",IF(Y7&gt;0,+Y7/K7,0))</f>
        <v/>
      </c>
      <c r="AC7" s="106" t="str">
        <f>IF(A7="","",IF(Y7&gt;0,+Y7/V7,0))</f>
        <v/>
      </c>
      <c r="AD7" s="111" t="str">
        <f>IF(A7="","",+G7+O7+Y7)</f>
        <v/>
      </c>
      <c r="AE7" s="107" t="str">
        <f>IF(A7="","",VLOOKUP(B7,'Datos Kandiko'!B9:BB46,30,0))</f>
        <v/>
      </c>
      <c r="AF7" s="106" t="str">
        <f>IF(A7="","",+AD7-AE7)</f>
        <v/>
      </c>
      <c r="AG7" s="107" t="str">
        <f>IF(A7="","",VLOOKUP(B7,'Datos Kandiko'!B9:BB46,32,0))</f>
        <v/>
      </c>
      <c r="AH7" s="107" t="str">
        <f>IF(A7="","",VLOOKUP(B7,'Datos Kandiko'!B9:BB46,33,0))</f>
        <v/>
      </c>
      <c r="AI7" s="107" t="str">
        <f>IF(A7="","",VLOOKUP(B7,'Datos Kandiko'!B9:BB46,34,0))</f>
        <v/>
      </c>
      <c r="AJ7" s="109" t="str">
        <f>IF(A7="","",IF(AI7&gt;0,+AI7/C7,0))</f>
        <v/>
      </c>
      <c r="AK7" s="110" t="str">
        <f>IF(A7="","",+G7+O7+AI7+Y7)</f>
        <v/>
      </c>
      <c r="AL7" s="111" t="str">
        <f>IF(A7="","",VLOOKUP(B7,'Datos Kandiko'!B9:BB46,37,0))</f>
        <v/>
      </c>
      <c r="AM7" s="244" t="str">
        <f>IF(A7="","",IF(AL7&gt;0,+AL7/C7,0))</f>
        <v/>
      </c>
      <c r="AN7" s="261" t="str">
        <f>IF(BP7=A7,'Datos Kandiko'!BL9,"")</f>
        <v/>
      </c>
      <c r="AO7" s="32" t="str">
        <f>IF(A7="","",VLOOKUP(B7,'Datos Kandiko'!B9:BF46,39,0))</f>
        <v/>
      </c>
      <c r="AP7" s="112" t="str">
        <f>IF(A7="","",IF(AN7&gt;0,+AO7/AN7,0))</f>
        <v/>
      </c>
      <c r="AQ7" s="32" t="str">
        <f>IF(A7="","",VLOOKUP(B7,'Datos Kandiko'!B9:BH46,41,0))</f>
        <v/>
      </c>
      <c r="AR7" s="32" t="str">
        <f>IF(A7="","",VLOOKUP(B7,'Datos Kandiko'!B9:BI46,42,0))</f>
        <v/>
      </c>
      <c r="AS7" s="32" t="str">
        <f>IF(A7="","",VLOOKUP(B7,'Datos Kandiko'!B9:BJ46,43,0))</f>
        <v/>
      </c>
      <c r="AT7" s="32" t="str">
        <f>IF(A7="","",VLOOKUP(B7,'Datos Kandiko'!B9:BK46,44,0))</f>
        <v/>
      </c>
      <c r="AU7" s="244"/>
      <c r="AV7" s="111" t="str">
        <f>IF(A7="","",+AD7+AI7+AL7+AO7)</f>
        <v/>
      </c>
      <c r="AW7" s="209" t="str">
        <f>IF(A7="","",IF(AV7&gt;0,+AV7/C7,0))</f>
        <v/>
      </c>
      <c r="AY7" s="176" t="str">
        <f>IF(A7="","",+'Datos Kandiko'!AY9)</f>
        <v/>
      </c>
      <c r="AZ7" s="176" t="str">
        <f>IF(A7="","",IF($AZ$6&gt;0,+AY7-$AZ$6,))</f>
        <v/>
      </c>
      <c r="BA7" s="254" t="str">
        <f>IF(A7="","",VLOOKUP(B7,'Datos Kandiko'!B9:BF46,51,0))</f>
        <v/>
      </c>
      <c r="BB7" s="181" t="str">
        <f t="shared" ref="BB7:BB28" si="6">IF(A7="","",IF(BA7&gt;0,(C7-BA7)/BA7,100%))</f>
        <v/>
      </c>
      <c r="BC7" s="176" t="str">
        <f>IF(BP7=A7,'Datos Kandiko'!BL9,"")</f>
        <v/>
      </c>
      <c r="BD7" s="181" t="str">
        <f>IF(A7="","",IF(AN7=BC7,0,IF(BC7&gt;0,(AN7-BC7)/BC7,1)))</f>
        <v/>
      </c>
      <c r="BE7" s="29" t="str">
        <f>IF(A7="","",VLOOKUP(B7,'Datos Kandiko'!B9:BF46,53,0))</f>
        <v/>
      </c>
      <c r="BF7" s="28" t="str">
        <f>IF(A7="","",VLOOKUP(B7,'Datos Kandiko'!B9:BF46,54,0))</f>
        <v/>
      </c>
      <c r="BG7" s="28" t="str">
        <f>IF(A7="","",VLOOKUP(B7,'Datos Kandiko'!B9:BF46,55,0))</f>
        <v/>
      </c>
      <c r="BH7" s="28" t="str">
        <f>IF(A7="","",VLOOKUP(B7,'Datos Kandiko'!B9:BF46,51,0))</f>
        <v/>
      </c>
      <c r="BI7" s="28" t="str">
        <f>IF(A7="","",IF(VLOOKUP(B7,'Datos Kandiko'!B9:BF46,52,0)=0%,IF(AO7&gt;1,1,VLOOKUP(B7,'Datos Kandiko'!B9:BF46,52,0))))</f>
        <v/>
      </c>
      <c r="BJ7" s="210" t="str">
        <f>IF(A7="","",VLOOKUP(B7,'Datos Kandiko'!B9:BH46,58,0))</f>
        <v/>
      </c>
      <c r="BK7" s="177" t="str">
        <f>IF(A7="","",VLOOKUP(B7,'Datos Kandiko'!B9:BH46,59,0))</f>
        <v/>
      </c>
      <c r="BL7" s="178" t="str">
        <f>IF(A7="","",VLOOKUP(B7,'Datos Kandiko'!B9:BF46,55,0))</f>
        <v/>
      </c>
      <c r="BM7" s="179" t="str">
        <f>IF(A7="","",VLOOKUP(B7,'Datos Kandiko'!B9:BF46,56,0))</f>
        <v/>
      </c>
      <c r="BN7" s="266" t="str">
        <f>IF(A7="","",IF(VLOOKUP(B7,'Datos Kandiko'!B9:BF46,57,0)=0,IF(AO7&gt;1,1,VLOOKUP(B7,'Datos Kandiko'!B9:BF46,57,0))))</f>
        <v/>
      </c>
      <c r="BO7" s="59"/>
      <c r="BP7" s="190" t="str">
        <f>+'Biyemas S.A.'!BP7</f>
        <v xml:space="preserve">Sab/Sat    </v>
      </c>
    </row>
    <row r="8" spans="1:68" ht="11.25" customHeight="1" x14ac:dyDescent="0.2">
      <c r="A8" s="188" t="str">
        <f>IF(BP8='Datos Kandiko'!A10,'Datos Kandiko'!A10,"")</f>
        <v/>
      </c>
      <c r="B8" s="185" t="str">
        <f>IF(BP8=A8,'Datos Kandiko'!B10,"")</f>
        <v/>
      </c>
      <c r="C8" s="186" t="str">
        <f>IF(BP8=A8,'Datos Kandiko'!C10,"")</f>
        <v/>
      </c>
      <c r="D8" s="37" t="str">
        <f>IF(BP8=A8,VLOOKUP(B8,'Datos Kandiko'!B10:BB47,3,0),"")</f>
        <v/>
      </c>
      <c r="E8" s="32" t="str">
        <f>IF(BP8=A8,VLOOKUP(B8,'Datos Kandiko'!B10:BB47,4,0),"")</f>
        <v/>
      </c>
      <c r="F8" s="32" t="str">
        <f>IF(BP8=A8,VLOOKUP(B8,'Datos Kandiko'!B10:BB47,5,0),"")</f>
        <v/>
      </c>
      <c r="G8" s="32" t="str">
        <f>IF(BP8=A8,VLOOKUP(B8,'Datos Kandiko'!B10:BB47,6,0),"")</f>
        <v/>
      </c>
      <c r="H8" s="33" t="str">
        <f t="shared" si="0"/>
        <v/>
      </c>
      <c r="I8" s="33" t="str">
        <f t="shared" si="1"/>
        <v/>
      </c>
      <c r="J8" s="34" t="str">
        <f t="shared" si="2"/>
        <v/>
      </c>
      <c r="K8" s="31" t="str">
        <f t="shared" si="3"/>
        <v/>
      </c>
      <c r="L8" s="37" t="str">
        <f>IF(A8="","",VLOOKUP(B8,'Datos Kandiko'!B10:BB47,11,0))</f>
        <v/>
      </c>
      <c r="M8" s="32" t="str">
        <f>IF(A8="","",VLOOKUP(B8,'Datos Kandiko'!B10:BB47,12,0))</f>
        <v/>
      </c>
      <c r="N8" s="32" t="str">
        <f>IF(A8="","",VLOOKUP(B8,'Datos Kandiko'!B10:BB47,13,0))</f>
        <v/>
      </c>
      <c r="O8" s="32" t="str">
        <f>IF(A8="","",VLOOKUP(B8,'Datos Kandiko'!B10:BB47,14,0))</f>
        <v/>
      </c>
      <c r="P8" s="33" t="str">
        <f t="shared" ref="P8:P37" si="7">IF(A8="","",IF(M8&gt;0,+O8/M8,0))</f>
        <v/>
      </c>
      <c r="Q8" s="33" t="str">
        <f t="shared" ref="Q8:Q36" si="8">IF(A8="","",IF(N8&gt;0,+O8/N8,0))</f>
        <v/>
      </c>
      <c r="R8" s="34" t="str">
        <f t="shared" si="4"/>
        <v/>
      </c>
      <c r="S8" s="31" t="str">
        <f t="shared" si="5"/>
        <v/>
      </c>
      <c r="T8" s="35" t="str">
        <f t="shared" ref="T8:T37" si="9">IF(A8="","",IF(G8&gt;0,(G8+O8)/(D8+L8),0))</f>
        <v/>
      </c>
      <c r="U8" s="35" t="str">
        <f t="shared" ref="U8:U37" si="10">IF(A8="","",IF(D8&gt;0,+L8+D8,0))</f>
        <v/>
      </c>
      <c r="V8" s="37" t="str">
        <f>IF(A8="","",VLOOKUP(B8,'Datos Kandiko'!B10:BB47,21,0))</f>
        <v/>
      </c>
      <c r="W8" s="32" t="str">
        <f>IF(A8="","",VLOOKUP(B8,'Datos Kandiko'!B10:BB47,22,0))</f>
        <v/>
      </c>
      <c r="X8" s="32" t="str">
        <f>IF(A8="","",VLOOKUP(B8,'Datos Kandiko'!B10:BB47,23,0))</f>
        <v/>
      </c>
      <c r="Y8" s="32" t="str">
        <f>IF(A8="","",VLOOKUP(B8,'Datos Kandiko'!B10:BB47,24,0))</f>
        <v/>
      </c>
      <c r="Z8" s="33" t="str">
        <f t="shared" ref="Z8:Z37" si="11">IF(A8="","",IF(W8&gt;0,+Y8/W8,0))</f>
        <v/>
      </c>
      <c r="AA8" s="33" t="str">
        <f t="shared" ref="AA8:AA37" si="12">IF(A8="","",IF(X8&gt;0,+Y8/X8,0))</f>
        <v/>
      </c>
      <c r="AB8" s="34" t="str">
        <f t="shared" ref="AB8:AB37" si="13">IF(A8="","",IF(Y8&gt;0,+Y8/K8,0))</f>
        <v/>
      </c>
      <c r="AC8" s="31" t="str">
        <f t="shared" ref="AC8:AC37" si="14">IF(A8="","",IF(Y8&gt;0,+Y8/V8,0))</f>
        <v/>
      </c>
      <c r="AD8" s="37" t="str">
        <f t="shared" ref="AD8:AD37" si="15">IF(A8="","",+G8+O8+Y8)</f>
        <v/>
      </c>
      <c r="AE8" s="32" t="str">
        <f>IF(A8="","",VLOOKUP(B8,'Datos Kandiko'!B10:BB47,30,0))</f>
        <v/>
      </c>
      <c r="AF8" s="31" t="str">
        <f t="shared" ref="AF8:AF37" si="16">IF(A8="","",+AD8-AE8)</f>
        <v/>
      </c>
      <c r="AG8" s="32" t="str">
        <f>IF(A8="","",VLOOKUP(B8,'Datos Kandiko'!B10:BB47,32,0))</f>
        <v/>
      </c>
      <c r="AH8" s="32" t="str">
        <f>IF(A8="","",VLOOKUP(B8,'Datos Kandiko'!B10:BB47,33,0))</f>
        <v/>
      </c>
      <c r="AI8" s="32" t="str">
        <f>IF(A8="","",VLOOKUP(B8,'Datos Kandiko'!B10:BB47,34,0))</f>
        <v/>
      </c>
      <c r="AJ8" s="34" t="str">
        <f t="shared" ref="AJ8:AJ37" si="17">IF(A8="","",IF(AI8&gt;0,+AI8/C8,0))</f>
        <v/>
      </c>
      <c r="AK8" s="35" t="str">
        <f t="shared" ref="AK8:AK37" si="18">IF(A8="","",+G8+O8+AI8+Y8)</f>
        <v/>
      </c>
      <c r="AL8" s="37" t="str">
        <f>IF(A8="","",VLOOKUP(B8,'Datos Kandiko'!B10:BB47,37,0))</f>
        <v/>
      </c>
      <c r="AM8" s="58" t="str">
        <f t="shared" ref="AM8:AM37" si="19">IF(A8="","",IF(AL8&gt;0,+AL8/C8,0))</f>
        <v/>
      </c>
      <c r="AN8" s="262" t="str">
        <f>IF(BP8=A8,'Datos Kandiko'!BL10,"")</f>
        <v/>
      </c>
      <c r="AO8" s="32" t="str">
        <f>IF(A8="","",VLOOKUP(B8,'Datos Kandiko'!B10:BF47,39,0))</f>
        <v/>
      </c>
      <c r="AP8" s="36" t="str">
        <f>IF(A8="","",IF(AN8&gt;0,+AO8/AN8,0))</f>
        <v/>
      </c>
      <c r="AQ8" s="32" t="str">
        <f>IF(A8="","",VLOOKUP(B8,'Datos Kandiko'!B10:BH47,41,0))</f>
        <v/>
      </c>
      <c r="AR8" s="32" t="str">
        <f>IF(A8="","",VLOOKUP(B8,'Datos Kandiko'!B10:BI47,42,0))</f>
        <v/>
      </c>
      <c r="AS8" s="32" t="str">
        <f>IF(A8="","",VLOOKUP(B8,'Datos Kandiko'!B10:BJ47,43,0))</f>
        <v/>
      </c>
      <c r="AT8" s="32" t="str">
        <f>IF(A8="","",VLOOKUP(B8,'Datos Kandiko'!B10:BK47,44,0))</f>
        <v/>
      </c>
      <c r="AU8" s="58"/>
      <c r="AV8" s="37" t="str">
        <f>IF(A8="","",+AD8+AI8+AL8+AO8)</f>
        <v/>
      </c>
      <c r="AW8" s="38" t="str">
        <f t="shared" ref="AW8:AW37" si="20">IF(A8="","",IF(AV8&gt;0,+AV8/C8,0))</f>
        <v/>
      </c>
      <c r="AY8" s="180" t="str">
        <f>IF(A8="","",+'Datos Kandiko'!AY10)</f>
        <v/>
      </c>
      <c r="AZ8" s="180" t="str">
        <f t="shared" ref="AZ8:AZ38" si="21">IF(A8="","",IF($AZ$6&gt;0,+AY8-$AZ$6,))</f>
        <v/>
      </c>
      <c r="BA8" s="255" t="str">
        <f>IF(A8="","",VLOOKUP(B8,'Datos Kandiko'!B10:BF47,51,0))</f>
        <v/>
      </c>
      <c r="BB8" s="181" t="str">
        <f>IF(A8="","",IF(BA8&gt;0,(C8-BA8)/BA8,100%))</f>
        <v/>
      </c>
      <c r="BC8" s="180" t="str">
        <f>IF(BP8=A8,'Datos Kandiko'!BL10,"")</f>
        <v/>
      </c>
      <c r="BD8" s="181" t="str">
        <f t="shared" ref="BD8:BD37" si="22">IF(A8="","",IF(AN8=BC8,0,IF(BC8&gt;0,(AN8-BC8)/BC8,1)))</f>
        <v/>
      </c>
      <c r="BE8" s="29" t="str">
        <f>IF(A8="","",VLOOKUP(B8,'Datos Kandiko'!B10:BF47,53,0))</f>
        <v/>
      </c>
      <c r="BF8" s="28" t="str">
        <f>IF(A8="","",VLOOKUP(B8,'Datos Kandiko'!B10:BF47,54,0))</f>
        <v/>
      </c>
      <c r="BG8" s="28" t="str">
        <f>IF(A8="","",VLOOKUP(B8,'Datos Kandiko'!B10:BF47,55,0))</f>
        <v/>
      </c>
      <c r="BH8" s="28" t="str">
        <f>IF(A8="","",VLOOKUP(B8,'Datos Kandiko'!B10:BF47,51,0))</f>
        <v/>
      </c>
      <c r="BI8" s="28" t="str">
        <f>IF(A8="","",IF(VLOOKUP(B8,'Datos Kandiko'!B10:BF47,52,0)=0%,IF(AO8&gt;1,1,VLOOKUP(B8,'Datos Kandiko'!B10:BF47,52,0))))</f>
        <v/>
      </c>
      <c r="BJ8" s="211" t="str">
        <f>IF(A8="","",VLOOKUP(B8,'Datos Kandiko'!B10:BH47,58,0))</f>
        <v/>
      </c>
      <c r="BK8" s="27" t="str">
        <f>IF(A8="","",VLOOKUP(B8,'Datos Kandiko'!B10:BH47,59,0))</f>
        <v/>
      </c>
      <c r="BL8" s="29" t="str">
        <f>IF(A8="","",VLOOKUP(B8,'Datos Kandiko'!B10:BF47,55,0))</f>
        <v/>
      </c>
      <c r="BM8" s="181" t="str">
        <f>IF(A8="","",VLOOKUP(B8,'Datos Kandiko'!B10:BF47,56,0))</f>
        <v/>
      </c>
      <c r="BN8" s="266" t="str">
        <f>IF(A8="","",IF(VLOOKUP(B8,'Datos Kandiko'!B10:BF47,57,0)=0,IF(AO8&gt;1,1,VLOOKUP(B8,'Datos Kandiko'!B10:BF47,57,0))))</f>
        <v/>
      </c>
      <c r="BO8" s="59"/>
      <c r="BP8" s="190" t="str">
        <f>+'Biyemas S.A.'!BP8</f>
        <v xml:space="preserve">Dom/Sun    </v>
      </c>
    </row>
    <row r="9" spans="1:68" s="30" customFormat="1" ht="11.25" customHeight="1" x14ac:dyDescent="0.2">
      <c r="A9" s="188" t="str">
        <f>IF(BP9='Datos Kandiko'!A11,'Datos Kandiko'!A11,"")</f>
        <v/>
      </c>
      <c r="B9" s="185" t="str">
        <f>IF(BP9=A9,'Datos Kandiko'!B11,"")</f>
        <v/>
      </c>
      <c r="C9" s="186" t="str">
        <f>IF(BP9=A9,'Datos Kandiko'!C11,"")</f>
        <v/>
      </c>
      <c r="D9" s="37" t="str">
        <f>IF(BP9=A9,VLOOKUP(B9,'Datos Kandiko'!B11:BB48,3,0),"")</f>
        <v/>
      </c>
      <c r="E9" s="32" t="str">
        <f>IF(BP9=A9,VLOOKUP(B9,'Datos Kandiko'!B11:BB48,4,0),"")</f>
        <v/>
      </c>
      <c r="F9" s="32" t="str">
        <f>IF(BP9=A9,VLOOKUP(B9,'Datos Kandiko'!B11:BB48,5,0),"")</f>
        <v/>
      </c>
      <c r="G9" s="32" t="str">
        <f>IF(BP9=A9,VLOOKUP(B9,'Datos Kandiko'!B11:BB48,6,0),"")</f>
        <v/>
      </c>
      <c r="H9" s="33" t="str">
        <f t="shared" si="0"/>
        <v/>
      </c>
      <c r="I9" s="33" t="str">
        <f t="shared" si="1"/>
        <v/>
      </c>
      <c r="J9" s="34" t="str">
        <f t="shared" si="2"/>
        <v/>
      </c>
      <c r="K9" s="31" t="str">
        <f t="shared" si="3"/>
        <v/>
      </c>
      <c r="L9" s="37" t="str">
        <f>IF(A9="","",VLOOKUP(B9,'Datos Kandiko'!B11:BB48,11,0))</f>
        <v/>
      </c>
      <c r="M9" s="32" t="str">
        <f>IF(A9="","",VLOOKUP(B9,'Datos Kandiko'!B11:BB48,12,0))</f>
        <v/>
      </c>
      <c r="N9" s="32" t="str">
        <f>IF(A9="","",VLOOKUP(B9,'Datos Kandiko'!B11:BB48,13,0))</f>
        <v/>
      </c>
      <c r="O9" s="32" t="str">
        <f>IF(A9="","",VLOOKUP(B9,'Datos Kandiko'!B11:BB48,14,0))</f>
        <v/>
      </c>
      <c r="P9" s="33" t="str">
        <f t="shared" si="7"/>
        <v/>
      </c>
      <c r="Q9" s="33" t="str">
        <f t="shared" si="8"/>
        <v/>
      </c>
      <c r="R9" s="34" t="str">
        <f t="shared" si="4"/>
        <v/>
      </c>
      <c r="S9" s="31" t="str">
        <f t="shared" si="5"/>
        <v/>
      </c>
      <c r="T9" s="35" t="str">
        <f t="shared" si="9"/>
        <v/>
      </c>
      <c r="U9" s="35" t="str">
        <f t="shared" si="10"/>
        <v/>
      </c>
      <c r="V9" s="37" t="str">
        <f>IF(A9="","",VLOOKUP(B9,'Datos Kandiko'!B11:BB48,21,0))</f>
        <v/>
      </c>
      <c r="W9" s="32" t="str">
        <f>IF(A9="","",VLOOKUP(B9,'Datos Kandiko'!B11:BB48,22,0))</f>
        <v/>
      </c>
      <c r="X9" s="32" t="str">
        <f>IF(A9="","",VLOOKUP(B9,'Datos Kandiko'!B11:BB48,23,0))</f>
        <v/>
      </c>
      <c r="Y9" s="32" t="str">
        <f>IF(A9="","",VLOOKUP(B9,'Datos Kandiko'!B11:BB48,24,0))</f>
        <v/>
      </c>
      <c r="Z9" s="33" t="str">
        <f t="shared" si="11"/>
        <v/>
      </c>
      <c r="AA9" s="33" t="str">
        <f t="shared" si="12"/>
        <v/>
      </c>
      <c r="AB9" s="34" t="str">
        <f t="shared" si="13"/>
        <v/>
      </c>
      <c r="AC9" s="31" t="str">
        <f t="shared" si="14"/>
        <v/>
      </c>
      <c r="AD9" s="37" t="str">
        <f t="shared" si="15"/>
        <v/>
      </c>
      <c r="AE9" s="32" t="str">
        <f>IF(A9="","",VLOOKUP(B9,'Datos Kandiko'!B11:BB48,30,0))</f>
        <v/>
      </c>
      <c r="AF9" s="31" t="str">
        <f t="shared" si="16"/>
        <v/>
      </c>
      <c r="AG9" s="32" t="str">
        <f>IF(A9="","",VLOOKUP(B9,'Datos Kandiko'!B11:BB48,32,0))</f>
        <v/>
      </c>
      <c r="AH9" s="32" t="str">
        <f>IF(A9="","",VLOOKUP(B9,'Datos Kandiko'!B11:BB48,33,0))</f>
        <v/>
      </c>
      <c r="AI9" s="32" t="str">
        <f>IF(A9="","",VLOOKUP(B9,'Datos Kandiko'!B11:BB48,34,0))</f>
        <v/>
      </c>
      <c r="AJ9" s="34" t="str">
        <f t="shared" si="17"/>
        <v/>
      </c>
      <c r="AK9" s="35" t="str">
        <f t="shared" si="18"/>
        <v/>
      </c>
      <c r="AL9" s="37" t="str">
        <f>IF(A9="","",VLOOKUP(B9,'Datos Kandiko'!B11:BB48,37,0))</f>
        <v/>
      </c>
      <c r="AM9" s="58" t="str">
        <f t="shared" si="19"/>
        <v/>
      </c>
      <c r="AN9" s="262" t="str">
        <f>IF(BP9=A9,'Datos Kandiko'!BL11,"")</f>
        <v/>
      </c>
      <c r="AO9" s="32" t="str">
        <f>IF(A9="","",VLOOKUP(B9,'Datos Kandiko'!B11:BF48,39,0))</f>
        <v/>
      </c>
      <c r="AP9" s="36" t="str">
        <f t="shared" ref="AP9:AP37" si="23">IF(A9="","",IF(AN9&gt;0,+AO9/AN9,0))</f>
        <v/>
      </c>
      <c r="AQ9" s="32" t="str">
        <f>IF(A9="","",VLOOKUP(B9,'Datos Kandiko'!B11:BH48,41,0))</f>
        <v/>
      </c>
      <c r="AR9" s="32" t="str">
        <f>IF(A9="","",VLOOKUP(B9,'Datos Kandiko'!B11:BI48,42,0))</f>
        <v/>
      </c>
      <c r="AS9" s="32" t="str">
        <f>IF(A9="","",VLOOKUP(B9,'Datos Kandiko'!B11:BJ48,43,0))</f>
        <v/>
      </c>
      <c r="AT9" s="32" t="str">
        <f>IF(A9="","",VLOOKUP(B9,'Datos Kandiko'!B11:BK48,44,0))</f>
        <v/>
      </c>
      <c r="AU9" s="58"/>
      <c r="AV9" s="37" t="str">
        <f t="shared" ref="AV9:AV37" si="24">IF(A9="","",+AD9+AI9+AL9+AO9)</f>
        <v/>
      </c>
      <c r="AW9" s="38" t="str">
        <f>IF(A9="","",IF(AV9&gt;0,+AV9/C9,0))</f>
        <v/>
      </c>
      <c r="AY9" s="180" t="str">
        <f>IF(A9="","",+'Datos Kandiko'!AY11)</f>
        <v/>
      </c>
      <c r="AZ9" s="180" t="str">
        <f t="shared" si="21"/>
        <v/>
      </c>
      <c r="BA9" s="255" t="str">
        <f>IF(A9="","",VLOOKUP(B9,'Datos Kandiko'!B11:BF48,51,0))</f>
        <v/>
      </c>
      <c r="BB9" s="181" t="str">
        <f t="shared" si="6"/>
        <v/>
      </c>
      <c r="BC9" s="180" t="str">
        <f>IF(BP9=A9,'Datos Kandiko'!BL11,"")</f>
        <v/>
      </c>
      <c r="BD9" s="181" t="str">
        <f t="shared" si="22"/>
        <v/>
      </c>
      <c r="BE9" s="29" t="str">
        <f>IF(A9="","",VLOOKUP(B9,'Datos Kandiko'!B11:BF48,53,0))</f>
        <v/>
      </c>
      <c r="BF9" s="28" t="str">
        <f>IF(A9="","",VLOOKUP(B9,'Datos Kandiko'!B11:BF48,54,0))</f>
        <v/>
      </c>
      <c r="BG9" s="28" t="str">
        <f>IF(A9="","",VLOOKUP(B9,'Datos Kandiko'!B11:BF48,55,0))</f>
        <v/>
      </c>
      <c r="BH9" s="28" t="str">
        <f>IF(A9="","",VLOOKUP(B9,'Datos Kandiko'!B11:BF48,51,0))</f>
        <v/>
      </c>
      <c r="BI9" s="28" t="str">
        <f>IF(A9="","",IF(VLOOKUP(B9,'Datos Kandiko'!B11:BF48,52,0)=0%,IF(AO9&gt;1,1,VLOOKUP(B9,'Datos Kandiko'!B11:BF48,52,0))))</f>
        <v/>
      </c>
      <c r="BJ9" s="211" t="str">
        <f>IF(A9="","",VLOOKUP(B9,'Datos Kandiko'!B11:BH48,58,0))</f>
        <v/>
      </c>
      <c r="BK9" s="27" t="str">
        <f>IF(A9="","",VLOOKUP(B9,'Datos Kandiko'!B11:BH48,59,0))</f>
        <v/>
      </c>
      <c r="BL9" s="29" t="str">
        <f>IF(A9="","",VLOOKUP(B9,'Datos Kandiko'!B11:BF48,55,0))</f>
        <v/>
      </c>
      <c r="BM9" s="181" t="str">
        <f>IF(A9="","",VLOOKUP(B9,'Datos Kandiko'!B11:BF48,56,0))</f>
        <v/>
      </c>
      <c r="BN9" s="266" t="str">
        <f>IF(A9="","",IF(VLOOKUP(B9,'Datos Kandiko'!B11:BF48,57,0)=0,IF(AO9&gt;1,1,VLOOKUP(B9,'Datos Kandiko'!B11:BF48,57,0))))</f>
        <v/>
      </c>
      <c r="BO9" s="59"/>
      <c r="BP9" s="190" t="str">
        <f>+'Biyemas S.A.'!BP9</f>
        <v xml:space="preserve">Lun/Mon    </v>
      </c>
    </row>
    <row r="10" spans="1:68" s="30" customFormat="1" x14ac:dyDescent="0.2">
      <c r="A10" s="188" t="str">
        <f>IF(BP10='Datos Kandiko'!A12,'Datos Kandiko'!A12,"")</f>
        <v/>
      </c>
      <c r="B10" s="185" t="str">
        <f>IF(BP10=A10,'Datos Kandiko'!B12,"")</f>
        <v/>
      </c>
      <c r="C10" s="186" t="str">
        <f>IF(BP10=A10,'Datos Kandiko'!C12,"")</f>
        <v/>
      </c>
      <c r="D10" s="37" t="str">
        <f>IF(BP10=A10,VLOOKUP(B10,'Datos Kandiko'!B12:BB49,3,0),"")</f>
        <v/>
      </c>
      <c r="E10" s="32" t="str">
        <f>IF(BP10=A10,VLOOKUP(B10,'Datos Kandiko'!B12:BB49,4,0),"")</f>
        <v/>
      </c>
      <c r="F10" s="32" t="str">
        <f>IF(BP10=A10,VLOOKUP(B10,'Datos Kandiko'!B12:BB49,5,0),"")</f>
        <v/>
      </c>
      <c r="G10" s="32" t="str">
        <f>IF(BP10=A10,VLOOKUP(B10,'Datos Kandiko'!B12:BB49,6,0),"")</f>
        <v/>
      </c>
      <c r="H10" s="33" t="str">
        <f t="shared" si="0"/>
        <v/>
      </c>
      <c r="I10" s="33" t="str">
        <f t="shared" si="1"/>
        <v/>
      </c>
      <c r="J10" s="34" t="str">
        <f t="shared" si="2"/>
        <v/>
      </c>
      <c r="K10" s="31" t="str">
        <f t="shared" si="3"/>
        <v/>
      </c>
      <c r="L10" s="37" t="str">
        <f>IF(A10="","",VLOOKUP(B10,'Datos Kandiko'!B12:BB49,11,0))</f>
        <v/>
      </c>
      <c r="M10" s="32" t="str">
        <f>IF(A10="","",VLOOKUP(B10,'Datos Kandiko'!B12:BB49,12,0))</f>
        <v/>
      </c>
      <c r="N10" s="32" t="str">
        <f>IF(A10="","",VLOOKUP(B10,'Datos Kandiko'!B12:BB49,13,0))</f>
        <v/>
      </c>
      <c r="O10" s="32" t="str">
        <f>IF(A10="","",VLOOKUP(B10,'Datos Kandiko'!B12:BB49,14,0))</f>
        <v/>
      </c>
      <c r="P10" s="33" t="str">
        <f t="shared" si="7"/>
        <v/>
      </c>
      <c r="Q10" s="33" t="str">
        <f t="shared" si="8"/>
        <v/>
      </c>
      <c r="R10" s="34" t="str">
        <f t="shared" si="4"/>
        <v/>
      </c>
      <c r="S10" s="31" t="str">
        <f t="shared" si="5"/>
        <v/>
      </c>
      <c r="T10" s="35" t="str">
        <f t="shared" si="9"/>
        <v/>
      </c>
      <c r="U10" s="35" t="str">
        <f t="shared" si="10"/>
        <v/>
      </c>
      <c r="V10" s="37" t="str">
        <f>IF(A10="","",VLOOKUP(B10,'Datos Kandiko'!B12:BB49,21,0))</f>
        <v/>
      </c>
      <c r="W10" s="32" t="str">
        <f>IF(A10="","",VLOOKUP(B10,'Datos Kandiko'!B12:BB49,22,0))</f>
        <v/>
      </c>
      <c r="X10" s="32" t="str">
        <f>IF(A10="","",VLOOKUP(B10,'Datos Kandiko'!B12:BB49,23,0))</f>
        <v/>
      </c>
      <c r="Y10" s="32" t="str">
        <f>IF(A10="","",VLOOKUP(B10,'Datos Kandiko'!B12:BB49,24,0))</f>
        <v/>
      </c>
      <c r="Z10" s="33" t="str">
        <f t="shared" si="11"/>
        <v/>
      </c>
      <c r="AA10" s="33" t="str">
        <f t="shared" si="12"/>
        <v/>
      </c>
      <c r="AB10" s="34" t="str">
        <f t="shared" si="13"/>
        <v/>
      </c>
      <c r="AC10" s="31" t="str">
        <f t="shared" si="14"/>
        <v/>
      </c>
      <c r="AD10" s="37" t="str">
        <f t="shared" si="15"/>
        <v/>
      </c>
      <c r="AE10" s="32" t="str">
        <f>IF(A10="","",VLOOKUP(B10,'Datos Kandiko'!B12:BB49,30,0))</f>
        <v/>
      </c>
      <c r="AF10" s="31" t="str">
        <f t="shared" si="16"/>
        <v/>
      </c>
      <c r="AG10" s="32" t="str">
        <f>IF(A10="","",VLOOKUP(B10,'Datos Kandiko'!B12:BB49,32,0))</f>
        <v/>
      </c>
      <c r="AH10" s="32" t="str">
        <f>IF(A10="","",VLOOKUP(B10,'Datos Kandiko'!B12:BB49,33,0))</f>
        <v/>
      </c>
      <c r="AI10" s="32" t="str">
        <f>IF(A10="","",VLOOKUP(B10,'Datos Kandiko'!B12:BB49,34,0))</f>
        <v/>
      </c>
      <c r="AJ10" s="34" t="str">
        <f t="shared" si="17"/>
        <v/>
      </c>
      <c r="AK10" s="35" t="str">
        <f t="shared" si="18"/>
        <v/>
      </c>
      <c r="AL10" s="37" t="str">
        <f>IF(A10="","",VLOOKUP(B10,'Datos Kandiko'!B12:BB49,37,0))</f>
        <v/>
      </c>
      <c r="AM10" s="58" t="str">
        <f t="shared" si="19"/>
        <v/>
      </c>
      <c r="AN10" s="262" t="str">
        <f>IF(BP10=A10,'Datos Kandiko'!BL12,"")</f>
        <v/>
      </c>
      <c r="AO10" s="32" t="str">
        <f>IF(A10="","",VLOOKUP(B10,'Datos Kandiko'!B12:BF49,39,0))</f>
        <v/>
      </c>
      <c r="AP10" s="36" t="str">
        <f>IF(A10="","",IF(AN10&gt;0,+AO10/AN10,0))</f>
        <v/>
      </c>
      <c r="AQ10" s="32" t="str">
        <f>IF(A10="","",VLOOKUP(B10,'Datos Kandiko'!B12:BH49,41,0))</f>
        <v/>
      </c>
      <c r="AR10" s="32" t="str">
        <f>IF(A10="","",VLOOKUP(B10,'Datos Kandiko'!B12:BI49,42,0))</f>
        <v/>
      </c>
      <c r="AS10" s="32" t="str">
        <f>IF(A10="","",VLOOKUP(B10,'Datos Kandiko'!B12:BJ49,43,0))</f>
        <v/>
      </c>
      <c r="AT10" s="32" t="str">
        <f>IF(A10="","",VLOOKUP(B10,'Datos Kandiko'!B12:BK49,44,0))</f>
        <v/>
      </c>
      <c r="AU10" s="58"/>
      <c r="AV10" s="37" t="str">
        <f t="shared" si="24"/>
        <v/>
      </c>
      <c r="AW10" s="38" t="str">
        <f t="shared" si="20"/>
        <v/>
      </c>
      <c r="AY10" s="180" t="str">
        <f>IF(A10="","",+'Datos Kandiko'!AY12)</f>
        <v/>
      </c>
      <c r="AZ10" s="180" t="str">
        <f t="shared" si="21"/>
        <v/>
      </c>
      <c r="BA10" s="255" t="str">
        <f>IF(A10="","",VLOOKUP(B10,'Datos Kandiko'!B12:BF49,51,0))</f>
        <v/>
      </c>
      <c r="BB10" s="181" t="str">
        <f t="shared" si="6"/>
        <v/>
      </c>
      <c r="BC10" s="180" t="str">
        <f>IF(BP10=A10,'Datos Kandiko'!BL12,"")</f>
        <v/>
      </c>
      <c r="BD10" s="181" t="str">
        <f t="shared" si="22"/>
        <v/>
      </c>
      <c r="BE10" s="29" t="str">
        <f>IF(A10="","",VLOOKUP(B10,'Datos Kandiko'!B12:BF49,53,0))</f>
        <v/>
      </c>
      <c r="BF10" s="28" t="str">
        <f>IF(A10="","",VLOOKUP(B10,'Datos Kandiko'!B12:BF49,54,0))</f>
        <v/>
      </c>
      <c r="BG10" s="28" t="str">
        <f>IF(A10="","",VLOOKUP(B10,'Datos Kandiko'!B12:BF49,55,0))</f>
        <v/>
      </c>
      <c r="BH10" s="28" t="str">
        <f>IF(A10="","",VLOOKUP(B10,'Datos Kandiko'!B12:BF49,51,0))</f>
        <v/>
      </c>
      <c r="BI10" s="28" t="str">
        <f>IF(A10="","",IF(VLOOKUP(B10,'Datos Kandiko'!B12:BF49,52,0)=0%,IF(AO10&gt;1,1,VLOOKUP(B10,'Datos Kandiko'!B12:BF49,52,0))))</f>
        <v/>
      </c>
      <c r="BJ10" s="211" t="str">
        <f>IF(A10="","",VLOOKUP(B10,'Datos Kandiko'!B12:BH49,58,0))</f>
        <v/>
      </c>
      <c r="BK10" s="27" t="str">
        <f>IF(A10="","",VLOOKUP(B10,'Datos Kandiko'!B12:BH49,59,0))</f>
        <v/>
      </c>
      <c r="BL10" s="29" t="str">
        <f>IF(A10="","",VLOOKUP(B10,'Datos Kandiko'!B12:BF49,55,0))</f>
        <v/>
      </c>
      <c r="BM10" s="181" t="str">
        <f>IF(A10="","",VLOOKUP(B10,'Datos Kandiko'!B12:BF49,56,0))</f>
        <v/>
      </c>
      <c r="BN10" s="266" t="str">
        <f>IF(A10="","",IF(VLOOKUP(B10,'Datos Kandiko'!B12:BF49,57,0)=0,IF(AO10&gt;1,1,VLOOKUP(B10,'Datos Kandiko'!B12:BF49,57,0))))</f>
        <v/>
      </c>
      <c r="BO10" s="59"/>
      <c r="BP10" s="190" t="str">
        <f>+'Biyemas S.A.'!BP10</f>
        <v xml:space="preserve">Mar/Tue    </v>
      </c>
    </row>
    <row r="11" spans="1:68" s="30" customFormat="1" x14ac:dyDescent="0.2">
      <c r="A11" s="188" t="str">
        <f>IF(BP11='Datos Kandiko'!A13,'Datos Kandiko'!A13,"")</f>
        <v/>
      </c>
      <c r="B11" s="185" t="str">
        <f>IF(BP11=A11,'Datos Kandiko'!B13,"")</f>
        <v/>
      </c>
      <c r="C11" s="186" t="str">
        <f>IF(BP11=A11,'Datos Kandiko'!C13,"")</f>
        <v/>
      </c>
      <c r="D11" s="37" t="str">
        <f>IF(BP11=A11,VLOOKUP(B11,'Datos Kandiko'!B13:BB50,3,0),"")</f>
        <v/>
      </c>
      <c r="E11" s="32" t="str">
        <f>IF(BP11=A11,VLOOKUP(B11,'Datos Kandiko'!B13:BB50,4,0),"")</f>
        <v/>
      </c>
      <c r="F11" s="32" t="str">
        <f>IF(BP11=A11,VLOOKUP(B11,'Datos Kandiko'!B13:BB50,5,0),"")</f>
        <v/>
      </c>
      <c r="G11" s="32" t="str">
        <f>IF(BP11=A11,VLOOKUP(B11,'Datos Kandiko'!B13:BB50,6,0),"")</f>
        <v/>
      </c>
      <c r="H11" s="33" t="str">
        <f t="shared" si="0"/>
        <v/>
      </c>
      <c r="I11" s="33" t="str">
        <f t="shared" si="1"/>
        <v/>
      </c>
      <c r="J11" s="34" t="str">
        <f t="shared" si="2"/>
        <v/>
      </c>
      <c r="K11" s="31" t="str">
        <f t="shared" si="3"/>
        <v/>
      </c>
      <c r="L11" s="37" t="str">
        <f>IF(A11="","",VLOOKUP(B11,'Datos Kandiko'!B13:BB50,11,0))</f>
        <v/>
      </c>
      <c r="M11" s="32" t="str">
        <f>IF(A11="","",VLOOKUP(B11,'Datos Kandiko'!B13:BB50,12,0))</f>
        <v/>
      </c>
      <c r="N11" s="32" t="str">
        <f>IF(A11="","",VLOOKUP(B11,'Datos Kandiko'!B13:BB50,13,0))</f>
        <v/>
      </c>
      <c r="O11" s="32" t="str">
        <f>IF(A11="","",VLOOKUP(B11,'Datos Kandiko'!B13:BB50,14,0))</f>
        <v/>
      </c>
      <c r="P11" s="33" t="str">
        <f t="shared" si="7"/>
        <v/>
      </c>
      <c r="Q11" s="33" t="str">
        <f t="shared" si="8"/>
        <v/>
      </c>
      <c r="R11" s="34" t="str">
        <f t="shared" si="4"/>
        <v/>
      </c>
      <c r="S11" s="31" t="str">
        <f t="shared" si="5"/>
        <v/>
      </c>
      <c r="T11" s="35" t="str">
        <f t="shared" si="9"/>
        <v/>
      </c>
      <c r="U11" s="35" t="str">
        <f t="shared" si="10"/>
        <v/>
      </c>
      <c r="V11" s="37" t="str">
        <f>IF(A11="","",VLOOKUP(B11,'Datos Kandiko'!B13:BB50,21,0))</f>
        <v/>
      </c>
      <c r="W11" s="32" t="str">
        <f>IF(A11="","",VLOOKUP(B11,'Datos Kandiko'!B13:BB50,22,0))</f>
        <v/>
      </c>
      <c r="X11" s="32" t="str">
        <f>IF(A11="","",VLOOKUP(B11,'Datos Kandiko'!B13:BB50,23,0))</f>
        <v/>
      </c>
      <c r="Y11" s="32" t="str">
        <f>IF(A11="","",VLOOKUP(B11,'Datos Kandiko'!B13:BB50,24,0))</f>
        <v/>
      </c>
      <c r="Z11" s="33" t="str">
        <f t="shared" si="11"/>
        <v/>
      </c>
      <c r="AA11" s="33" t="str">
        <f t="shared" si="12"/>
        <v/>
      </c>
      <c r="AB11" s="34" t="str">
        <f t="shared" si="13"/>
        <v/>
      </c>
      <c r="AC11" s="31" t="str">
        <f t="shared" si="14"/>
        <v/>
      </c>
      <c r="AD11" s="37" t="str">
        <f t="shared" si="15"/>
        <v/>
      </c>
      <c r="AE11" s="32" t="str">
        <f>IF(A11="","",VLOOKUP(B11,'Datos Kandiko'!B13:BB50,30,0))</f>
        <v/>
      </c>
      <c r="AF11" s="31" t="str">
        <f t="shared" si="16"/>
        <v/>
      </c>
      <c r="AG11" s="32" t="str">
        <f>IF(A11="","",VLOOKUP(B11,'Datos Kandiko'!B13:BB50,32,0))</f>
        <v/>
      </c>
      <c r="AH11" s="32" t="str">
        <f>IF(A11="","",VLOOKUP(B11,'Datos Kandiko'!B13:BB50,33,0))</f>
        <v/>
      </c>
      <c r="AI11" s="32" t="str">
        <f>IF(A11="","",VLOOKUP(B11,'Datos Kandiko'!B13:BB50,34,0))</f>
        <v/>
      </c>
      <c r="AJ11" s="34" t="str">
        <f t="shared" si="17"/>
        <v/>
      </c>
      <c r="AK11" s="35" t="str">
        <f t="shared" si="18"/>
        <v/>
      </c>
      <c r="AL11" s="37" t="str">
        <f>IF(A11="","",VLOOKUP(B11,'Datos Kandiko'!B13:BB50,37,0))</f>
        <v/>
      </c>
      <c r="AM11" s="58" t="str">
        <f t="shared" si="19"/>
        <v/>
      </c>
      <c r="AN11" s="262" t="str">
        <f>IF(BP11=A11,'Datos Kandiko'!BL13,"")</f>
        <v/>
      </c>
      <c r="AO11" s="32" t="str">
        <f>IF(A11="","",VLOOKUP(B11,'Datos Kandiko'!B13:BF50,39,0))</f>
        <v/>
      </c>
      <c r="AP11" s="36" t="str">
        <f t="shared" si="23"/>
        <v/>
      </c>
      <c r="AQ11" s="32" t="str">
        <f>IF(A11="","",VLOOKUP(B11,'Datos Kandiko'!B13:BH50,41,0))</f>
        <v/>
      </c>
      <c r="AR11" s="32" t="str">
        <f>IF(A11="","",VLOOKUP(B11,'Datos Kandiko'!B13:BI50,42,0))</f>
        <v/>
      </c>
      <c r="AS11" s="32" t="str">
        <f>IF(A11="","",VLOOKUP(B11,'Datos Kandiko'!B13:BJ50,43,0))</f>
        <v/>
      </c>
      <c r="AT11" s="32" t="str">
        <f>IF(A11="","",VLOOKUP(B11,'Datos Kandiko'!B13:BK50,44,0))</f>
        <v/>
      </c>
      <c r="AU11" s="58"/>
      <c r="AV11" s="37" t="str">
        <f t="shared" si="24"/>
        <v/>
      </c>
      <c r="AW11" s="38" t="str">
        <f t="shared" si="20"/>
        <v/>
      </c>
      <c r="AY11" s="180" t="str">
        <f>IF(A11="","",+'Datos Kandiko'!AY13)</f>
        <v/>
      </c>
      <c r="AZ11" s="180" t="str">
        <f t="shared" si="21"/>
        <v/>
      </c>
      <c r="BA11" s="255" t="str">
        <f>IF(A11="","",VLOOKUP(B11,'Datos Kandiko'!B13:BF50,51,0))</f>
        <v/>
      </c>
      <c r="BB11" s="181" t="str">
        <f t="shared" si="6"/>
        <v/>
      </c>
      <c r="BC11" s="180" t="str">
        <f>IF(BP11=A11,'Datos Kandiko'!BL13,"")</f>
        <v/>
      </c>
      <c r="BD11" s="181" t="str">
        <f t="shared" si="22"/>
        <v/>
      </c>
      <c r="BE11" s="29" t="str">
        <f>IF(A11="","",VLOOKUP(B11,'Datos Kandiko'!B13:BF50,53,0))</f>
        <v/>
      </c>
      <c r="BF11" s="28" t="str">
        <f>IF(A11="","",VLOOKUP(B11,'Datos Kandiko'!B13:BF50,54,0))</f>
        <v/>
      </c>
      <c r="BG11" s="28" t="str">
        <f>IF(A11="","",VLOOKUP(B11,'Datos Kandiko'!B13:BF50,55,0))</f>
        <v/>
      </c>
      <c r="BH11" s="28" t="str">
        <f>IF(A11="","",VLOOKUP(B11,'Datos Kandiko'!B13:BF50,51,0))</f>
        <v/>
      </c>
      <c r="BI11" s="28" t="str">
        <f>IF(A11="","",IF(VLOOKUP(B11,'Datos Kandiko'!B13:BF50,52,0)=0%,IF(AO11&gt;1,1,VLOOKUP(B11,'Datos Kandiko'!B13:BF50,52,0))))</f>
        <v/>
      </c>
      <c r="BJ11" s="211" t="str">
        <f>IF(A11="","",VLOOKUP(B11,'Datos Kandiko'!B13:BH50,58,0))</f>
        <v/>
      </c>
      <c r="BK11" s="27" t="str">
        <f>IF(A11="","",VLOOKUP(B11,'Datos Kandiko'!B13:BH50,59,0))</f>
        <v/>
      </c>
      <c r="BL11" s="29" t="str">
        <f>IF(A11="","",VLOOKUP(B11,'Datos Kandiko'!B13:BF50,55,0))</f>
        <v/>
      </c>
      <c r="BM11" s="181" t="str">
        <f>IF(A11="","",VLOOKUP(B11,'Datos Kandiko'!B13:BF50,56,0))</f>
        <v/>
      </c>
      <c r="BN11" s="266" t="str">
        <f>IF(A11="","",IF(VLOOKUP(B11,'Datos Kandiko'!B13:BF50,57,0)=0,IF(AO11&gt;1,1,VLOOKUP(B11,'Datos Kandiko'!B13:BF50,57,0))))</f>
        <v/>
      </c>
      <c r="BO11" s="59"/>
      <c r="BP11" s="190" t="str">
        <f>+'Biyemas S.A.'!BP11</f>
        <v xml:space="preserve">Mie/Wed    </v>
      </c>
    </row>
    <row r="12" spans="1:68" s="30" customFormat="1" x14ac:dyDescent="0.2">
      <c r="A12" s="188" t="str">
        <f>IF(BP12='Datos Kandiko'!A14,'Datos Kandiko'!A14,"")</f>
        <v/>
      </c>
      <c r="B12" s="185" t="str">
        <f>IF(BP12=A12,'Datos Kandiko'!B14,"")</f>
        <v/>
      </c>
      <c r="C12" s="186" t="str">
        <f>IF(BP12=A12,'Datos Kandiko'!C14,"")</f>
        <v/>
      </c>
      <c r="D12" s="37" t="str">
        <f>IF(BP12=A12,VLOOKUP(B12,'Datos Kandiko'!B14:BB51,3,0),"")</f>
        <v/>
      </c>
      <c r="E12" s="32" t="str">
        <f>IF(BP12=A12,VLOOKUP(B12,'Datos Kandiko'!B14:BB51,4,0),"")</f>
        <v/>
      </c>
      <c r="F12" s="32" t="str">
        <f>IF(BP12=A12,VLOOKUP(B12,'Datos Kandiko'!B14:BB51,5,0),"")</f>
        <v/>
      </c>
      <c r="G12" s="32" t="str">
        <f>IF(BP12=A12,VLOOKUP(B12,'Datos Kandiko'!B14:BB51,6,0),"")</f>
        <v/>
      </c>
      <c r="H12" s="33" t="str">
        <f t="shared" si="0"/>
        <v/>
      </c>
      <c r="I12" s="33" t="str">
        <f t="shared" si="1"/>
        <v/>
      </c>
      <c r="J12" s="34" t="str">
        <f t="shared" si="2"/>
        <v/>
      </c>
      <c r="K12" s="31" t="str">
        <f t="shared" si="3"/>
        <v/>
      </c>
      <c r="L12" s="37" t="str">
        <f>IF(A12="","",VLOOKUP(B12,'Datos Kandiko'!B14:BB51,11,0))</f>
        <v/>
      </c>
      <c r="M12" s="32" t="str">
        <f>IF(A12="","",VLOOKUP(B12,'Datos Kandiko'!B14:BB51,12,0))</f>
        <v/>
      </c>
      <c r="N12" s="32" t="str">
        <f>IF(A12="","",VLOOKUP(B12,'Datos Kandiko'!B14:BB51,13,0))</f>
        <v/>
      </c>
      <c r="O12" s="32" t="str">
        <f>IF(A12="","",VLOOKUP(B12,'Datos Kandiko'!B14:BB51,14,0))</f>
        <v/>
      </c>
      <c r="P12" s="33" t="str">
        <f t="shared" si="7"/>
        <v/>
      </c>
      <c r="Q12" s="33" t="str">
        <f t="shared" si="8"/>
        <v/>
      </c>
      <c r="R12" s="34" t="str">
        <f t="shared" si="4"/>
        <v/>
      </c>
      <c r="S12" s="31" t="str">
        <f t="shared" si="5"/>
        <v/>
      </c>
      <c r="T12" s="35" t="str">
        <f t="shared" si="9"/>
        <v/>
      </c>
      <c r="U12" s="35" t="str">
        <f t="shared" si="10"/>
        <v/>
      </c>
      <c r="V12" s="37" t="str">
        <f>IF(A12="","",VLOOKUP(B12,'Datos Kandiko'!B14:BB51,21,0))</f>
        <v/>
      </c>
      <c r="W12" s="32" t="str">
        <f>IF(A12="","",VLOOKUP(B12,'Datos Kandiko'!B14:BB51,22,0))</f>
        <v/>
      </c>
      <c r="X12" s="32" t="str">
        <f>IF(A12="","",VLOOKUP(B12,'Datos Kandiko'!B14:BB51,23,0))</f>
        <v/>
      </c>
      <c r="Y12" s="32" t="str">
        <f>IF(A12="","",VLOOKUP(B12,'Datos Kandiko'!B14:BB51,24,0))</f>
        <v/>
      </c>
      <c r="Z12" s="33" t="str">
        <f t="shared" si="11"/>
        <v/>
      </c>
      <c r="AA12" s="33" t="str">
        <f t="shared" si="12"/>
        <v/>
      </c>
      <c r="AB12" s="34" t="str">
        <f t="shared" si="13"/>
        <v/>
      </c>
      <c r="AC12" s="31" t="str">
        <f t="shared" si="14"/>
        <v/>
      </c>
      <c r="AD12" s="37" t="str">
        <f t="shared" si="15"/>
        <v/>
      </c>
      <c r="AE12" s="32" t="str">
        <f>IF(A12="","",VLOOKUP(B12,'Datos Kandiko'!B14:BB51,30,0))</f>
        <v/>
      </c>
      <c r="AF12" s="31" t="str">
        <f t="shared" si="16"/>
        <v/>
      </c>
      <c r="AG12" s="32" t="str">
        <f>IF(A12="","",VLOOKUP(B12,'Datos Kandiko'!B14:BB51,32,0))</f>
        <v/>
      </c>
      <c r="AH12" s="32" t="str">
        <f>IF(A12="","",VLOOKUP(B12,'Datos Kandiko'!B14:BB51,33,0))</f>
        <v/>
      </c>
      <c r="AI12" s="32" t="str">
        <f>IF(A12="","",VLOOKUP(B12,'Datos Kandiko'!B14:BB51,34,0))</f>
        <v/>
      </c>
      <c r="AJ12" s="34" t="str">
        <f t="shared" si="17"/>
        <v/>
      </c>
      <c r="AK12" s="35" t="str">
        <f t="shared" si="18"/>
        <v/>
      </c>
      <c r="AL12" s="37" t="str">
        <f>IF(A12="","",VLOOKUP(B12,'Datos Kandiko'!B14:BB51,37,0))</f>
        <v/>
      </c>
      <c r="AM12" s="58" t="str">
        <f t="shared" si="19"/>
        <v/>
      </c>
      <c r="AN12" s="262" t="str">
        <f>IF(BP12=A12,'Datos Kandiko'!BL14,"")</f>
        <v/>
      </c>
      <c r="AO12" s="32" t="str">
        <f>IF(A12="","",VLOOKUP(B12,'Datos Kandiko'!B14:BF51,39,0))</f>
        <v/>
      </c>
      <c r="AP12" s="36" t="str">
        <f t="shared" si="23"/>
        <v/>
      </c>
      <c r="AQ12" s="32" t="str">
        <f>IF(A12="","",VLOOKUP(B12,'Datos Kandiko'!B14:BH51,41,0))</f>
        <v/>
      </c>
      <c r="AR12" s="32" t="str">
        <f>IF(A12="","",VLOOKUP(B12,'Datos Kandiko'!B14:BI51,42,0))</f>
        <v/>
      </c>
      <c r="AS12" s="32" t="str">
        <f>IF(A12="","",VLOOKUP(B12,'Datos Kandiko'!B14:BJ51,43,0))</f>
        <v/>
      </c>
      <c r="AT12" s="32" t="str">
        <f>IF(A12="","",VLOOKUP(B12,'Datos Kandiko'!B14:BK51,44,0))</f>
        <v/>
      </c>
      <c r="AU12" s="58"/>
      <c r="AV12" s="37" t="str">
        <f t="shared" si="24"/>
        <v/>
      </c>
      <c r="AW12" s="38" t="str">
        <f t="shared" si="20"/>
        <v/>
      </c>
      <c r="AY12" s="180" t="str">
        <f>IF(A12="","",+'Datos Kandiko'!AY14)</f>
        <v/>
      </c>
      <c r="AZ12" s="180" t="str">
        <f t="shared" si="21"/>
        <v/>
      </c>
      <c r="BA12" s="255" t="str">
        <f>IF(A12="","",VLOOKUP(B12,'Datos Kandiko'!B14:BF51,51,0))</f>
        <v/>
      </c>
      <c r="BB12" s="181" t="str">
        <f t="shared" si="6"/>
        <v/>
      </c>
      <c r="BC12" s="180" t="str">
        <f>IF(BP12=A12,'Datos Kandiko'!BL14,"")</f>
        <v/>
      </c>
      <c r="BD12" s="181" t="str">
        <f t="shared" si="22"/>
        <v/>
      </c>
      <c r="BE12" s="29" t="str">
        <f>IF(A12="","",VLOOKUP(B12,'Datos Kandiko'!B14:BF51,53,0))</f>
        <v/>
      </c>
      <c r="BF12" s="28" t="str">
        <f>IF(A12="","",VLOOKUP(B12,'Datos Kandiko'!B14:BF51,54,0))</f>
        <v/>
      </c>
      <c r="BG12" s="28" t="str">
        <f>IF(A12="","",VLOOKUP(B12,'Datos Kandiko'!B14:BF51,55,0))</f>
        <v/>
      </c>
      <c r="BH12" s="28" t="str">
        <f>IF(A12="","",VLOOKUP(B12,'Datos Kandiko'!B14:BF51,51,0))</f>
        <v/>
      </c>
      <c r="BI12" s="28" t="str">
        <f>IF(A12="","",IF(VLOOKUP(B12,'Datos Kandiko'!B14:BF51,52,0)=0%,IF(AO12&gt;1,1,VLOOKUP(B12,'Datos Kandiko'!B14:BF51,52,0))))</f>
        <v/>
      </c>
      <c r="BJ12" s="211" t="str">
        <f>IF(A12="","",VLOOKUP(B12,'Datos Kandiko'!B14:BH51,58,0))</f>
        <v/>
      </c>
      <c r="BK12" s="27" t="str">
        <f>IF(A12="","",VLOOKUP(B12,'Datos Kandiko'!B14:BH51,59,0))</f>
        <v/>
      </c>
      <c r="BL12" s="29" t="str">
        <f>IF(A12="","",VLOOKUP(B12,'Datos Kandiko'!B14:BF51,55,0))</f>
        <v/>
      </c>
      <c r="BM12" s="181" t="str">
        <f>IF(A12="","",VLOOKUP(B12,'Datos Kandiko'!B14:BF51,56,0))</f>
        <v/>
      </c>
      <c r="BN12" s="266" t="str">
        <f>IF(A12="","",IF(VLOOKUP(B12,'Datos Kandiko'!B14:BF51,57,0)=0,IF(AO12&gt;1,1,VLOOKUP(B12,'Datos Kandiko'!B14:BF51,57,0))))</f>
        <v/>
      </c>
      <c r="BO12" s="59"/>
      <c r="BP12" s="190" t="str">
        <f>+'Biyemas S.A.'!BP12</f>
        <v xml:space="preserve">Jue/Thu    </v>
      </c>
    </row>
    <row r="13" spans="1:68" s="30" customFormat="1" ht="11.25" customHeight="1" x14ac:dyDescent="0.2">
      <c r="A13" s="188" t="str">
        <f>IF(BP13='Datos Kandiko'!A15,'Datos Kandiko'!A15,"")</f>
        <v/>
      </c>
      <c r="B13" s="185" t="str">
        <f>IF(BP13=A13,'Datos Kandiko'!B15,"")</f>
        <v/>
      </c>
      <c r="C13" s="186" t="str">
        <f>IF(BP13=A13,'Datos Kandiko'!C15,"")</f>
        <v/>
      </c>
      <c r="D13" s="37" t="str">
        <f>IF(BP13=A13,VLOOKUP(B13,'Datos Kandiko'!B15:BB52,3,0),"")</f>
        <v/>
      </c>
      <c r="E13" s="32" t="str">
        <f>IF(BP13=A13,VLOOKUP(B13,'Datos Kandiko'!B15:BB52,4,0),"")</f>
        <v/>
      </c>
      <c r="F13" s="32" t="str">
        <f>IF(BP13=A13,VLOOKUP(B13,'Datos Kandiko'!B15:BB52,5,0),"")</f>
        <v/>
      </c>
      <c r="G13" s="32" t="str">
        <f>IF(BP13=A13,VLOOKUP(B13,'Datos Kandiko'!B15:BB52,6,0),"")</f>
        <v/>
      </c>
      <c r="H13" s="33" t="str">
        <f t="shared" si="0"/>
        <v/>
      </c>
      <c r="I13" s="33" t="str">
        <f t="shared" si="1"/>
        <v/>
      </c>
      <c r="J13" s="34" t="str">
        <f t="shared" si="2"/>
        <v/>
      </c>
      <c r="K13" s="31" t="str">
        <f t="shared" si="3"/>
        <v/>
      </c>
      <c r="L13" s="37" t="str">
        <f>IF(A13="","",VLOOKUP(B13,'Datos Kandiko'!B15:BB52,11,0))</f>
        <v/>
      </c>
      <c r="M13" s="32" t="str">
        <f>IF(A13="","",VLOOKUP(B13,'Datos Kandiko'!B15:BB52,12,0))</f>
        <v/>
      </c>
      <c r="N13" s="32" t="str">
        <f>IF(A13="","",VLOOKUP(B13,'Datos Kandiko'!B15:BB52,13,0))</f>
        <v/>
      </c>
      <c r="O13" s="32" t="str">
        <f>IF(A13="","",VLOOKUP(B13,'Datos Kandiko'!B15:BB52,14,0))</f>
        <v/>
      </c>
      <c r="P13" s="33" t="str">
        <f t="shared" si="7"/>
        <v/>
      </c>
      <c r="Q13" s="33" t="str">
        <f t="shared" si="8"/>
        <v/>
      </c>
      <c r="R13" s="34" t="str">
        <f t="shared" si="4"/>
        <v/>
      </c>
      <c r="S13" s="31" t="str">
        <f t="shared" si="5"/>
        <v/>
      </c>
      <c r="T13" s="35" t="str">
        <f t="shared" si="9"/>
        <v/>
      </c>
      <c r="U13" s="35" t="str">
        <f t="shared" si="10"/>
        <v/>
      </c>
      <c r="V13" s="37" t="str">
        <f>IF(A13="","",VLOOKUP(B13,'Datos Kandiko'!B15:BB52,21,0))</f>
        <v/>
      </c>
      <c r="W13" s="32" t="str">
        <f>IF(A13="","",VLOOKUP(B13,'Datos Kandiko'!B15:BB52,22,0))</f>
        <v/>
      </c>
      <c r="X13" s="32" t="str">
        <f>IF(A13="","",VLOOKUP(B13,'Datos Kandiko'!B15:BB52,23,0))</f>
        <v/>
      </c>
      <c r="Y13" s="32" t="str">
        <f>IF(A13="","",VLOOKUP(B13,'Datos Kandiko'!B15:BB52,24,0))</f>
        <v/>
      </c>
      <c r="Z13" s="33" t="str">
        <f t="shared" si="11"/>
        <v/>
      </c>
      <c r="AA13" s="33" t="str">
        <f t="shared" si="12"/>
        <v/>
      </c>
      <c r="AB13" s="34" t="str">
        <f t="shared" si="13"/>
        <v/>
      </c>
      <c r="AC13" s="31" t="str">
        <f t="shared" si="14"/>
        <v/>
      </c>
      <c r="AD13" s="37" t="str">
        <f t="shared" si="15"/>
        <v/>
      </c>
      <c r="AE13" s="32" t="str">
        <f>IF(A13="","",VLOOKUP(B13,'Datos Kandiko'!B15:BB52,30,0))</f>
        <v/>
      </c>
      <c r="AF13" s="31" t="str">
        <f t="shared" si="16"/>
        <v/>
      </c>
      <c r="AG13" s="32" t="str">
        <f>IF(A13="","",VLOOKUP(B13,'Datos Kandiko'!B15:BB52,32,0))</f>
        <v/>
      </c>
      <c r="AH13" s="32" t="str">
        <f>IF(A13="","",VLOOKUP(B13,'Datos Kandiko'!B15:BB52,33,0))</f>
        <v/>
      </c>
      <c r="AI13" s="32" t="str">
        <f>IF(A13="","",VLOOKUP(B13,'Datos Kandiko'!B15:BB52,34,0))</f>
        <v/>
      </c>
      <c r="AJ13" s="34" t="str">
        <f t="shared" si="17"/>
        <v/>
      </c>
      <c r="AK13" s="35" t="str">
        <f t="shared" si="18"/>
        <v/>
      </c>
      <c r="AL13" s="37" t="str">
        <f>IF(A13="","",VLOOKUP(B13,'Datos Kandiko'!B15:BB52,37,0))</f>
        <v/>
      </c>
      <c r="AM13" s="58" t="str">
        <f t="shared" si="19"/>
        <v/>
      </c>
      <c r="AN13" s="262" t="str">
        <f>IF(BP13=A13,'Datos Kandiko'!BL15,"")</f>
        <v/>
      </c>
      <c r="AO13" s="32" t="str">
        <f>IF(A13="","",VLOOKUP(B13,'Datos Kandiko'!B15:BF52,39,0))</f>
        <v/>
      </c>
      <c r="AP13" s="36" t="str">
        <f t="shared" si="23"/>
        <v/>
      </c>
      <c r="AQ13" s="32" t="str">
        <f>IF(A13="","",VLOOKUP(B13,'Datos Kandiko'!B15:BH52,41,0))</f>
        <v/>
      </c>
      <c r="AR13" s="32" t="str">
        <f>IF(A13="","",VLOOKUP(B13,'Datos Kandiko'!B15:BI52,42,0))</f>
        <v/>
      </c>
      <c r="AS13" s="32" t="str">
        <f>IF(A13="","",VLOOKUP(B13,'Datos Kandiko'!B15:BJ52,43,0))</f>
        <v/>
      </c>
      <c r="AT13" s="32" t="str">
        <f>IF(A13="","",VLOOKUP(B13,'Datos Kandiko'!B15:BK52,44,0))</f>
        <v/>
      </c>
      <c r="AU13" s="58"/>
      <c r="AV13" s="37" t="str">
        <f t="shared" si="24"/>
        <v/>
      </c>
      <c r="AW13" s="38" t="str">
        <f t="shared" si="20"/>
        <v/>
      </c>
      <c r="AY13" s="180" t="str">
        <f>IF(A13="","",+'Datos Kandiko'!AY15)</f>
        <v/>
      </c>
      <c r="AZ13" s="180" t="str">
        <f t="shared" si="21"/>
        <v/>
      </c>
      <c r="BA13" s="255" t="str">
        <f>IF(A13="","",VLOOKUP(B13,'Datos Kandiko'!B15:BF52,51,0))</f>
        <v/>
      </c>
      <c r="BB13" s="181" t="str">
        <f t="shared" si="6"/>
        <v/>
      </c>
      <c r="BC13" s="180" t="str">
        <f>IF(BP13=A13,'Datos Kandiko'!BL15,"")</f>
        <v/>
      </c>
      <c r="BD13" s="181" t="str">
        <f t="shared" si="22"/>
        <v/>
      </c>
      <c r="BE13" s="29" t="str">
        <f>IF(A13="","",VLOOKUP(B13,'Datos Kandiko'!B15:BF52,53,0))</f>
        <v/>
      </c>
      <c r="BF13" s="28" t="str">
        <f>IF(A13="","",VLOOKUP(B13,'Datos Kandiko'!B15:BF52,54,0))</f>
        <v/>
      </c>
      <c r="BG13" s="28" t="str">
        <f>IF(A13="","",VLOOKUP(B13,'Datos Kandiko'!B15:BF52,55,0))</f>
        <v/>
      </c>
      <c r="BH13" s="28" t="str">
        <f>IF(A13="","",VLOOKUP(B13,'Datos Kandiko'!B15:BF52,51,0))</f>
        <v/>
      </c>
      <c r="BI13" s="28" t="str">
        <f>IF(A13="","",IF(VLOOKUP(B13,'Datos Kandiko'!B15:BF52,52,0)=0%,IF(AO13&gt;1,1,VLOOKUP(B13,'Datos Kandiko'!B15:BF52,52,0))))</f>
        <v/>
      </c>
      <c r="BJ13" s="211" t="str">
        <f>IF(A13="","",VLOOKUP(B13,'Datos Kandiko'!B15:BH52,58,0))</f>
        <v/>
      </c>
      <c r="BK13" s="27" t="str">
        <f>IF(A13="","",VLOOKUP(B13,'Datos Kandiko'!B15:BH52,59,0))</f>
        <v/>
      </c>
      <c r="BL13" s="29" t="str">
        <f>IF(A13="","",VLOOKUP(B13,'Datos Kandiko'!B15:BF52,55,0))</f>
        <v/>
      </c>
      <c r="BM13" s="181" t="str">
        <f>IF(A13="","",VLOOKUP(B13,'Datos Kandiko'!B15:BF52,56,0))</f>
        <v/>
      </c>
      <c r="BN13" s="266" t="str">
        <f>IF(A13="","",IF(VLOOKUP(B13,'Datos Kandiko'!B15:BF52,57,0)=0,IF(AO13&gt;1,1,VLOOKUP(B13,'Datos Kandiko'!B15:BF52,57,0))))</f>
        <v/>
      </c>
      <c r="BO13" s="59"/>
      <c r="BP13" s="190" t="str">
        <f>+'Biyemas S.A.'!BP13</f>
        <v xml:space="preserve">Vie/Fri    </v>
      </c>
    </row>
    <row r="14" spans="1:68" ht="11.25" customHeight="1" x14ac:dyDescent="0.2">
      <c r="A14" s="188" t="str">
        <f>IF(BP14='Datos Kandiko'!A16,'Datos Kandiko'!A16,"")</f>
        <v/>
      </c>
      <c r="B14" s="185" t="str">
        <f>IF(BP14=A14,'Datos Kandiko'!B16,"")</f>
        <v/>
      </c>
      <c r="C14" s="186" t="str">
        <f>IF(BP14=A14,'Datos Kandiko'!C16,"")</f>
        <v/>
      </c>
      <c r="D14" s="37" t="str">
        <f>IF(BP14=A14,VLOOKUP(B14,'Datos Kandiko'!B16:BB53,3,0),"")</f>
        <v/>
      </c>
      <c r="E14" s="32" t="str">
        <f>IF(BP14=A14,VLOOKUP(B14,'Datos Kandiko'!B16:BB53,4,0),"")</f>
        <v/>
      </c>
      <c r="F14" s="32" t="str">
        <f>IF(BP14=A14,VLOOKUP(B14,'Datos Kandiko'!B16:BB53,5,0),"")</f>
        <v/>
      </c>
      <c r="G14" s="32" t="str">
        <f>IF(BP14=A14,VLOOKUP(B14,'Datos Kandiko'!B16:BB53,6,0),"")</f>
        <v/>
      </c>
      <c r="H14" s="33" t="str">
        <f t="shared" si="0"/>
        <v/>
      </c>
      <c r="I14" s="33" t="str">
        <f t="shared" si="1"/>
        <v/>
      </c>
      <c r="J14" s="34" t="str">
        <f t="shared" si="2"/>
        <v/>
      </c>
      <c r="K14" s="31" t="str">
        <f t="shared" si="3"/>
        <v/>
      </c>
      <c r="L14" s="37" t="str">
        <f>IF(A14="","",VLOOKUP(B14,'Datos Kandiko'!B16:BB53,11,0))</f>
        <v/>
      </c>
      <c r="M14" s="32" t="str">
        <f>IF(A14="","",VLOOKUP(B14,'Datos Kandiko'!B16:BB53,12,0))</f>
        <v/>
      </c>
      <c r="N14" s="32" t="str">
        <f>IF(A14="","",VLOOKUP(B14,'Datos Kandiko'!B16:BB53,13,0))</f>
        <v/>
      </c>
      <c r="O14" s="32" t="str">
        <f>IF(A14="","",VLOOKUP(B14,'Datos Kandiko'!B16:BB53,14,0))</f>
        <v/>
      </c>
      <c r="P14" s="33" t="str">
        <f t="shared" si="7"/>
        <v/>
      </c>
      <c r="Q14" s="33" t="str">
        <f t="shared" si="8"/>
        <v/>
      </c>
      <c r="R14" s="34" t="str">
        <f t="shared" si="4"/>
        <v/>
      </c>
      <c r="S14" s="31" t="str">
        <f t="shared" si="5"/>
        <v/>
      </c>
      <c r="T14" s="35" t="str">
        <f t="shared" si="9"/>
        <v/>
      </c>
      <c r="U14" s="35" t="str">
        <f t="shared" si="10"/>
        <v/>
      </c>
      <c r="V14" s="37" t="str">
        <f>IF(A14="","",VLOOKUP(B14,'Datos Kandiko'!B16:BB53,21,0))</f>
        <v/>
      </c>
      <c r="W14" s="32" t="str">
        <f>IF(A14="","",VLOOKUP(B14,'Datos Kandiko'!B16:BB53,22,0))</f>
        <v/>
      </c>
      <c r="X14" s="32" t="str">
        <f>IF(A14="","",VLOOKUP(B14,'Datos Kandiko'!B16:BB53,23,0))</f>
        <v/>
      </c>
      <c r="Y14" s="32" t="str">
        <f>IF(A14="","",VLOOKUP(B14,'Datos Kandiko'!B16:BB53,24,0))</f>
        <v/>
      </c>
      <c r="Z14" s="33" t="str">
        <f t="shared" si="11"/>
        <v/>
      </c>
      <c r="AA14" s="33" t="str">
        <f t="shared" si="12"/>
        <v/>
      </c>
      <c r="AB14" s="34" t="str">
        <f t="shared" si="13"/>
        <v/>
      </c>
      <c r="AC14" s="31" t="str">
        <f t="shared" si="14"/>
        <v/>
      </c>
      <c r="AD14" s="37" t="str">
        <f t="shared" si="15"/>
        <v/>
      </c>
      <c r="AE14" s="32" t="str">
        <f>IF(A14="","",VLOOKUP(B14,'Datos Kandiko'!B16:BB53,30,0))</f>
        <v/>
      </c>
      <c r="AF14" s="31" t="str">
        <f t="shared" si="16"/>
        <v/>
      </c>
      <c r="AG14" s="32" t="str">
        <f>IF(A14="","",VLOOKUP(B14,'Datos Kandiko'!B16:BB53,32,0))</f>
        <v/>
      </c>
      <c r="AH14" s="32" t="str">
        <f>IF(A14="","",VLOOKUP(B14,'Datos Kandiko'!B16:BB53,33,0))</f>
        <v/>
      </c>
      <c r="AI14" s="32" t="str">
        <f>IF(A14="","",VLOOKUP(B14,'Datos Kandiko'!B16:BB53,34,0))</f>
        <v/>
      </c>
      <c r="AJ14" s="34" t="str">
        <f t="shared" si="17"/>
        <v/>
      </c>
      <c r="AK14" s="35" t="str">
        <f t="shared" si="18"/>
        <v/>
      </c>
      <c r="AL14" s="37" t="str">
        <f>IF(A14="","",VLOOKUP(B14,'Datos Kandiko'!B16:BB53,37,0))</f>
        <v/>
      </c>
      <c r="AM14" s="58" t="str">
        <f t="shared" si="19"/>
        <v/>
      </c>
      <c r="AN14" s="262" t="str">
        <f>IF(BP14=A14,'Datos Kandiko'!BL16,"")</f>
        <v/>
      </c>
      <c r="AO14" s="32" t="str">
        <f>IF(A14="","",VLOOKUP(B14,'Datos Kandiko'!B16:BF53,39,0))</f>
        <v/>
      </c>
      <c r="AP14" s="36" t="str">
        <f t="shared" si="23"/>
        <v/>
      </c>
      <c r="AQ14" s="32" t="str">
        <f>IF(A14="","",VLOOKUP(B14,'Datos Kandiko'!B16:BH53,41,0))</f>
        <v/>
      </c>
      <c r="AR14" s="32" t="str">
        <f>IF(A14="","",VLOOKUP(B14,'Datos Kandiko'!B16:BI53,42,0))</f>
        <v/>
      </c>
      <c r="AS14" s="32" t="str">
        <f>IF(A14="","",VLOOKUP(B14,'Datos Kandiko'!B16:BJ53,43,0))</f>
        <v/>
      </c>
      <c r="AT14" s="32" t="str">
        <f>IF(A14="","",VLOOKUP(B14,'Datos Kandiko'!B16:BK53,44,0))</f>
        <v/>
      </c>
      <c r="AU14" s="58"/>
      <c r="AV14" s="37" t="str">
        <f t="shared" si="24"/>
        <v/>
      </c>
      <c r="AW14" s="38" t="str">
        <f t="shared" si="20"/>
        <v/>
      </c>
      <c r="AY14" s="180" t="str">
        <f>IF(A14="","",+'Datos Kandiko'!AY16)</f>
        <v/>
      </c>
      <c r="AZ14" s="180" t="str">
        <f t="shared" si="21"/>
        <v/>
      </c>
      <c r="BA14" s="255" t="str">
        <f>IF(A14="","",VLOOKUP(B14,'Datos Kandiko'!B16:BF53,51,0))</f>
        <v/>
      </c>
      <c r="BB14" s="181" t="str">
        <f t="shared" si="6"/>
        <v/>
      </c>
      <c r="BC14" s="180" t="str">
        <f>IF(BP14=A14,'Datos Kandiko'!BL16,"")</f>
        <v/>
      </c>
      <c r="BD14" s="181" t="str">
        <f t="shared" si="22"/>
        <v/>
      </c>
      <c r="BE14" s="29" t="str">
        <f>IF(A14="","",VLOOKUP(B14,'Datos Kandiko'!B16:BF53,53,0))</f>
        <v/>
      </c>
      <c r="BF14" s="28" t="str">
        <f>IF(A14="","",VLOOKUP(B14,'Datos Kandiko'!B16:BF53,54,0))</f>
        <v/>
      </c>
      <c r="BG14" s="28" t="str">
        <f>IF(A14="","",VLOOKUP(B14,'Datos Kandiko'!B16:BF53,55,0))</f>
        <v/>
      </c>
      <c r="BH14" s="28" t="str">
        <f>IF(A14="","",VLOOKUP(B14,'Datos Kandiko'!B16:BF53,51,0))</f>
        <v/>
      </c>
      <c r="BI14" s="28" t="str">
        <f>IF(A14="","",IF(VLOOKUP(B14,'Datos Kandiko'!B16:BF53,52,0)=0%,IF(AO14&gt;1,1,VLOOKUP(B14,'Datos Kandiko'!B16:BF53,52,0))))</f>
        <v/>
      </c>
      <c r="BJ14" s="211" t="str">
        <f>IF(A14="","",VLOOKUP(B14,'Datos Kandiko'!B16:BH53,58,0))</f>
        <v/>
      </c>
      <c r="BK14" s="27" t="str">
        <f>IF(A14="","",VLOOKUP(B14,'Datos Kandiko'!B16:BH53,59,0))</f>
        <v/>
      </c>
      <c r="BL14" s="29" t="str">
        <f>IF(A14="","",VLOOKUP(B14,'Datos Kandiko'!B16:BF53,55,0))</f>
        <v/>
      </c>
      <c r="BM14" s="181" t="str">
        <f>IF(A14="","",VLOOKUP(B14,'Datos Kandiko'!B16:BF53,56,0))</f>
        <v/>
      </c>
      <c r="BN14" s="266" t="str">
        <f>IF(A14="","",IF(VLOOKUP(B14,'Datos Kandiko'!B16:BF53,57,0)=0,IF(AO14&gt;1,1,VLOOKUP(B14,'Datos Kandiko'!B16:BF53,57,0))))</f>
        <v/>
      </c>
      <c r="BO14" s="59"/>
      <c r="BP14" s="190" t="str">
        <f>+'Biyemas S.A.'!BP14</f>
        <v xml:space="preserve">Sab/Sat    </v>
      </c>
    </row>
    <row r="15" spans="1:68" x14ac:dyDescent="0.2">
      <c r="A15" s="188" t="str">
        <f>IF(BP15='Datos Kandiko'!A17,'Datos Kandiko'!A17,"")</f>
        <v/>
      </c>
      <c r="B15" s="185" t="str">
        <f>IF(BP15=A15,'Datos Kandiko'!B17,"")</f>
        <v/>
      </c>
      <c r="C15" s="186" t="str">
        <f>IF(BP15=A15,'Datos Kandiko'!C17,"")</f>
        <v/>
      </c>
      <c r="D15" s="37" t="str">
        <f>IF(BP15=A15,VLOOKUP(B15,'Datos Kandiko'!B17:BB54,3,0),"")</f>
        <v/>
      </c>
      <c r="E15" s="32" t="str">
        <f>IF(BP15=A15,VLOOKUP(B15,'Datos Kandiko'!B17:BB54,4,0),"")</f>
        <v/>
      </c>
      <c r="F15" s="32" t="str">
        <f>IF(BP15=A15,VLOOKUP(B15,'Datos Kandiko'!B17:BB54,5,0),"")</f>
        <v/>
      </c>
      <c r="G15" s="32" t="str">
        <f>IF(BP15=A15,VLOOKUP(B15,'Datos Kandiko'!B17:BB54,6,0),"")</f>
        <v/>
      </c>
      <c r="H15" s="33" t="str">
        <f t="shared" si="0"/>
        <v/>
      </c>
      <c r="I15" s="33" t="str">
        <f t="shared" si="1"/>
        <v/>
      </c>
      <c r="J15" s="34" t="str">
        <f t="shared" si="2"/>
        <v/>
      </c>
      <c r="K15" s="31" t="str">
        <f t="shared" si="3"/>
        <v/>
      </c>
      <c r="L15" s="37" t="str">
        <f>IF(A15="","",VLOOKUP(B15,'Datos Kandiko'!B17:BB54,11,0))</f>
        <v/>
      </c>
      <c r="M15" s="32" t="str">
        <f>IF(A15="","",VLOOKUP(B15,'Datos Kandiko'!B17:BB54,12,0))</f>
        <v/>
      </c>
      <c r="N15" s="32" t="str">
        <f>IF(A15="","",VLOOKUP(B15,'Datos Kandiko'!B17:BB54,13,0))</f>
        <v/>
      </c>
      <c r="O15" s="32" t="str">
        <f>IF(A15="","",VLOOKUP(B15,'Datos Kandiko'!B17:BB54,14,0))</f>
        <v/>
      </c>
      <c r="P15" s="33" t="str">
        <f t="shared" si="7"/>
        <v/>
      </c>
      <c r="Q15" s="33" t="str">
        <f t="shared" si="8"/>
        <v/>
      </c>
      <c r="R15" s="34" t="str">
        <f t="shared" si="4"/>
        <v/>
      </c>
      <c r="S15" s="31" t="str">
        <f t="shared" si="5"/>
        <v/>
      </c>
      <c r="T15" s="35" t="str">
        <f t="shared" si="9"/>
        <v/>
      </c>
      <c r="U15" s="35" t="str">
        <f t="shared" si="10"/>
        <v/>
      </c>
      <c r="V15" s="37" t="str">
        <f>IF(A15="","",VLOOKUP(B15,'Datos Kandiko'!B17:BB54,21,0))</f>
        <v/>
      </c>
      <c r="W15" s="32" t="str">
        <f>IF(A15="","",VLOOKUP(B15,'Datos Kandiko'!B17:BB54,22,0))</f>
        <v/>
      </c>
      <c r="X15" s="32" t="str">
        <f>IF(A15="","",VLOOKUP(B15,'Datos Kandiko'!B17:BB54,23,0))</f>
        <v/>
      </c>
      <c r="Y15" s="32" t="str">
        <f>IF(A15="","",VLOOKUP(B15,'Datos Kandiko'!B17:BB54,24,0))</f>
        <v/>
      </c>
      <c r="Z15" s="33" t="str">
        <f t="shared" si="11"/>
        <v/>
      </c>
      <c r="AA15" s="33" t="str">
        <f t="shared" si="12"/>
        <v/>
      </c>
      <c r="AB15" s="34" t="str">
        <f t="shared" si="13"/>
        <v/>
      </c>
      <c r="AC15" s="31" t="str">
        <f t="shared" si="14"/>
        <v/>
      </c>
      <c r="AD15" s="37" t="str">
        <f t="shared" si="15"/>
        <v/>
      </c>
      <c r="AE15" s="32" t="str">
        <f>IF(A15="","",VLOOKUP(B15,'Datos Kandiko'!B17:BB54,30,0))</f>
        <v/>
      </c>
      <c r="AF15" s="31" t="str">
        <f t="shared" si="16"/>
        <v/>
      </c>
      <c r="AG15" s="32" t="str">
        <f>IF(A15="","",VLOOKUP(B15,'Datos Kandiko'!B17:BB54,32,0))</f>
        <v/>
      </c>
      <c r="AH15" s="32" t="str">
        <f>IF(A15="","",VLOOKUP(B15,'Datos Kandiko'!B17:BB54,33,0))</f>
        <v/>
      </c>
      <c r="AI15" s="32" t="str">
        <f>IF(A15="","",VLOOKUP(B15,'Datos Kandiko'!B17:BB54,34,0))</f>
        <v/>
      </c>
      <c r="AJ15" s="34" t="str">
        <f t="shared" si="17"/>
        <v/>
      </c>
      <c r="AK15" s="35" t="str">
        <f t="shared" si="18"/>
        <v/>
      </c>
      <c r="AL15" s="37" t="str">
        <f>IF(A15="","",VLOOKUP(B15,'Datos Kandiko'!B17:BB54,37,0))</f>
        <v/>
      </c>
      <c r="AM15" s="58" t="str">
        <f t="shared" si="19"/>
        <v/>
      </c>
      <c r="AN15" s="262" t="str">
        <f>IF(BP15=A15,'Datos Kandiko'!BL17,"")</f>
        <v/>
      </c>
      <c r="AO15" s="32" t="str">
        <f>IF(A15="","",VLOOKUP(B15,'Datos Kandiko'!B17:BF54,39,0))</f>
        <v/>
      </c>
      <c r="AP15" s="36" t="str">
        <f t="shared" si="23"/>
        <v/>
      </c>
      <c r="AQ15" s="32" t="str">
        <f>IF(A15="","",VLOOKUP(B15,'Datos Kandiko'!B17:BH54,41,0))</f>
        <v/>
      </c>
      <c r="AR15" s="32" t="str">
        <f>IF(A15="","",VLOOKUP(B15,'Datos Kandiko'!B17:BI54,42,0))</f>
        <v/>
      </c>
      <c r="AS15" s="32" t="str">
        <f>IF(A15="","",VLOOKUP(B15,'Datos Kandiko'!B17:BJ54,43,0))</f>
        <v/>
      </c>
      <c r="AT15" s="32" t="str">
        <f>IF(A15="","",VLOOKUP(B15,'Datos Kandiko'!B17:BK54,44,0))</f>
        <v/>
      </c>
      <c r="AU15" s="58"/>
      <c r="AV15" s="37" t="str">
        <f t="shared" si="24"/>
        <v/>
      </c>
      <c r="AW15" s="38" t="str">
        <f t="shared" si="20"/>
        <v/>
      </c>
      <c r="AY15" s="180" t="str">
        <f>IF(A15="","",+'Datos Kandiko'!AY17)</f>
        <v/>
      </c>
      <c r="AZ15" s="180" t="str">
        <f t="shared" si="21"/>
        <v/>
      </c>
      <c r="BA15" s="255" t="str">
        <f>IF(A15="","",VLOOKUP(B15,'Datos Kandiko'!B17:BF54,51,0))</f>
        <v/>
      </c>
      <c r="BB15" s="181" t="str">
        <f t="shared" si="6"/>
        <v/>
      </c>
      <c r="BC15" s="180" t="str">
        <f>IF(BP15=A15,'Datos Kandiko'!BL17,"")</f>
        <v/>
      </c>
      <c r="BD15" s="181" t="str">
        <f t="shared" si="22"/>
        <v/>
      </c>
      <c r="BE15" s="29" t="str">
        <f>IF(A15="","",VLOOKUP(B15,'Datos Kandiko'!B17:BF54,53,0))</f>
        <v/>
      </c>
      <c r="BF15" s="28" t="str">
        <f>IF(A15="","",VLOOKUP(B15,'Datos Kandiko'!B17:BF54,54,0))</f>
        <v/>
      </c>
      <c r="BG15" s="28" t="str">
        <f>IF(A15="","",VLOOKUP(B15,'Datos Kandiko'!B17:BF54,55,0))</f>
        <v/>
      </c>
      <c r="BH15" s="28" t="str">
        <f>IF(A15="","",VLOOKUP(B15,'Datos Kandiko'!B17:BF54,51,0))</f>
        <v/>
      </c>
      <c r="BI15" s="28" t="str">
        <f>IF(A15="","",IF(VLOOKUP(B15,'Datos Kandiko'!B17:BF54,52,0)=0%,IF(AO15&gt;1,1,VLOOKUP(B15,'Datos Kandiko'!B17:BF54,52,0))))</f>
        <v/>
      </c>
      <c r="BJ15" s="211" t="str">
        <f>IF(A15="","",VLOOKUP(B15,'Datos Kandiko'!B17:BH54,58,0))</f>
        <v/>
      </c>
      <c r="BK15" s="27" t="str">
        <f>IF(A15="","",VLOOKUP(B15,'Datos Kandiko'!B17:BH54,59,0))</f>
        <v/>
      </c>
      <c r="BL15" s="29" t="str">
        <f>IF(A15="","",VLOOKUP(B15,'Datos Kandiko'!B17:BF54,55,0))</f>
        <v/>
      </c>
      <c r="BM15" s="181" t="str">
        <f>IF(A15="","",VLOOKUP(B15,'Datos Kandiko'!B17:BF54,56,0))</f>
        <v/>
      </c>
      <c r="BN15" s="266" t="str">
        <f>IF(A15="","",IF(VLOOKUP(B15,'Datos Kandiko'!B17:BF54,57,0)=0,IF(AO15&gt;1,1,VLOOKUP(B15,'Datos Kandiko'!B17:BF54,57,0))))</f>
        <v/>
      </c>
      <c r="BO15" s="59"/>
      <c r="BP15" s="190" t="str">
        <f>+'Biyemas S.A.'!BP15</f>
        <v xml:space="preserve">Dom/Sun    </v>
      </c>
    </row>
    <row r="16" spans="1:68" s="30" customFormat="1" ht="11.25" customHeight="1" x14ac:dyDescent="0.2">
      <c r="A16" s="188" t="str">
        <f>IF(BP16='Datos Kandiko'!A18,'Datos Kandiko'!A18,"")</f>
        <v/>
      </c>
      <c r="B16" s="185" t="str">
        <f>IF(BP16=A16,'Datos Kandiko'!B18,"")</f>
        <v/>
      </c>
      <c r="C16" s="186" t="str">
        <f>IF(BP16=A16,'Datos Kandiko'!C18,"")</f>
        <v/>
      </c>
      <c r="D16" s="37" t="str">
        <f>IF(BP16=A16,VLOOKUP(B16,'Datos Kandiko'!B18:BB55,3,0),"")</f>
        <v/>
      </c>
      <c r="E16" s="32" t="str">
        <f>IF(BP16=A16,VLOOKUP(B16,'Datos Kandiko'!B18:BB55,4,0),"")</f>
        <v/>
      </c>
      <c r="F16" s="32" t="str">
        <f>IF(BP16=A16,VLOOKUP(B16,'Datos Kandiko'!B18:BB55,5,0),"")</f>
        <v/>
      </c>
      <c r="G16" s="32" t="str">
        <f>IF(BP16=A16,VLOOKUP(B16,'Datos Kandiko'!B18:BB55,6,0),"")</f>
        <v/>
      </c>
      <c r="H16" s="33" t="str">
        <f t="shared" si="0"/>
        <v/>
      </c>
      <c r="I16" s="33" t="str">
        <f t="shared" si="1"/>
        <v/>
      </c>
      <c r="J16" s="34" t="str">
        <f t="shared" si="2"/>
        <v/>
      </c>
      <c r="K16" s="31" t="str">
        <f t="shared" si="3"/>
        <v/>
      </c>
      <c r="L16" s="37" t="str">
        <f>IF(A16="","",VLOOKUP(B16,'Datos Kandiko'!B18:BB55,11,0))</f>
        <v/>
      </c>
      <c r="M16" s="32" t="str">
        <f>IF(A16="","",VLOOKUP(B16,'Datos Kandiko'!B18:BB55,12,0))</f>
        <v/>
      </c>
      <c r="N16" s="32" t="str">
        <f>IF(A16="","",VLOOKUP(B16,'Datos Kandiko'!B18:BB55,13,0))</f>
        <v/>
      </c>
      <c r="O16" s="32" t="str">
        <f>IF(A16="","",VLOOKUP(B16,'Datos Kandiko'!B18:BB55,14,0))</f>
        <v/>
      </c>
      <c r="P16" s="33" t="str">
        <f t="shared" si="7"/>
        <v/>
      </c>
      <c r="Q16" s="33" t="str">
        <f t="shared" si="8"/>
        <v/>
      </c>
      <c r="R16" s="34" t="str">
        <f t="shared" si="4"/>
        <v/>
      </c>
      <c r="S16" s="31" t="str">
        <f t="shared" si="5"/>
        <v/>
      </c>
      <c r="T16" s="35" t="str">
        <f t="shared" si="9"/>
        <v/>
      </c>
      <c r="U16" s="35" t="str">
        <f t="shared" si="10"/>
        <v/>
      </c>
      <c r="V16" s="37" t="str">
        <f>IF(A16="","",VLOOKUP(B16,'Datos Kandiko'!B18:BB55,21,0))</f>
        <v/>
      </c>
      <c r="W16" s="32" t="str">
        <f>IF(A16="","",VLOOKUP(B16,'Datos Kandiko'!B18:BB55,22,0))</f>
        <v/>
      </c>
      <c r="X16" s="32" t="str">
        <f>IF(A16="","",VLOOKUP(B16,'Datos Kandiko'!B18:BB55,23,0))</f>
        <v/>
      </c>
      <c r="Y16" s="32" t="str">
        <f>IF(A16="","",VLOOKUP(B16,'Datos Kandiko'!B18:BB55,24,0))</f>
        <v/>
      </c>
      <c r="Z16" s="33" t="str">
        <f t="shared" si="11"/>
        <v/>
      </c>
      <c r="AA16" s="33" t="str">
        <f t="shared" si="12"/>
        <v/>
      </c>
      <c r="AB16" s="34" t="str">
        <f t="shared" si="13"/>
        <v/>
      </c>
      <c r="AC16" s="31" t="str">
        <f t="shared" si="14"/>
        <v/>
      </c>
      <c r="AD16" s="37" t="str">
        <f t="shared" si="15"/>
        <v/>
      </c>
      <c r="AE16" s="32" t="str">
        <f>IF(A16="","",VLOOKUP(B16,'Datos Kandiko'!B18:BB55,30,0))</f>
        <v/>
      </c>
      <c r="AF16" s="31" t="str">
        <f t="shared" si="16"/>
        <v/>
      </c>
      <c r="AG16" s="32" t="str">
        <f>IF(A16="","",VLOOKUP(B16,'Datos Kandiko'!B18:BB55,32,0))</f>
        <v/>
      </c>
      <c r="AH16" s="32" t="str">
        <f>IF(A16="","",VLOOKUP(B16,'Datos Kandiko'!B18:BB55,33,0))</f>
        <v/>
      </c>
      <c r="AI16" s="32" t="str">
        <f>IF(A16="","",VLOOKUP(B16,'Datos Kandiko'!B18:BB55,34,0))</f>
        <v/>
      </c>
      <c r="AJ16" s="34" t="str">
        <f t="shared" si="17"/>
        <v/>
      </c>
      <c r="AK16" s="35" t="str">
        <f t="shared" si="18"/>
        <v/>
      </c>
      <c r="AL16" s="37" t="str">
        <f>IF(A16="","",VLOOKUP(B16,'Datos Kandiko'!B18:BB55,37,0))</f>
        <v/>
      </c>
      <c r="AM16" s="58" t="str">
        <f t="shared" si="19"/>
        <v/>
      </c>
      <c r="AN16" s="262" t="str">
        <f>IF(BP16=A16,'Datos Kandiko'!BL18,"")</f>
        <v/>
      </c>
      <c r="AO16" s="32" t="str">
        <f>IF(A16="","",VLOOKUP(B16,'Datos Kandiko'!B18:BF55,39,0))</f>
        <v/>
      </c>
      <c r="AP16" s="36" t="str">
        <f t="shared" si="23"/>
        <v/>
      </c>
      <c r="AQ16" s="32" t="str">
        <f>IF(A16="","",VLOOKUP(B16,'Datos Kandiko'!B18:BH55,41,0))</f>
        <v/>
      </c>
      <c r="AR16" s="32" t="str">
        <f>IF(A16="","",VLOOKUP(B16,'Datos Kandiko'!B18:BI55,42,0))</f>
        <v/>
      </c>
      <c r="AS16" s="32" t="str">
        <f>IF(A16="","",VLOOKUP(B16,'Datos Kandiko'!B18:BJ55,43,0))</f>
        <v/>
      </c>
      <c r="AT16" s="32" t="str">
        <f>IF(A16="","",VLOOKUP(B16,'Datos Kandiko'!B18:BK55,44,0))</f>
        <v/>
      </c>
      <c r="AU16" s="58"/>
      <c r="AV16" s="37" t="str">
        <f t="shared" si="24"/>
        <v/>
      </c>
      <c r="AW16" s="38" t="str">
        <f t="shared" si="20"/>
        <v/>
      </c>
      <c r="AY16" s="180" t="str">
        <f>IF(A16="","",+'Datos Kandiko'!AY18)</f>
        <v/>
      </c>
      <c r="AZ16" s="180" t="str">
        <f t="shared" si="21"/>
        <v/>
      </c>
      <c r="BA16" s="255" t="str">
        <f>IF(A16="","",VLOOKUP(B16,'Datos Kandiko'!B18:BF55,51,0))</f>
        <v/>
      </c>
      <c r="BB16" s="181" t="str">
        <f t="shared" si="6"/>
        <v/>
      </c>
      <c r="BC16" s="180" t="str">
        <f>IF(BP16=A16,'Datos Kandiko'!BL18,"")</f>
        <v/>
      </c>
      <c r="BD16" s="181" t="str">
        <f t="shared" si="22"/>
        <v/>
      </c>
      <c r="BE16" s="29" t="str">
        <f>IF(A16="","",VLOOKUP(B16,'Datos Kandiko'!B18:BF55,53,0))</f>
        <v/>
      </c>
      <c r="BF16" s="28" t="str">
        <f>IF(A16="","",VLOOKUP(B16,'Datos Kandiko'!B18:BF55,54,0))</f>
        <v/>
      </c>
      <c r="BG16" s="28" t="str">
        <f>IF(A16="","",VLOOKUP(B16,'Datos Kandiko'!B18:BF55,55,0))</f>
        <v/>
      </c>
      <c r="BH16" s="28" t="str">
        <f>IF(A16="","",VLOOKUP(B16,'Datos Kandiko'!B18:BF55,51,0))</f>
        <v/>
      </c>
      <c r="BI16" s="28" t="str">
        <f>IF(A16="","",IF(VLOOKUP(B16,'Datos Kandiko'!B18:BF55,52,0)=0%,IF(AO16&gt;1,1,VLOOKUP(B16,'Datos Kandiko'!B18:BF55,52,0))))</f>
        <v/>
      </c>
      <c r="BJ16" s="211" t="str">
        <f>IF(A16="","",VLOOKUP(B16,'Datos Kandiko'!B18:BH55,58,0))</f>
        <v/>
      </c>
      <c r="BK16" s="27" t="str">
        <f>IF(A16="","",VLOOKUP(B16,'Datos Kandiko'!B18:BH55,59,0))</f>
        <v/>
      </c>
      <c r="BL16" s="29" t="str">
        <f>IF(A16="","",VLOOKUP(B16,'Datos Kandiko'!B18:BF55,55,0))</f>
        <v/>
      </c>
      <c r="BM16" s="181" t="str">
        <f>IF(A16="","",VLOOKUP(B16,'Datos Kandiko'!B18:BF55,56,0))</f>
        <v/>
      </c>
      <c r="BN16" s="266" t="str">
        <f>IF(A16="","",IF(VLOOKUP(B16,'Datos Kandiko'!B18:BF55,57,0)=0,IF(AO16&gt;1,1,VLOOKUP(B16,'Datos Kandiko'!B18:BF55,57,0))))</f>
        <v/>
      </c>
      <c r="BO16" s="59"/>
      <c r="BP16" s="190" t="str">
        <f>+'Biyemas S.A.'!BP16</f>
        <v xml:space="preserve">Lun/Mon    </v>
      </c>
    </row>
    <row r="17" spans="1:68" s="30" customFormat="1" ht="11.25" customHeight="1" x14ac:dyDescent="0.2">
      <c r="A17" s="188" t="str">
        <f>IF(BP17='Datos Kandiko'!A19,'Datos Kandiko'!A19,"")</f>
        <v/>
      </c>
      <c r="B17" s="185" t="str">
        <f>IF(BP17=A17,'Datos Kandiko'!B19,"")</f>
        <v/>
      </c>
      <c r="C17" s="186" t="str">
        <f>IF(BP17=A17,'Datos Kandiko'!C19,"")</f>
        <v/>
      </c>
      <c r="D17" s="37" t="str">
        <f>IF(BP17=A17,VLOOKUP(B17,'Datos Kandiko'!B19:BB56,3,0),"")</f>
        <v/>
      </c>
      <c r="E17" s="32" t="str">
        <f>IF(BP17=A17,VLOOKUP(B17,'Datos Kandiko'!B19:BB56,4,0),"")</f>
        <v/>
      </c>
      <c r="F17" s="32" t="str">
        <f>IF(BP17=A17,VLOOKUP(B17,'Datos Kandiko'!B19:BB56,5,0),"")</f>
        <v/>
      </c>
      <c r="G17" s="32" t="str">
        <f>IF(BP17=A17,VLOOKUP(B17,'Datos Kandiko'!B19:BB56,6,0),"")</f>
        <v/>
      </c>
      <c r="H17" s="33" t="str">
        <f t="shared" si="0"/>
        <v/>
      </c>
      <c r="I17" s="33" t="str">
        <f t="shared" si="1"/>
        <v/>
      </c>
      <c r="J17" s="34" t="str">
        <f t="shared" si="2"/>
        <v/>
      </c>
      <c r="K17" s="31" t="str">
        <f t="shared" si="3"/>
        <v/>
      </c>
      <c r="L17" s="37" t="str">
        <f>IF(A17="","",VLOOKUP(B17,'Datos Kandiko'!B19:BB56,11,0))</f>
        <v/>
      </c>
      <c r="M17" s="32" t="str">
        <f>IF(A17="","",VLOOKUP(B17,'Datos Kandiko'!B19:BB56,12,0))</f>
        <v/>
      </c>
      <c r="N17" s="32" t="str">
        <f>IF(A17="","",VLOOKUP(B17,'Datos Kandiko'!B19:BB56,13,0))</f>
        <v/>
      </c>
      <c r="O17" s="32" t="str">
        <f>IF(A17="","",VLOOKUP(B17,'Datos Kandiko'!B19:BB56,14,0))</f>
        <v/>
      </c>
      <c r="P17" s="33" t="str">
        <f t="shared" si="7"/>
        <v/>
      </c>
      <c r="Q17" s="33" t="str">
        <f t="shared" si="8"/>
        <v/>
      </c>
      <c r="R17" s="34" t="str">
        <f t="shared" si="4"/>
        <v/>
      </c>
      <c r="S17" s="31" t="str">
        <f t="shared" si="5"/>
        <v/>
      </c>
      <c r="T17" s="35" t="str">
        <f t="shared" si="9"/>
        <v/>
      </c>
      <c r="U17" s="35" t="str">
        <f t="shared" si="10"/>
        <v/>
      </c>
      <c r="V17" s="37" t="str">
        <f>IF(A17="","",VLOOKUP(B17,'Datos Kandiko'!B19:BB56,21,0))</f>
        <v/>
      </c>
      <c r="W17" s="32" t="str">
        <f>IF(A17="","",VLOOKUP(B17,'Datos Kandiko'!B19:BB56,22,0))</f>
        <v/>
      </c>
      <c r="X17" s="32" t="str">
        <f>IF(A17="","",VLOOKUP(B17,'Datos Kandiko'!B19:BB56,23,0))</f>
        <v/>
      </c>
      <c r="Y17" s="32" t="str">
        <f>IF(A17="","",VLOOKUP(B17,'Datos Kandiko'!B19:BB56,24,0))</f>
        <v/>
      </c>
      <c r="Z17" s="33" t="str">
        <f t="shared" si="11"/>
        <v/>
      </c>
      <c r="AA17" s="33" t="str">
        <f t="shared" si="12"/>
        <v/>
      </c>
      <c r="AB17" s="34" t="str">
        <f t="shared" si="13"/>
        <v/>
      </c>
      <c r="AC17" s="31" t="str">
        <f t="shared" si="14"/>
        <v/>
      </c>
      <c r="AD17" s="37" t="str">
        <f t="shared" si="15"/>
        <v/>
      </c>
      <c r="AE17" s="32" t="str">
        <f>IF(A17="","",VLOOKUP(B17,'Datos Kandiko'!B19:BB56,30,0))</f>
        <v/>
      </c>
      <c r="AF17" s="31" t="str">
        <f t="shared" si="16"/>
        <v/>
      </c>
      <c r="AG17" s="32" t="str">
        <f>IF(A17="","",VLOOKUP(B17,'Datos Kandiko'!B19:BB56,32,0))</f>
        <v/>
      </c>
      <c r="AH17" s="32" t="str">
        <f>IF(A17="","",VLOOKUP(B17,'Datos Kandiko'!B19:BB56,33,0))</f>
        <v/>
      </c>
      <c r="AI17" s="32" t="str">
        <f>IF(A17="","",VLOOKUP(B17,'Datos Kandiko'!B19:BB56,34,0))</f>
        <v/>
      </c>
      <c r="AJ17" s="34" t="str">
        <f t="shared" si="17"/>
        <v/>
      </c>
      <c r="AK17" s="35" t="str">
        <f t="shared" si="18"/>
        <v/>
      </c>
      <c r="AL17" s="37" t="str">
        <f>IF(A17="","",VLOOKUP(B17,'Datos Kandiko'!B19:BB56,37,0))</f>
        <v/>
      </c>
      <c r="AM17" s="58" t="str">
        <f t="shared" si="19"/>
        <v/>
      </c>
      <c r="AN17" s="262" t="str">
        <f>IF(BP17=A17,'Datos Kandiko'!BL19,"")</f>
        <v/>
      </c>
      <c r="AO17" s="32" t="str">
        <f>IF(A17="","",VLOOKUP(B17,'Datos Kandiko'!B19:BF56,39,0))</f>
        <v/>
      </c>
      <c r="AP17" s="36" t="str">
        <f t="shared" si="23"/>
        <v/>
      </c>
      <c r="AQ17" s="32" t="str">
        <f>IF(A17="","",VLOOKUP(B17,'Datos Kandiko'!B19:BH56,41,0))</f>
        <v/>
      </c>
      <c r="AR17" s="32" t="str">
        <f>IF(A17="","",VLOOKUP(B17,'Datos Kandiko'!B19:BI56,42,0))</f>
        <v/>
      </c>
      <c r="AS17" s="32" t="str">
        <f>IF(A17="","",VLOOKUP(B17,'Datos Kandiko'!B19:BJ56,43,0))</f>
        <v/>
      </c>
      <c r="AT17" s="32" t="str">
        <f>IF(A17="","",VLOOKUP(B17,'Datos Kandiko'!B19:BK56,44,0))</f>
        <v/>
      </c>
      <c r="AU17" s="58"/>
      <c r="AV17" s="37" t="str">
        <f t="shared" si="24"/>
        <v/>
      </c>
      <c r="AW17" s="38" t="str">
        <f t="shared" si="20"/>
        <v/>
      </c>
      <c r="AY17" s="180" t="str">
        <f>IF(A17="","",+'Datos Kandiko'!AY19)</f>
        <v/>
      </c>
      <c r="AZ17" s="180" t="str">
        <f t="shared" si="21"/>
        <v/>
      </c>
      <c r="BA17" s="255" t="str">
        <f>IF(A17="","",VLOOKUP(B17,'Datos Kandiko'!B19:BF56,51,0))</f>
        <v/>
      </c>
      <c r="BB17" s="181" t="str">
        <f t="shared" si="6"/>
        <v/>
      </c>
      <c r="BC17" s="180" t="str">
        <f>IF(BP17=A17,'Datos Kandiko'!BL19,"")</f>
        <v/>
      </c>
      <c r="BD17" s="181" t="str">
        <f t="shared" si="22"/>
        <v/>
      </c>
      <c r="BE17" s="29" t="str">
        <f>IF(A17="","",VLOOKUP(B17,'Datos Kandiko'!B19:BF56,53,0))</f>
        <v/>
      </c>
      <c r="BF17" s="28" t="str">
        <f>IF(A17="","",VLOOKUP(B17,'Datos Kandiko'!B19:BF56,54,0))</f>
        <v/>
      </c>
      <c r="BG17" s="28" t="str">
        <f>IF(A17="","",VLOOKUP(B17,'Datos Kandiko'!B19:BF56,55,0))</f>
        <v/>
      </c>
      <c r="BH17" s="28" t="str">
        <f>IF(A17="","",VLOOKUP(B17,'Datos Kandiko'!B19:BF56,51,0))</f>
        <v/>
      </c>
      <c r="BI17" s="28" t="str">
        <f>IF(A17="","",IF(VLOOKUP(B17,'Datos Kandiko'!B19:BF56,52,0)=0%,IF(AO17&gt;1,1,VLOOKUP(B17,'Datos Kandiko'!B19:BF56,52,0))))</f>
        <v/>
      </c>
      <c r="BJ17" s="211" t="str">
        <f>IF(A17="","",VLOOKUP(B17,'Datos Kandiko'!B19:BH56,58,0))</f>
        <v/>
      </c>
      <c r="BK17" s="27" t="str">
        <f>IF(A17="","",VLOOKUP(B17,'Datos Kandiko'!B19:BH56,59,0))</f>
        <v/>
      </c>
      <c r="BL17" s="29" t="str">
        <f>IF(A17="","",VLOOKUP(B17,'Datos Kandiko'!B19:BF56,55,0))</f>
        <v/>
      </c>
      <c r="BM17" s="181" t="str">
        <f>IF(A17="","",VLOOKUP(B17,'Datos Kandiko'!B19:BF56,56,0))</f>
        <v/>
      </c>
      <c r="BN17" s="266" t="str">
        <f>IF(A17="","",IF(VLOOKUP(B17,'Datos Kandiko'!B19:BF56,57,0)=0,IF(AO17&gt;1,1,VLOOKUP(B17,'Datos Kandiko'!B19:BF56,57,0))))</f>
        <v/>
      </c>
      <c r="BO17" s="59"/>
      <c r="BP17" s="190" t="str">
        <f>+'Biyemas S.A.'!BP17</f>
        <v xml:space="preserve">Mar/Tue    </v>
      </c>
    </row>
    <row r="18" spans="1:68" s="30" customFormat="1" x14ac:dyDescent="0.2">
      <c r="A18" s="188" t="str">
        <f>IF(BP18='Datos Kandiko'!A20,'Datos Kandiko'!A20,"")</f>
        <v/>
      </c>
      <c r="B18" s="185" t="str">
        <f>IF(BP18=A18,'Datos Kandiko'!B20,"")</f>
        <v/>
      </c>
      <c r="C18" s="186" t="str">
        <f>IF(BP18=A18,'Datos Kandiko'!C20,"")</f>
        <v/>
      </c>
      <c r="D18" s="37" t="str">
        <f>IF(BP18=A18,VLOOKUP(B18,'Datos Kandiko'!B20:BB57,3,0),"")</f>
        <v/>
      </c>
      <c r="E18" s="32" t="str">
        <f>IF(BP18=A18,VLOOKUP(B18,'Datos Kandiko'!B20:BB57,4,0),"")</f>
        <v/>
      </c>
      <c r="F18" s="32" t="str">
        <f>IF(BP18=A18,VLOOKUP(B18,'Datos Kandiko'!B20:BB57,5,0),"")</f>
        <v/>
      </c>
      <c r="G18" s="32" t="str">
        <f>IF(BP18=A18,VLOOKUP(B18,'Datos Kandiko'!B20:BB57,6,0),"")</f>
        <v/>
      </c>
      <c r="H18" s="33" t="str">
        <f t="shared" si="0"/>
        <v/>
      </c>
      <c r="I18" s="33" t="str">
        <f t="shared" si="1"/>
        <v/>
      </c>
      <c r="J18" s="34" t="str">
        <f t="shared" si="2"/>
        <v/>
      </c>
      <c r="K18" s="31" t="str">
        <f t="shared" si="3"/>
        <v/>
      </c>
      <c r="L18" s="37" t="str">
        <f>IF(A18="","",VLOOKUP(B18,'Datos Kandiko'!B20:BB57,11,0))</f>
        <v/>
      </c>
      <c r="M18" s="32" t="str">
        <f>IF(A18="","",VLOOKUP(B18,'Datos Kandiko'!B20:BB57,12,0))</f>
        <v/>
      </c>
      <c r="N18" s="32" t="str">
        <f>IF(A18="","",VLOOKUP(B18,'Datos Kandiko'!B20:BB57,13,0))</f>
        <v/>
      </c>
      <c r="O18" s="32" t="str">
        <f>IF(A18="","",VLOOKUP(B18,'Datos Kandiko'!B20:BB57,14,0))</f>
        <v/>
      </c>
      <c r="P18" s="33" t="str">
        <f t="shared" si="7"/>
        <v/>
      </c>
      <c r="Q18" s="33" t="str">
        <f t="shared" si="8"/>
        <v/>
      </c>
      <c r="R18" s="34" t="str">
        <f t="shared" si="4"/>
        <v/>
      </c>
      <c r="S18" s="31" t="str">
        <f t="shared" si="5"/>
        <v/>
      </c>
      <c r="T18" s="35" t="str">
        <f t="shared" si="9"/>
        <v/>
      </c>
      <c r="U18" s="35" t="str">
        <f t="shared" si="10"/>
        <v/>
      </c>
      <c r="V18" s="37" t="str">
        <f>IF(A18="","",VLOOKUP(B18,'Datos Kandiko'!B20:BB57,21,0))</f>
        <v/>
      </c>
      <c r="W18" s="32" t="str">
        <f>IF(A18="","",VLOOKUP(B18,'Datos Kandiko'!B20:BB57,22,0))</f>
        <v/>
      </c>
      <c r="X18" s="32" t="str">
        <f>IF(A18="","",VLOOKUP(B18,'Datos Kandiko'!B20:BB57,23,0))</f>
        <v/>
      </c>
      <c r="Y18" s="32" t="str">
        <f>IF(A18="","",VLOOKUP(B18,'Datos Kandiko'!B20:BB57,24,0))</f>
        <v/>
      </c>
      <c r="Z18" s="33" t="str">
        <f t="shared" si="11"/>
        <v/>
      </c>
      <c r="AA18" s="33" t="str">
        <f t="shared" si="12"/>
        <v/>
      </c>
      <c r="AB18" s="34" t="str">
        <f t="shared" si="13"/>
        <v/>
      </c>
      <c r="AC18" s="31" t="str">
        <f t="shared" si="14"/>
        <v/>
      </c>
      <c r="AD18" s="37" t="str">
        <f t="shared" si="15"/>
        <v/>
      </c>
      <c r="AE18" s="32" t="str">
        <f>IF(A18="","",VLOOKUP(B18,'Datos Kandiko'!B20:BB57,30,0))</f>
        <v/>
      </c>
      <c r="AF18" s="31" t="str">
        <f t="shared" si="16"/>
        <v/>
      </c>
      <c r="AG18" s="32" t="str">
        <f>IF(A18="","",VLOOKUP(B18,'Datos Kandiko'!B20:BB57,32,0))</f>
        <v/>
      </c>
      <c r="AH18" s="32" t="str">
        <f>IF(A18="","",VLOOKUP(B18,'Datos Kandiko'!B20:BB57,33,0))</f>
        <v/>
      </c>
      <c r="AI18" s="32" t="str">
        <f>IF(A18="","",VLOOKUP(B18,'Datos Kandiko'!B20:BB57,34,0))</f>
        <v/>
      </c>
      <c r="AJ18" s="34" t="str">
        <f t="shared" si="17"/>
        <v/>
      </c>
      <c r="AK18" s="35" t="str">
        <f t="shared" si="18"/>
        <v/>
      </c>
      <c r="AL18" s="37" t="str">
        <f>IF(A18="","",VLOOKUP(B18,'Datos Kandiko'!B20:BB57,37,0))</f>
        <v/>
      </c>
      <c r="AM18" s="58" t="str">
        <f t="shared" si="19"/>
        <v/>
      </c>
      <c r="AN18" s="262" t="str">
        <f>IF(BP18=A18,'Datos Kandiko'!BL20,"")</f>
        <v/>
      </c>
      <c r="AO18" s="32" t="str">
        <f>IF(A18="","",VLOOKUP(B18,'Datos Kandiko'!B20:BF57,39,0))</f>
        <v/>
      </c>
      <c r="AP18" s="36" t="str">
        <f t="shared" si="23"/>
        <v/>
      </c>
      <c r="AQ18" s="32" t="str">
        <f>IF(A18="","",VLOOKUP(B18,'Datos Kandiko'!B20:BH57,41,0))</f>
        <v/>
      </c>
      <c r="AR18" s="32" t="str">
        <f>IF(A18="","",VLOOKUP(B18,'Datos Kandiko'!B20:BI57,42,0))</f>
        <v/>
      </c>
      <c r="AS18" s="32" t="str">
        <f>IF(A18="","",VLOOKUP(B18,'Datos Kandiko'!B20:BJ57,43,0))</f>
        <v/>
      </c>
      <c r="AT18" s="32" t="str">
        <f>IF(A18="","",VLOOKUP(B18,'Datos Kandiko'!B20:BK57,44,0))</f>
        <v/>
      </c>
      <c r="AU18" s="58"/>
      <c r="AV18" s="37" t="str">
        <f t="shared" si="24"/>
        <v/>
      </c>
      <c r="AW18" s="38" t="str">
        <f t="shared" si="20"/>
        <v/>
      </c>
      <c r="AY18" s="180" t="str">
        <f>IF(A18="","",+'Datos Kandiko'!AY20)</f>
        <v/>
      </c>
      <c r="AZ18" s="180" t="str">
        <f t="shared" si="21"/>
        <v/>
      </c>
      <c r="BA18" s="255" t="str">
        <f>IF(A18="","",VLOOKUP(B18,'Datos Kandiko'!B20:BF57,51,0))</f>
        <v/>
      </c>
      <c r="BB18" s="181" t="str">
        <f t="shared" si="6"/>
        <v/>
      </c>
      <c r="BC18" s="180" t="str">
        <f>IF(BP18=A18,'Datos Kandiko'!BL20,"")</f>
        <v/>
      </c>
      <c r="BD18" s="181" t="str">
        <f t="shared" si="22"/>
        <v/>
      </c>
      <c r="BE18" s="29" t="str">
        <f>IF(A18="","",VLOOKUP(B18,'Datos Kandiko'!B20:BF57,53,0))</f>
        <v/>
      </c>
      <c r="BF18" s="28" t="str">
        <f>IF(A18="","",VLOOKUP(B18,'Datos Kandiko'!B20:BF57,54,0))</f>
        <v/>
      </c>
      <c r="BG18" s="28" t="str">
        <f>IF(A18="","",VLOOKUP(B18,'Datos Kandiko'!B20:BF57,55,0))</f>
        <v/>
      </c>
      <c r="BH18" s="28" t="str">
        <f>IF(A18="","",VLOOKUP(B18,'Datos Kandiko'!B20:BF57,51,0))</f>
        <v/>
      </c>
      <c r="BI18" s="28" t="str">
        <f>IF(A18="","",IF(VLOOKUP(B18,'Datos Kandiko'!B20:BF57,52,0)=0%,IF(AO18&gt;1,1,VLOOKUP(B18,'Datos Kandiko'!B20:BF57,52,0))))</f>
        <v/>
      </c>
      <c r="BJ18" s="211" t="str">
        <f>IF(A18="","",VLOOKUP(B18,'Datos Kandiko'!B20:BH57,58,0))</f>
        <v/>
      </c>
      <c r="BK18" s="27" t="str">
        <f>IF(A18="","",VLOOKUP(B18,'Datos Kandiko'!B20:BH57,59,0))</f>
        <v/>
      </c>
      <c r="BL18" s="29" t="str">
        <f>IF(A18="","",VLOOKUP(B18,'Datos Kandiko'!B20:BF57,55,0))</f>
        <v/>
      </c>
      <c r="BM18" s="181" t="str">
        <f>IF(A18="","",VLOOKUP(B18,'Datos Kandiko'!B20:BF57,56,0))</f>
        <v/>
      </c>
      <c r="BN18" s="266" t="str">
        <f>IF(A18="","",IF(VLOOKUP(B18,'Datos Kandiko'!B20:BF57,57,0)=0,IF(AO18&gt;1,1,VLOOKUP(B18,'Datos Kandiko'!B20:BF57,57,0))))</f>
        <v/>
      </c>
      <c r="BO18" s="59"/>
      <c r="BP18" s="190" t="str">
        <f>+'Biyemas S.A.'!BP18</f>
        <v xml:space="preserve">Mie/Wed    </v>
      </c>
    </row>
    <row r="19" spans="1:68" ht="11.25" customHeight="1" x14ac:dyDescent="0.2">
      <c r="A19" s="188" t="str">
        <f>IF(BP19='Datos Kandiko'!A21,'Datos Kandiko'!A21,"")</f>
        <v/>
      </c>
      <c r="B19" s="185" t="str">
        <f>IF(BP19=A19,'Datos Kandiko'!B21,"")</f>
        <v/>
      </c>
      <c r="C19" s="186" t="str">
        <f>IF(BP19=A19,'Datos Kandiko'!C21,"")</f>
        <v/>
      </c>
      <c r="D19" s="37" t="str">
        <f>IF(BP19=A19,VLOOKUP(B19,'Datos Kandiko'!B21:BB58,3,0),"")</f>
        <v/>
      </c>
      <c r="E19" s="32" t="str">
        <f>IF(BP19=A19,VLOOKUP(B19,'Datos Kandiko'!B21:BB58,4,0),"")</f>
        <v/>
      </c>
      <c r="F19" s="32" t="str">
        <f>IF(BP19=A19,VLOOKUP(B19,'Datos Kandiko'!B21:BB58,5,0),"")</f>
        <v/>
      </c>
      <c r="G19" s="32" t="str">
        <f>IF(BP19=A19,VLOOKUP(B19,'Datos Kandiko'!B21:BB58,6,0),"")</f>
        <v/>
      </c>
      <c r="H19" s="33" t="str">
        <f t="shared" si="0"/>
        <v/>
      </c>
      <c r="I19" s="33" t="str">
        <f t="shared" si="1"/>
        <v/>
      </c>
      <c r="J19" s="34" t="str">
        <f t="shared" si="2"/>
        <v/>
      </c>
      <c r="K19" s="31" t="str">
        <f t="shared" si="3"/>
        <v/>
      </c>
      <c r="L19" s="37" t="str">
        <f>IF(A19="","",VLOOKUP(B19,'Datos Kandiko'!B21:BB58,11,0))</f>
        <v/>
      </c>
      <c r="M19" s="32" t="str">
        <f>IF(A19="","",VLOOKUP(B19,'Datos Kandiko'!B21:BB58,12,0))</f>
        <v/>
      </c>
      <c r="N19" s="32" t="str">
        <f>IF(A19="","",VLOOKUP(B19,'Datos Kandiko'!B21:BB58,13,0))</f>
        <v/>
      </c>
      <c r="O19" s="32" t="str">
        <f>IF(A19="","",VLOOKUP(B19,'Datos Kandiko'!B21:BB58,14,0))</f>
        <v/>
      </c>
      <c r="P19" s="33" t="str">
        <f t="shared" si="7"/>
        <v/>
      </c>
      <c r="Q19" s="33" t="str">
        <f t="shared" si="8"/>
        <v/>
      </c>
      <c r="R19" s="34" t="str">
        <f t="shared" si="4"/>
        <v/>
      </c>
      <c r="S19" s="31" t="str">
        <f t="shared" si="5"/>
        <v/>
      </c>
      <c r="T19" s="35" t="str">
        <f t="shared" si="9"/>
        <v/>
      </c>
      <c r="U19" s="35" t="str">
        <f t="shared" si="10"/>
        <v/>
      </c>
      <c r="V19" s="37" t="str">
        <f>IF(A19="","",VLOOKUP(B19,'Datos Kandiko'!B21:BB58,21,0))</f>
        <v/>
      </c>
      <c r="W19" s="32" t="str">
        <f>IF(A19="","",VLOOKUP(B19,'Datos Kandiko'!B21:BB58,22,0))</f>
        <v/>
      </c>
      <c r="X19" s="32" t="str">
        <f>IF(A19="","",VLOOKUP(B19,'Datos Kandiko'!B21:BB58,23,0))</f>
        <v/>
      </c>
      <c r="Y19" s="32" t="str">
        <f>IF(A19="","",VLOOKUP(B19,'Datos Kandiko'!B21:BB58,24,0))</f>
        <v/>
      </c>
      <c r="Z19" s="33" t="str">
        <f t="shared" si="11"/>
        <v/>
      </c>
      <c r="AA19" s="33" t="str">
        <f t="shared" si="12"/>
        <v/>
      </c>
      <c r="AB19" s="34" t="str">
        <f t="shared" si="13"/>
        <v/>
      </c>
      <c r="AC19" s="31" t="str">
        <f t="shared" si="14"/>
        <v/>
      </c>
      <c r="AD19" s="37" t="str">
        <f t="shared" si="15"/>
        <v/>
      </c>
      <c r="AE19" s="32" t="str">
        <f>IF(A19="","",VLOOKUP(B19,'Datos Kandiko'!B21:BB58,30,0))</f>
        <v/>
      </c>
      <c r="AF19" s="31" t="str">
        <f t="shared" si="16"/>
        <v/>
      </c>
      <c r="AG19" s="32" t="str">
        <f>IF(A19="","",VLOOKUP(B19,'Datos Kandiko'!B21:BB58,32,0))</f>
        <v/>
      </c>
      <c r="AH19" s="32" t="str">
        <f>IF(A19="","",VLOOKUP(B19,'Datos Kandiko'!B21:BB58,33,0))</f>
        <v/>
      </c>
      <c r="AI19" s="32" t="str">
        <f>IF(A19="","",VLOOKUP(B19,'Datos Kandiko'!B21:BB58,34,0))</f>
        <v/>
      </c>
      <c r="AJ19" s="34" t="str">
        <f t="shared" si="17"/>
        <v/>
      </c>
      <c r="AK19" s="35" t="str">
        <f t="shared" si="18"/>
        <v/>
      </c>
      <c r="AL19" s="37" t="str">
        <f>IF(A19="","",VLOOKUP(B19,'Datos Kandiko'!B21:BB58,37,0))</f>
        <v/>
      </c>
      <c r="AM19" s="58" t="str">
        <f t="shared" si="19"/>
        <v/>
      </c>
      <c r="AN19" s="262" t="str">
        <f>IF(BP19=A19,'Datos Kandiko'!BL21,"")</f>
        <v/>
      </c>
      <c r="AO19" s="32" t="str">
        <f>IF(A19="","",VLOOKUP(B19,'Datos Kandiko'!B21:BF58,39,0))</f>
        <v/>
      </c>
      <c r="AP19" s="36" t="str">
        <f t="shared" si="23"/>
        <v/>
      </c>
      <c r="AQ19" s="32" t="str">
        <f>IF(A19="","",VLOOKUP(B19,'Datos Kandiko'!B21:BH58,41,0))</f>
        <v/>
      </c>
      <c r="AR19" s="32" t="str">
        <f>IF(A19="","",VLOOKUP(B19,'Datos Kandiko'!B21:BI58,42,0))</f>
        <v/>
      </c>
      <c r="AS19" s="32" t="str">
        <f>IF(A19="","",VLOOKUP(B19,'Datos Kandiko'!B21:BJ58,43,0))</f>
        <v/>
      </c>
      <c r="AT19" s="32" t="str">
        <f>IF(A19="","",VLOOKUP(B19,'Datos Kandiko'!B21:BK58,44,0))</f>
        <v/>
      </c>
      <c r="AU19" s="58"/>
      <c r="AV19" s="37" t="str">
        <f t="shared" si="24"/>
        <v/>
      </c>
      <c r="AW19" s="38" t="str">
        <f t="shared" si="20"/>
        <v/>
      </c>
      <c r="AY19" s="180" t="str">
        <f>IF(A19="","",+'Datos Kandiko'!AY21)</f>
        <v/>
      </c>
      <c r="AZ19" s="180" t="str">
        <f t="shared" si="21"/>
        <v/>
      </c>
      <c r="BA19" s="255" t="str">
        <f>IF(A19="","",VLOOKUP(B19,'Datos Kandiko'!B21:BF58,51,0))</f>
        <v/>
      </c>
      <c r="BB19" s="181" t="str">
        <f t="shared" si="6"/>
        <v/>
      </c>
      <c r="BC19" s="180" t="str">
        <f>IF(BP19=A19,'Datos Kandiko'!BL21,"")</f>
        <v/>
      </c>
      <c r="BD19" s="181" t="str">
        <f t="shared" si="22"/>
        <v/>
      </c>
      <c r="BE19" s="29" t="str">
        <f>IF(A19="","",VLOOKUP(B19,'Datos Kandiko'!B21:BF58,53,0))</f>
        <v/>
      </c>
      <c r="BF19" s="28" t="str">
        <f>IF(A19="","",VLOOKUP(B19,'Datos Kandiko'!B21:BF58,54,0))</f>
        <v/>
      </c>
      <c r="BG19" s="28" t="str">
        <f>IF(A19="","",VLOOKUP(B19,'Datos Kandiko'!B21:BF58,55,0))</f>
        <v/>
      </c>
      <c r="BH19" s="28" t="str">
        <f>IF(A19="","",VLOOKUP(B19,'Datos Kandiko'!B21:BF58,51,0))</f>
        <v/>
      </c>
      <c r="BI19" s="28" t="str">
        <f>IF(A19="","",IF(VLOOKUP(B19,'Datos Kandiko'!B21:BF58,52,0)=0%,IF(AO19&gt;1,1,VLOOKUP(B19,'Datos Kandiko'!B21:BF58,52,0))))</f>
        <v/>
      </c>
      <c r="BJ19" s="211" t="str">
        <f>IF(A19="","",VLOOKUP(B19,'Datos Kandiko'!B21:BH58,58,0))</f>
        <v/>
      </c>
      <c r="BK19" s="27" t="str">
        <f>IF(A19="","",VLOOKUP(B19,'Datos Kandiko'!B21:BH58,59,0))</f>
        <v/>
      </c>
      <c r="BL19" s="29" t="str">
        <f>IF(A19="","",VLOOKUP(B19,'Datos Kandiko'!B21:BF58,55,0))</f>
        <v/>
      </c>
      <c r="BM19" s="181" t="str">
        <f>IF(A19="","",VLOOKUP(B19,'Datos Kandiko'!B21:BF58,56,0))</f>
        <v/>
      </c>
      <c r="BN19" s="266" t="str">
        <f>IF(A19="","",IF(VLOOKUP(B19,'Datos Kandiko'!B21:BF58,57,0)=0,IF(AO19&gt;1,1,VLOOKUP(B19,'Datos Kandiko'!B21:BF58,57,0))))</f>
        <v/>
      </c>
      <c r="BO19" s="59"/>
      <c r="BP19" s="190" t="str">
        <f>+'Biyemas S.A.'!BP19</f>
        <v xml:space="preserve">Jue/Thu    </v>
      </c>
    </row>
    <row r="20" spans="1:68" ht="11.25" customHeight="1" x14ac:dyDescent="0.2">
      <c r="A20" s="188" t="str">
        <f>IF(BP20='Datos Kandiko'!A22,'Datos Kandiko'!A22,"")</f>
        <v/>
      </c>
      <c r="B20" s="185" t="str">
        <f>IF(BP20=A20,'Datos Kandiko'!B22,"")</f>
        <v/>
      </c>
      <c r="C20" s="186" t="str">
        <f>IF(BP20=A20,'Datos Kandiko'!C22,"")</f>
        <v/>
      </c>
      <c r="D20" s="37" t="str">
        <f>IF(BP20=A20,VLOOKUP(B20,'Datos Kandiko'!B22:BB59,3,0),"")</f>
        <v/>
      </c>
      <c r="E20" s="32" t="str">
        <f>IF(BP20=A20,VLOOKUP(B20,'Datos Kandiko'!B22:BB59,4,0),"")</f>
        <v/>
      </c>
      <c r="F20" s="32" t="str">
        <f>IF(BP20=A20,VLOOKUP(B20,'Datos Kandiko'!B22:BB59,5,0),"")</f>
        <v/>
      </c>
      <c r="G20" s="32" t="str">
        <f>IF(BP20=A20,VLOOKUP(B20,'Datos Kandiko'!B22:BB59,6,0),"")</f>
        <v/>
      </c>
      <c r="H20" s="33" t="str">
        <f t="shared" si="0"/>
        <v/>
      </c>
      <c r="I20" s="33" t="str">
        <f t="shared" si="1"/>
        <v/>
      </c>
      <c r="J20" s="34" t="str">
        <f t="shared" si="2"/>
        <v/>
      </c>
      <c r="K20" s="31" t="str">
        <f t="shared" si="3"/>
        <v/>
      </c>
      <c r="L20" s="37" t="str">
        <f>IF(A20="","",VLOOKUP(B20,'Datos Kandiko'!B22:BB59,11,0))</f>
        <v/>
      </c>
      <c r="M20" s="32" t="str">
        <f>IF(A20="","",VLOOKUP(B20,'Datos Kandiko'!B22:BB59,12,0))</f>
        <v/>
      </c>
      <c r="N20" s="32" t="str">
        <f>IF(A20="","",VLOOKUP(B20,'Datos Kandiko'!B22:BB59,13,0))</f>
        <v/>
      </c>
      <c r="O20" s="32" t="str">
        <f>IF(A20="","",VLOOKUP(B20,'Datos Kandiko'!B22:BB59,14,0))</f>
        <v/>
      </c>
      <c r="P20" s="33" t="str">
        <f t="shared" si="7"/>
        <v/>
      </c>
      <c r="Q20" s="33" t="str">
        <f t="shared" si="8"/>
        <v/>
      </c>
      <c r="R20" s="34" t="str">
        <f t="shared" si="4"/>
        <v/>
      </c>
      <c r="S20" s="31" t="str">
        <f t="shared" si="5"/>
        <v/>
      </c>
      <c r="T20" s="35" t="str">
        <f t="shared" si="9"/>
        <v/>
      </c>
      <c r="U20" s="35" t="str">
        <f t="shared" si="10"/>
        <v/>
      </c>
      <c r="V20" s="37" t="str">
        <f>IF(A20="","",VLOOKUP(B20,'Datos Kandiko'!B22:BB59,21,0))</f>
        <v/>
      </c>
      <c r="W20" s="32" t="str">
        <f>IF(A20="","",VLOOKUP(B20,'Datos Kandiko'!B22:BB59,22,0))</f>
        <v/>
      </c>
      <c r="X20" s="32" t="str">
        <f>IF(A20="","",VLOOKUP(B20,'Datos Kandiko'!B22:BB59,23,0))</f>
        <v/>
      </c>
      <c r="Y20" s="32" t="str">
        <f>IF(A20="","",VLOOKUP(B20,'Datos Kandiko'!B22:BB59,24,0))</f>
        <v/>
      </c>
      <c r="Z20" s="33" t="str">
        <f t="shared" si="11"/>
        <v/>
      </c>
      <c r="AA20" s="33" t="str">
        <f t="shared" si="12"/>
        <v/>
      </c>
      <c r="AB20" s="34" t="str">
        <f t="shared" si="13"/>
        <v/>
      </c>
      <c r="AC20" s="31" t="str">
        <f t="shared" si="14"/>
        <v/>
      </c>
      <c r="AD20" s="37" t="str">
        <f t="shared" si="15"/>
        <v/>
      </c>
      <c r="AE20" s="32" t="str">
        <f>IF(A20="","",VLOOKUP(B20,'Datos Kandiko'!B22:BB59,30,0))</f>
        <v/>
      </c>
      <c r="AF20" s="31" t="str">
        <f t="shared" si="16"/>
        <v/>
      </c>
      <c r="AG20" s="32" t="str">
        <f>IF(A20="","",VLOOKUP(B20,'Datos Kandiko'!B22:BB59,32,0))</f>
        <v/>
      </c>
      <c r="AH20" s="32" t="str">
        <f>IF(A20="","",VLOOKUP(B20,'Datos Kandiko'!B22:BB59,33,0))</f>
        <v/>
      </c>
      <c r="AI20" s="32" t="str">
        <f>IF(A20="","",VLOOKUP(B20,'Datos Kandiko'!B22:BB59,34,0))</f>
        <v/>
      </c>
      <c r="AJ20" s="34" t="str">
        <f t="shared" si="17"/>
        <v/>
      </c>
      <c r="AK20" s="35" t="str">
        <f t="shared" si="18"/>
        <v/>
      </c>
      <c r="AL20" s="37" t="str">
        <f>IF(A20="","",VLOOKUP(B20,'Datos Kandiko'!B22:BB59,37,0))</f>
        <v/>
      </c>
      <c r="AM20" s="58" t="str">
        <f t="shared" si="19"/>
        <v/>
      </c>
      <c r="AN20" s="262" t="str">
        <f>IF(BP20=A20,'Datos Kandiko'!BL22,"")</f>
        <v/>
      </c>
      <c r="AO20" s="32" t="str">
        <f>IF(A20="","",VLOOKUP(B20,'Datos Kandiko'!B22:BF59,39,0))</f>
        <v/>
      </c>
      <c r="AP20" s="36" t="str">
        <f t="shared" si="23"/>
        <v/>
      </c>
      <c r="AQ20" s="32" t="str">
        <f>IF(A20="","",VLOOKUP(B20,'Datos Kandiko'!B22:BH59,41,0))</f>
        <v/>
      </c>
      <c r="AR20" s="32" t="str">
        <f>IF(A20="","",VLOOKUP(B20,'Datos Kandiko'!B22:BI59,42,0))</f>
        <v/>
      </c>
      <c r="AS20" s="32" t="str">
        <f>IF(A20="","",VLOOKUP(B20,'Datos Kandiko'!B22:BJ59,43,0))</f>
        <v/>
      </c>
      <c r="AT20" s="32" t="str">
        <f>IF(A20="","",VLOOKUP(B20,'Datos Kandiko'!B22:BK59,44,0))</f>
        <v/>
      </c>
      <c r="AU20" s="58"/>
      <c r="AV20" s="37" t="str">
        <f t="shared" si="24"/>
        <v/>
      </c>
      <c r="AW20" s="38" t="str">
        <f t="shared" si="20"/>
        <v/>
      </c>
      <c r="AY20" s="180" t="str">
        <f>IF(A20="","",+'Datos Kandiko'!AY22)</f>
        <v/>
      </c>
      <c r="AZ20" s="180" t="str">
        <f t="shared" si="21"/>
        <v/>
      </c>
      <c r="BA20" s="255" t="str">
        <f>IF(A20="","",VLOOKUP(B20,'Datos Kandiko'!B22:BF59,51,0))</f>
        <v/>
      </c>
      <c r="BB20" s="181" t="str">
        <f t="shared" si="6"/>
        <v/>
      </c>
      <c r="BC20" s="180" t="str">
        <f>IF(BP20=A20,'Datos Kandiko'!BL22,"")</f>
        <v/>
      </c>
      <c r="BD20" s="181" t="str">
        <f t="shared" si="22"/>
        <v/>
      </c>
      <c r="BE20" s="29" t="str">
        <f>IF(A20="","",VLOOKUP(B20,'Datos Kandiko'!B22:BF59,53,0))</f>
        <v/>
      </c>
      <c r="BF20" s="28" t="str">
        <f>IF(A20="","",VLOOKUP(B20,'Datos Kandiko'!B22:BF59,54,0))</f>
        <v/>
      </c>
      <c r="BG20" s="28" t="str">
        <f>IF(A20="","",VLOOKUP(B20,'Datos Kandiko'!B22:BF59,55,0))</f>
        <v/>
      </c>
      <c r="BH20" s="28" t="str">
        <f>IF(A20="","",VLOOKUP(B20,'Datos Kandiko'!B22:BF59,51,0))</f>
        <v/>
      </c>
      <c r="BI20" s="28" t="str">
        <f>IF(A20="","",IF(VLOOKUP(B20,'Datos Kandiko'!B22:BF59,52,0)=0%,IF(AO20&gt;1,1,VLOOKUP(B20,'Datos Kandiko'!B22:BF59,52,0))))</f>
        <v/>
      </c>
      <c r="BJ20" s="211" t="str">
        <f>IF(A20="","",VLOOKUP(B20,'Datos Kandiko'!B22:BH59,58,0))</f>
        <v/>
      </c>
      <c r="BK20" s="27" t="str">
        <f>IF(A20="","",VLOOKUP(B20,'Datos Kandiko'!B22:BH59,59,0))</f>
        <v/>
      </c>
      <c r="BL20" s="29" t="str">
        <f>IF(A20="","",VLOOKUP(B20,'Datos Kandiko'!B22:BF59,55,0))</f>
        <v/>
      </c>
      <c r="BM20" s="181" t="str">
        <f>IF(A20="","",VLOOKUP(B20,'Datos Kandiko'!B22:BF59,56,0))</f>
        <v/>
      </c>
      <c r="BN20" s="266" t="str">
        <f>IF(A20="","",IF(VLOOKUP(B20,'Datos Kandiko'!B22:BF59,57,0)=0,IF(AO20&gt;1,1,VLOOKUP(B20,'Datos Kandiko'!B22:BF59,57,0))))</f>
        <v/>
      </c>
      <c r="BO20" s="59"/>
      <c r="BP20" s="190" t="str">
        <f>+'Biyemas S.A.'!BP20</f>
        <v xml:space="preserve">Vie/Fri    </v>
      </c>
    </row>
    <row r="21" spans="1:68" ht="11.25" customHeight="1" x14ac:dyDescent="0.2">
      <c r="A21" s="188" t="str">
        <f>IF(BP21='Datos Kandiko'!A23,'Datos Kandiko'!A23,"")</f>
        <v/>
      </c>
      <c r="B21" s="185" t="str">
        <f>IF(BP21=A21,'Datos Kandiko'!B23,"")</f>
        <v/>
      </c>
      <c r="C21" s="186" t="str">
        <f>IF(BP21=A21,'Datos Kandiko'!C23,"")</f>
        <v/>
      </c>
      <c r="D21" s="37" t="str">
        <f>IF(BP21=A21,VLOOKUP(B21,'Datos Kandiko'!B23:BB60,3,0),"")</f>
        <v/>
      </c>
      <c r="E21" s="32" t="str">
        <f>IF(BP21=A21,VLOOKUP(B21,'Datos Kandiko'!B23:BB60,4,0),"")</f>
        <v/>
      </c>
      <c r="F21" s="32" t="str">
        <f>IF(BP21=A21,VLOOKUP(B21,'Datos Kandiko'!B23:BB60,5,0),"")</f>
        <v/>
      </c>
      <c r="G21" s="32" t="str">
        <f>IF(BP21=A21,VLOOKUP(B21,'Datos Kandiko'!B23:BB60,6,0),"")</f>
        <v/>
      </c>
      <c r="H21" s="33" t="str">
        <f t="shared" si="0"/>
        <v/>
      </c>
      <c r="I21" s="33" t="str">
        <f t="shared" si="1"/>
        <v/>
      </c>
      <c r="J21" s="34" t="str">
        <f t="shared" si="2"/>
        <v/>
      </c>
      <c r="K21" s="31" t="str">
        <f t="shared" si="3"/>
        <v/>
      </c>
      <c r="L21" s="37" t="str">
        <f>IF(A21="","",VLOOKUP(B21,'Datos Kandiko'!B23:BB60,11,0))</f>
        <v/>
      </c>
      <c r="M21" s="32" t="str">
        <f>IF(A21="","",VLOOKUP(B21,'Datos Kandiko'!B23:BB60,12,0))</f>
        <v/>
      </c>
      <c r="N21" s="32" t="str">
        <f>IF(A21="","",VLOOKUP(B21,'Datos Kandiko'!B23:BB60,13,0))</f>
        <v/>
      </c>
      <c r="O21" s="32" t="str">
        <f>IF(A21="","",VLOOKUP(B21,'Datos Kandiko'!B23:BB60,14,0))</f>
        <v/>
      </c>
      <c r="P21" s="33" t="str">
        <f t="shared" si="7"/>
        <v/>
      </c>
      <c r="Q21" s="33" t="str">
        <f t="shared" si="8"/>
        <v/>
      </c>
      <c r="R21" s="34" t="str">
        <f t="shared" si="4"/>
        <v/>
      </c>
      <c r="S21" s="31" t="str">
        <f t="shared" si="5"/>
        <v/>
      </c>
      <c r="T21" s="35" t="str">
        <f t="shared" si="9"/>
        <v/>
      </c>
      <c r="U21" s="35" t="str">
        <f t="shared" si="10"/>
        <v/>
      </c>
      <c r="V21" s="37" t="str">
        <f>IF(A21="","",VLOOKUP(B21,'Datos Kandiko'!B23:BB60,21,0))</f>
        <v/>
      </c>
      <c r="W21" s="32" t="str">
        <f>IF(A21="","",VLOOKUP(B21,'Datos Kandiko'!B23:BB60,22,0))</f>
        <v/>
      </c>
      <c r="X21" s="32" t="str">
        <f>IF(A21="","",VLOOKUP(B21,'Datos Kandiko'!B23:BB60,23,0))</f>
        <v/>
      </c>
      <c r="Y21" s="32" t="str">
        <f>IF(A21="","",VLOOKUP(B21,'Datos Kandiko'!B23:BB60,24,0))</f>
        <v/>
      </c>
      <c r="Z21" s="33" t="str">
        <f t="shared" si="11"/>
        <v/>
      </c>
      <c r="AA21" s="33" t="str">
        <f t="shared" si="12"/>
        <v/>
      </c>
      <c r="AB21" s="34" t="str">
        <f t="shared" si="13"/>
        <v/>
      </c>
      <c r="AC21" s="31" t="str">
        <f t="shared" si="14"/>
        <v/>
      </c>
      <c r="AD21" s="37" t="str">
        <f t="shared" si="15"/>
        <v/>
      </c>
      <c r="AE21" s="32" t="str">
        <f>IF(A21="","",VLOOKUP(B21,'Datos Kandiko'!B23:BB60,30,0))</f>
        <v/>
      </c>
      <c r="AF21" s="31" t="str">
        <f t="shared" si="16"/>
        <v/>
      </c>
      <c r="AG21" s="32" t="str">
        <f>IF(A21="","",VLOOKUP(B21,'Datos Kandiko'!B23:BB60,32,0))</f>
        <v/>
      </c>
      <c r="AH21" s="32" t="str">
        <f>IF(A21="","",VLOOKUP(B21,'Datos Kandiko'!B23:BB60,33,0))</f>
        <v/>
      </c>
      <c r="AI21" s="32" t="str">
        <f>IF(A21="","",VLOOKUP(B21,'Datos Kandiko'!B23:BB60,34,0))</f>
        <v/>
      </c>
      <c r="AJ21" s="34" t="str">
        <f t="shared" si="17"/>
        <v/>
      </c>
      <c r="AK21" s="35" t="str">
        <f t="shared" si="18"/>
        <v/>
      </c>
      <c r="AL21" s="37" t="str">
        <f>IF(A21="","",VLOOKUP(B21,'Datos Kandiko'!B23:BB60,37,0))</f>
        <v/>
      </c>
      <c r="AM21" s="58" t="str">
        <f t="shared" si="19"/>
        <v/>
      </c>
      <c r="AN21" s="262" t="str">
        <f>IF(BP21=A21,'Datos Kandiko'!BL23,"")</f>
        <v/>
      </c>
      <c r="AO21" s="32" t="str">
        <f>IF(A21="","",VLOOKUP(B21,'Datos Kandiko'!B23:BF60,39,0))</f>
        <v/>
      </c>
      <c r="AP21" s="36" t="str">
        <f t="shared" si="23"/>
        <v/>
      </c>
      <c r="AQ21" s="32" t="str">
        <f>IF(A21="","",VLOOKUP(B21,'Datos Kandiko'!B23:BH60,41,0))</f>
        <v/>
      </c>
      <c r="AR21" s="32" t="str">
        <f>IF(A21="","",VLOOKUP(B21,'Datos Kandiko'!B23:BI60,42,0))</f>
        <v/>
      </c>
      <c r="AS21" s="32" t="str">
        <f>IF(A21="","",VLOOKUP(B21,'Datos Kandiko'!B23:BJ60,43,0))</f>
        <v/>
      </c>
      <c r="AT21" s="32" t="str">
        <f>IF(A21="","",VLOOKUP(B21,'Datos Kandiko'!B23:BK60,44,0))</f>
        <v/>
      </c>
      <c r="AU21" s="58"/>
      <c r="AV21" s="37" t="str">
        <f t="shared" si="24"/>
        <v/>
      </c>
      <c r="AW21" s="38" t="str">
        <f t="shared" si="20"/>
        <v/>
      </c>
      <c r="AY21" s="180" t="str">
        <f>IF(A21="","",+'Datos Kandiko'!AY23)</f>
        <v/>
      </c>
      <c r="AZ21" s="180" t="str">
        <f t="shared" si="21"/>
        <v/>
      </c>
      <c r="BA21" s="255" t="str">
        <f>IF(A21="","",VLOOKUP(B21,'Datos Kandiko'!B23:BF60,51,0))</f>
        <v/>
      </c>
      <c r="BB21" s="181" t="str">
        <f t="shared" si="6"/>
        <v/>
      </c>
      <c r="BC21" s="180" t="str">
        <f>IF(BP21=A21,'Datos Kandiko'!BL23,"")</f>
        <v/>
      </c>
      <c r="BD21" s="181" t="str">
        <f t="shared" si="22"/>
        <v/>
      </c>
      <c r="BE21" s="29" t="str">
        <f>IF(A21="","",VLOOKUP(B21,'Datos Kandiko'!B23:BF60,53,0))</f>
        <v/>
      </c>
      <c r="BF21" s="28" t="str">
        <f>IF(A21="","",VLOOKUP(B21,'Datos Kandiko'!B23:BF60,54,0))</f>
        <v/>
      </c>
      <c r="BG21" s="28" t="str">
        <f>IF(A21="","",VLOOKUP(B21,'Datos Kandiko'!B23:BF60,55,0))</f>
        <v/>
      </c>
      <c r="BH21" s="28" t="str">
        <f>IF(A21="","",VLOOKUP(B21,'Datos Kandiko'!B23:BF60,51,0))</f>
        <v/>
      </c>
      <c r="BI21" s="28" t="str">
        <f>IF(A21="","",IF(VLOOKUP(B21,'Datos Kandiko'!B23:BF60,52,0)=0%,IF(AO21&gt;1,1,VLOOKUP(B21,'Datos Kandiko'!B23:BF60,52,0))))</f>
        <v/>
      </c>
      <c r="BJ21" s="211" t="str">
        <f>IF(A21="","",VLOOKUP(B21,'Datos Kandiko'!B23:BH60,58,0))</f>
        <v/>
      </c>
      <c r="BK21" s="27" t="str">
        <f>IF(A21="","",VLOOKUP(B21,'Datos Kandiko'!B23:BH60,59,0))</f>
        <v/>
      </c>
      <c r="BL21" s="29" t="str">
        <f>IF(A21="","",VLOOKUP(B21,'Datos Kandiko'!B23:BF60,55,0))</f>
        <v/>
      </c>
      <c r="BM21" s="181" t="str">
        <f>IF(A21="","",VLOOKUP(B21,'Datos Kandiko'!B23:BF60,56,0))</f>
        <v/>
      </c>
      <c r="BN21" s="266" t="str">
        <f>IF(A21="","",IF(VLOOKUP(B21,'Datos Kandiko'!B23:BF60,57,0)=0,IF(AO21&gt;1,1,VLOOKUP(B21,'Datos Kandiko'!B23:BF60,57,0))))</f>
        <v/>
      </c>
      <c r="BO21" s="59"/>
      <c r="BP21" s="190" t="str">
        <f>+'Biyemas S.A.'!BP21</f>
        <v xml:space="preserve">Sab/Sat    </v>
      </c>
    </row>
    <row r="22" spans="1:68" ht="11.25" customHeight="1" x14ac:dyDescent="0.2">
      <c r="A22" s="188" t="str">
        <f>IF(BP22='Datos Kandiko'!A24,'Datos Kandiko'!A24,"")</f>
        <v/>
      </c>
      <c r="B22" s="185" t="str">
        <f>IF(BP22=A22,'Datos Kandiko'!B24,"")</f>
        <v/>
      </c>
      <c r="C22" s="186" t="str">
        <f>IF(BP22=A22,'Datos Kandiko'!C24,"")</f>
        <v/>
      </c>
      <c r="D22" s="37" t="str">
        <f>IF(BP22=A22,VLOOKUP(B22,'Datos Kandiko'!B24:BB61,3,0),"")</f>
        <v/>
      </c>
      <c r="E22" s="32" t="str">
        <f>IF(BP22=A22,VLOOKUP(B22,'Datos Kandiko'!B24:BB61,4,0),"")</f>
        <v/>
      </c>
      <c r="F22" s="32" t="str">
        <f>IF(BP22=A22,VLOOKUP(B22,'Datos Kandiko'!B24:BB61,5,0),"")</f>
        <v/>
      </c>
      <c r="G22" s="32" t="str">
        <f>IF(BP22=A22,VLOOKUP(B22,'Datos Kandiko'!B24:BB61,6,0),"")</f>
        <v/>
      </c>
      <c r="H22" s="33" t="str">
        <f t="shared" si="0"/>
        <v/>
      </c>
      <c r="I22" s="33" t="str">
        <f t="shared" si="1"/>
        <v/>
      </c>
      <c r="J22" s="34" t="str">
        <f t="shared" si="2"/>
        <v/>
      </c>
      <c r="K22" s="31" t="str">
        <f t="shared" si="3"/>
        <v/>
      </c>
      <c r="L22" s="37" t="str">
        <f>IF(A22="","",VLOOKUP(B22,'Datos Kandiko'!B24:BB61,11,0))</f>
        <v/>
      </c>
      <c r="M22" s="32" t="str">
        <f>IF(A22="","",VLOOKUP(B22,'Datos Kandiko'!B24:BB61,12,0))</f>
        <v/>
      </c>
      <c r="N22" s="32" t="str">
        <f>IF(A22="","",VLOOKUP(B22,'Datos Kandiko'!B24:BB61,13,0))</f>
        <v/>
      </c>
      <c r="O22" s="32" t="str">
        <f>IF(A22="","",VLOOKUP(B22,'Datos Kandiko'!B24:BB61,14,0))</f>
        <v/>
      </c>
      <c r="P22" s="33" t="str">
        <f t="shared" si="7"/>
        <v/>
      </c>
      <c r="Q22" s="33" t="str">
        <f t="shared" si="8"/>
        <v/>
      </c>
      <c r="R22" s="34" t="str">
        <f t="shared" si="4"/>
        <v/>
      </c>
      <c r="S22" s="31" t="str">
        <f t="shared" si="5"/>
        <v/>
      </c>
      <c r="T22" s="35" t="str">
        <f t="shared" si="9"/>
        <v/>
      </c>
      <c r="U22" s="35" t="str">
        <f t="shared" si="10"/>
        <v/>
      </c>
      <c r="V22" s="37" t="str">
        <f>IF(A22="","",VLOOKUP(B22,'Datos Kandiko'!B24:BB61,21,0))</f>
        <v/>
      </c>
      <c r="W22" s="32" t="str">
        <f>IF(A22="","",VLOOKUP(B22,'Datos Kandiko'!B24:BB61,22,0))</f>
        <v/>
      </c>
      <c r="X22" s="32" t="str">
        <f>IF(A22="","",VLOOKUP(B22,'Datos Kandiko'!B24:BB61,23,0))</f>
        <v/>
      </c>
      <c r="Y22" s="32" t="str">
        <f>IF(A22="","",VLOOKUP(B22,'Datos Kandiko'!B24:BB61,24,0))</f>
        <v/>
      </c>
      <c r="Z22" s="33" t="str">
        <f t="shared" si="11"/>
        <v/>
      </c>
      <c r="AA22" s="33" t="str">
        <f t="shared" si="12"/>
        <v/>
      </c>
      <c r="AB22" s="34" t="str">
        <f t="shared" si="13"/>
        <v/>
      </c>
      <c r="AC22" s="31" t="str">
        <f t="shared" si="14"/>
        <v/>
      </c>
      <c r="AD22" s="37" t="str">
        <f t="shared" si="15"/>
        <v/>
      </c>
      <c r="AE22" s="32" t="str">
        <f>IF(A22="","",VLOOKUP(B22,'Datos Kandiko'!B24:BB61,30,0))</f>
        <v/>
      </c>
      <c r="AF22" s="31" t="str">
        <f t="shared" si="16"/>
        <v/>
      </c>
      <c r="AG22" s="32" t="str">
        <f>IF(A22="","",VLOOKUP(B22,'Datos Kandiko'!B24:BB61,32,0))</f>
        <v/>
      </c>
      <c r="AH22" s="32" t="str">
        <f>IF(A22="","",VLOOKUP(B22,'Datos Kandiko'!B24:BB61,33,0))</f>
        <v/>
      </c>
      <c r="AI22" s="32" t="str">
        <f>IF(A22="","",VLOOKUP(B22,'Datos Kandiko'!B24:BB61,34,0))</f>
        <v/>
      </c>
      <c r="AJ22" s="34" t="str">
        <f t="shared" si="17"/>
        <v/>
      </c>
      <c r="AK22" s="35" t="str">
        <f t="shared" si="18"/>
        <v/>
      </c>
      <c r="AL22" s="37" t="str">
        <f>IF(A22="","",VLOOKUP(B22,'Datos Kandiko'!B24:BB61,37,0))</f>
        <v/>
      </c>
      <c r="AM22" s="58" t="str">
        <f t="shared" si="19"/>
        <v/>
      </c>
      <c r="AN22" s="262" t="str">
        <f>IF(BP22=A22,'Datos Kandiko'!BL24,"")</f>
        <v/>
      </c>
      <c r="AO22" s="32" t="str">
        <f>IF(A22="","",VLOOKUP(B22,'Datos Kandiko'!B24:BF61,39,0))</f>
        <v/>
      </c>
      <c r="AP22" s="36" t="str">
        <f t="shared" si="23"/>
        <v/>
      </c>
      <c r="AQ22" s="32" t="str">
        <f>IF(A22="","",VLOOKUP(B22,'Datos Kandiko'!B24:BH61,41,0))</f>
        <v/>
      </c>
      <c r="AR22" s="32" t="str">
        <f>IF(A22="","",VLOOKUP(B22,'Datos Kandiko'!B24:BI61,42,0))</f>
        <v/>
      </c>
      <c r="AS22" s="32" t="str">
        <f>IF(A22="","",VLOOKUP(B22,'Datos Kandiko'!B24:BJ61,43,0))</f>
        <v/>
      </c>
      <c r="AT22" s="32" t="str">
        <f>IF(A22="","",VLOOKUP(B22,'Datos Kandiko'!B24:BK61,44,0))</f>
        <v/>
      </c>
      <c r="AU22" s="58"/>
      <c r="AV22" s="37" t="str">
        <f t="shared" si="24"/>
        <v/>
      </c>
      <c r="AW22" s="38" t="str">
        <f t="shared" si="20"/>
        <v/>
      </c>
      <c r="AY22" s="180" t="str">
        <f>IF(A22="","",+'Datos Kandiko'!AY24)</f>
        <v/>
      </c>
      <c r="AZ22" s="180" t="str">
        <f t="shared" si="21"/>
        <v/>
      </c>
      <c r="BA22" s="255" t="str">
        <f>IF(A22="","",VLOOKUP(B22,'Datos Kandiko'!B24:BF61,51,0))</f>
        <v/>
      </c>
      <c r="BB22" s="181" t="str">
        <f t="shared" si="6"/>
        <v/>
      </c>
      <c r="BC22" s="180" t="str">
        <f>IF(BP22=A22,'Datos Kandiko'!BL24,"")</f>
        <v/>
      </c>
      <c r="BD22" s="181" t="str">
        <f t="shared" si="22"/>
        <v/>
      </c>
      <c r="BE22" s="29" t="str">
        <f>IF(A22="","",VLOOKUP(B22,'Datos Kandiko'!B24:BF61,53,0))</f>
        <v/>
      </c>
      <c r="BF22" s="28" t="str">
        <f>IF(A22="","",VLOOKUP(B22,'Datos Kandiko'!B24:BF61,54,0))</f>
        <v/>
      </c>
      <c r="BG22" s="28" t="str">
        <f>IF(A22="","",VLOOKUP(B22,'Datos Kandiko'!B24:BF61,55,0))</f>
        <v/>
      </c>
      <c r="BH22" s="28" t="str">
        <f>IF(A22="","",VLOOKUP(B22,'Datos Kandiko'!B24:BF61,51,0))</f>
        <v/>
      </c>
      <c r="BI22" s="28" t="str">
        <f>IF(A22="","",IF(VLOOKUP(B22,'Datos Kandiko'!B24:BF61,52,0)=0%,IF(AO22&gt;1,1,VLOOKUP(B22,'Datos Kandiko'!B24:BF61,52,0))))</f>
        <v/>
      </c>
      <c r="BJ22" s="211" t="str">
        <f>IF(A22="","",VLOOKUP(B22,'Datos Kandiko'!B24:BH61,58,0))</f>
        <v/>
      </c>
      <c r="BK22" s="27" t="str">
        <f>IF(A22="","",VLOOKUP(B22,'Datos Kandiko'!B24:BH61,59,0))</f>
        <v/>
      </c>
      <c r="BL22" s="29" t="str">
        <f>IF(A22="","",VLOOKUP(B22,'Datos Kandiko'!B24:BF61,55,0))</f>
        <v/>
      </c>
      <c r="BM22" s="181" t="str">
        <f>IF(A22="","",VLOOKUP(B22,'Datos Kandiko'!B24:BF61,56,0))</f>
        <v/>
      </c>
      <c r="BN22" s="266" t="str">
        <f>IF(A22="","",IF(VLOOKUP(B22,'Datos Kandiko'!B24:BF61,57,0)=0,IF(AO22&gt;1,1,VLOOKUP(B22,'Datos Kandiko'!B24:BF61,57,0))))</f>
        <v/>
      </c>
      <c r="BO22" s="59"/>
      <c r="BP22" s="190" t="str">
        <f>+'Biyemas S.A.'!BP22</f>
        <v xml:space="preserve">Dom/Sun    </v>
      </c>
    </row>
    <row r="23" spans="1:68" x14ac:dyDescent="0.2">
      <c r="A23" s="188" t="str">
        <f>IF(BP23='Datos Kandiko'!A25,'Datos Kandiko'!A25,"")</f>
        <v/>
      </c>
      <c r="B23" s="185" t="str">
        <f>IF(BP23=A23,'Datos Kandiko'!B25,"")</f>
        <v/>
      </c>
      <c r="C23" s="186" t="str">
        <f>IF(BP23=A23,'Datos Kandiko'!C25,"")</f>
        <v/>
      </c>
      <c r="D23" s="37" t="str">
        <f>IF(BP23=A23,VLOOKUP(B23,'Datos Kandiko'!B25:BB62,3,0),"")</f>
        <v/>
      </c>
      <c r="E23" s="32" t="str">
        <f>IF(BP23=A23,VLOOKUP(B23,'Datos Kandiko'!B25:BB62,4,0),"")</f>
        <v/>
      </c>
      <c r="F23" s="32" t="str">
        <f>IF(BP23=A23,VLOOKUP(B23,'Datos Kandiko'!B25:BB62,5,0),"")</f>
        <v/>
      </c>
      <c r="G23" s="32" t="str">
        <f>IF(BP23=A23,VLOOKUP(B23,'Datos Kandiko'!B25:BB62,6,0),"")</f>
        <v/>
      </c>
      <c r="H23" s="33" t="str">
        <f t="shared" si="0"/>
        <v/>
      </c>
      <c r="I23" s="33" t="str">
        <f t="shared" si="1"/>
        <v/>
      </c>
      <c r="J23" s="34" t="str">
        <f t="shared" si="2"/>
        <v/>
      </c>
      <c r="K23" s="31" t="str">
        <f t="shared" si="3"/>
        <v/>
      </c>
      <c r="L23" s="37" t="str">
        <f>IF(A23="","",VLOOKUP(B23,'Datos Kandiko'!B25:BB62,11,0))</f>
        <v/>
      </c>
      <c r="M23" s="32" t="str">
        <f>IF(A23="","",VLOOKUP(B23,'Datos Kandiko'!B25:BB62,12,0))</f>
        <v/>
      </c>
      <c r="N23" s="32" t="str">
        <f>IF(A23="","",VLOOKUP(B23,'Datos Kandiko'!B25:BB62,13,0))</f>
        <v/>
      </c>
      <c r="O23" s="32" t="str">
        <f>IF(A23="","",VLOOKUP(B23,'Datos Kandiko'!B25:BB62,14,0))</f>
        <v/>
      </c>
      <c r="P23" s="33" t="str">
        <f t="shared" si="7"/>
        <v/>
      </c>
      <c r="Q23" s="33" t="str">
        <f t="shared" si="8"/>
        <v/>
      </c>
      <c r="R23" s="34" t="str">
        <f t="shared" si="4"/>
        <v/>
      </c>
      <c r="S23" s="31" t="str">
        <f t="shared" si="5"/>
        <v/>
      </c>
      <c r="T23" s="35" t="str">
        <f t="shared" si="9"/>
        <v/>
      </c>
      <c r="U23" s="35" t="str">
        <f t="shared" si="10"/>
        <v/>
      </c>
      <c r="V23" s="37" t="str">
        <f>IF(A23="","",VLOOKUP(B23,'Datos Kandiko'!B25:BB62,21,0))</f>
        <v/>
      </c>
      <c r="W23" s="32" t="str">
        <f>IF(A23="","",VLOOKUP(B23,'Datos Kandiko'!B25:BB62,22,0))</f>
        <v/>
      </c>
      <c r="X23" s="32" t="str">
        <f>IF(A23="","",VLOOKUP(B23,'Datos Kandiko'!B25:BB62,23,0))</f>
        <v/>
      </c>
      <c r="Y23" s="32" t="str">
        <f>IF(A23="","",VLOOKUP(B23,'Datos Kandiko'!B25:BB62,24,0))</f>
        <v/>
      </c>
      <c r="Z23" s="33" t="str">
        <f t="shared" si="11"/>
        <v/>
      </c>
      <c r="AA23" s="33" t="str">
        <f t="shared" si="12"/>
        <v/>
      </c>
      <c r="AB23" s="34" t="str">
        <f t="shared" si="13"/>
        <v/>
      </c>
      <c r="AC23" s="31" t="str">
        <f t="shared" si="14"/>
        <v/>
      </c>
      <c r="AD23" s="37" t="str">
        <f t="shared" si="15"/>
        <v/>
      </c>
      <c r="AE23" s="32" t="str">
        <f>IF(A23="","",VLOOKUP(B23,'Datos Kandiko'!B25:BB62,30,0))</f>
        <v/>
      </c>
      <c r="AF23" s="31" t="str">
        <f t="shared" si="16"/>
        <v/>
      </c>
      <c r="AG23" s="32" t="str">
        <f>IF(A23="","",VLOOKUP(B23,'Datos Kandiko'!B25:BB62,32,0))</f>
        <v/>
      </c>
      <c r="AH23" s="32" t="str">
        <f>IF(A23="","",VLOOKUP(B23,'Datos Kandiko'!B25:BB62,33,0))</f>
        <v/>
      </c>
      <c r="AI23" s="32" t="str">
        <f>IF(A23="","",VLOOKUP(B23,'Datos Kandiko'!B25:BB62,34,0))</f>
        <v/>
      </c>
      <c r="AJ23" s="34" t="str">
        <f t="shared" si="17"/>
        <v/>
      </c>
      <c r="AK23" s="35" t="str">
        <f t="shared" si="18"/>
        <v/>
      </c>
      <c r="AL23" s="37" t="str">
        <f>IF(A23="","",VLOOKUP(B23,'Datos Kandiko'!B25:BB62,37,0))</f>
        <v/>
      </c>
      <c r="AM23" s="58" t="str">
        <f t="shared" si="19"/>
        <v/>
      </c>
      <c r="AN23" s="262" t="str">
        <f>IF(BP23=A23,'Datos Kandiko'!BL25,"")</f>
        <v/>
      </c>
      <c r="AO23" s="32" t="str">
        <f>IF(A23="","",VLOOKUP(B23,'Datos Kandiko'!B25:BF62,39,0))</f>
        <v/>
      </c>
      <c r="AP23" s="36" t="str">
        <f t="shared" si="23"/>
        <v/>
      </c>
      <c r="AQ23" s="32" t="str">
        <f>IF(A23="","",VLOOKUP(B23,'Datos Kandiko'!B25:BH62,41,0))</f>
        <v/>
      </c>
      <c r="AR23" s="32" t="str">
        <f>IF(A23="","",VLOOKUP(B23,'Datos Kandiko'!B25:BI62,42,0))</f>
        <v/>
      </c>
      <c r="AS23" s="32" t="str">
        <f>IF(A23="","",VLOOKUP(B23,'Datos Kandiko'!B25:BJ62,43,0))</f>
        <v/>
      </c>
      <c r="AT23" s="32" t="str">
        <f>IF(A23="","",VLOOKUP(B23,'Datos Kandiko'!B25:BK62,44,0))</f>
        <v/>
      </c>
      <c r="AU23" s="58"/>
      <c r="AV23" s="37" t="str">
        <f t="shared" si="24"/>
        <v/>
      </c>
      <c r="AW23" s="38" t="str">
        <f t="shared" si="20"/>
        <v/>
      </c>
      <c r="AY23" s="180" t="str">
        <f>IF(A23="","",+'Datos Kandiko'!AY25)</f>
        <v/>
      </c>
      <c r="AZ23" s="180" t="str">
        <f t="shared" si="21"/>
        <v/>
      </c>
      <c r="BA23" s="255" t="str">
        <f>IF(A23="","",VLOOKUP(B23,'Datos Kandiko'!B25:BF62,51,0))</f>
        <v/>
      </c>
      <c r="BB23" s="181" t="str">
        <f t="shared" si="6"/>
        <v/>
      </c>
      <c r="BC23" s="180" t="str">
        <f>IF(BP23=A23,'Datos Kandiko'!BL25,"")</f>
        <v/>
      </c>
      <c r="BD23" s="181" t="str">
        <f t="shared" si="22"/>
        <v/>
      </c>
      <c r="BE23" s="29" t="str">
        <f>IF(A23="","",VLOOKUP(B23,'Datos Kandiko'!B25:BF62,53,0))</f>
        <v/>
      </c>
      <c r="BF23" s="28" t="str">
        <f>IF(A23="","",VLOOKUP(B23,'Datos Kandiko'!B25:BF62,54,0))</f>
        <v/>
      </c>
      <c r="BG23" s="28" t="str">
        <f>IF(A23="","",VLOOKUP(B23,'Datos Kandiko'!B25:BF62,55,0))</f>
        <v/>
      </c>
      <c r="BH23" s="28" t="str">
        <f>IF(A23="","",VLOOKUP(B23,'Datos Kandiko'!B25:BF62,51,0))</f>
        <v/>
      </c>
      <c r="BI23" s="28" t="str">
        <f>IF(A23="","",IF(VLOOKUP(B23,'Datos Kandiko'!B25:BF62,52,0)=0%,IF(AO23&gt;1,1,VLOOKUP(B23,'Datos Kandiko'!B25:BF62,52,0))))</f>
        <v/>
      </c>
      <c r="BJ23" s="211" t="str">
        <f>IF(A23="","",VLOOKUP(B23,'Datos Kandiko'!B25:BH62,58,0))</f>
        <v/>
      </c>
      <c r="BK23" s="27" t="str">
        <f>IF(A23="","",VLOOKUP(B23,'Datos Kandiko'!B25:BH62,59,0))</f>
        <v/>
      </c>
      <c r="BL23" s="29" t="str">
        <f>IF(A23="","",VLOOKUP(B23,'Datos Kandiko'!B25:BF62,55,0))</f>
        <v/>
      </c>
      <c r="BM23" s="181" t="str">
        <f>IF(A23="","",VLOOKUP(B23,'Datos Kandiko'!B25:BF62,56,0))</f>
        <v/>
      </c>
      <c r="BN23" s="266" t="str">
        <f>IF(A23="","",IF(VLOOKUP(B23,'Datos Kandiko'!B25:BF62,57,0)=0,IF(AO23&gt;1,1,VLOOKUP(B23,'Datos Kandiko'!B25:BF62,57,0))))</f>
        <v/>
      </c>
      <c r="BO23" s="59"/>
      <c r="BP23" s="190" t="str">
        <f>+'Biyemas S.A.'!BP23</f>
        <v xml:space="preserve">Lun/Mon    </v>
      </c>
    </row>
    <row r="24" spans="1:68" ht="11.25" customHeight="1" x14ac:dyDescent="0.2">
      <c r="A24" s="188" t="str">
        <f>IF(BP24='Datos Kandiko'!A26,'Datos Kandiko'!A26,"")</f>
        <v/>
      </c>
      <c r="B24" s="185" t="str">
        <f>IF(BP24=A24,'Datos Kandiko'!B26,"")</f>
        <v/>
      </c>
      <c r="C24" s="186" t="str">
        <f>IF(BP24=A24,'Datos Kandiko'!C26,"")</f>
        <v/>
      </c>
      <c r="D24" s="37" t="str">
        <f>IF(BP24=A24,VLOOKUP(B24,'Datos Kandiko'!B26:BB63,3,0),"")</f>
        <v/>
      </c>
      <c r="E24" s="32" t="str">
        <f>IF(BP24=A24,VLOOKUP(B24,'Datos Kandiko'!B26:BB63,4,0),"")</f>
        <v/>
      </c>
      <c r="F24" s="32" t="str">
        <f>IF(BP24=A24,VLOOKUP(B24,'Datos Kandiko'!B26:BB63,5,0),"")</f>
        <v/>
      </c>
      <c r="G24" s="32" t="str">
        <f>IF(BP24=A24,VLOOKUP(B24,'Datos Kandiko'!B26:BB63,6,0),"")</f>
        <v/>
      </c>
      <c r="H24" s="33" t="str">
        <f t="shared" si="0"/>
        <v/>
      </c>
      <c r="I24" s="33" t="str">
        <f t="shared" si="1"/>
        <v/>
      </c>
      <c r="J24" s="34" t="str">
        <f t="shared" si="2"/>
        <v/>
      </c>
      <c r="K24" s="31" t="str">
        <f t="shared" si="3"/>
        <v/>
      </c>
      <c r="L24" s="37" t="str">
        <f>IF(A24="","",VLOOKUP(B24,'Datos Kandiko'!B26:BB63,11,0))</f>
        <v/>
      </c>
      <c r="M24" s="32" t="str">
        <f>IF(A24="","",VLOOKUP(B24,'Datos Kandiko'!B26:BB63,12,0))</f>
        <v/>
      </c>
      <c r="N24" s="32" t="str">
        <f>IF(A24="","",VLOOKUP(B24,'Datos Kandiko'!B26:BB63,13,0))</f>
        <v/>
      </c>
      <c r="O24" s="32" t="str">
        <f>IF(A24="","",VLOOKUP(B24,'Datos Kandiko'!B26:BB63,14,0))</f>
        <v/>
      </c>
      <c r="P24" s="33" t="str">
        <f t="shared" si="7"/>
        <v/>
      </c>
      <c r="Q24" s="33" t="str">
        <f t="shared" si="8"/>
        <v/>
      </c>
      <c r="R24" s="34" t="str">
        <f t="shared" si="4"/>
        <v/>
      </c>
      <c r="S24" s="31" t="str">
        <f t="shared" si="5"/>
        <v/>
      </c>
      <c r="T24" s="35" t="str">
        <f t="shared" si="9"/>
        <v/>
      </c>
      <c r="U24" s="35" t="str">
        <f t="shared" si="10"/>
        <v/>
      </c>
      <c r="V24" s="37" t="str">
        <f>IF(A24="","",VLOOKUP(B24,'Datos Kandiko'!B26:BB63,21,0))</f>
        <v/>
      </c>
      <c r="W24" s="32" t="str">
        <f>IF(A24="","",VLOOKUP(B24,'Datos Kandiko'!B26:BB63,22,0))</f>
        <v/>
      </c>
      <c r="X24" s="32" t="str">
        <f>IF(A24="","",VLOOKUP(B24,'Datos Kandiko'!B26:BB63,23,0))</f>
        <v/>
      </c>
      <c r="Y24" s="32" t="str">
        <f>IF(A24="","",VLOOKUP(B24,'Datos Kandiko'!B26:BB63,24,0))</f>
        <v/>
      </c>
      <c r="Z24" s="33" t="str">
        <f t="shared" si="11"/>
        <v/>
      </c>
      <c r="AA24" s="33" t="str">
        <f t="shared" si="12"/>
        <v/>
      </c>
      <c r="AB24" s="34" t="str">
        <f t="shared" si="13"/>
        <v/>
      </c>
      <c r="AC24" s="31" t="str">
        <f t="shared" si="14"/>
        <v/>
      </c>
      <c r="AD24" s="37" t="str">
        <f t="shared" si="15"/>
        <v/>
      </c>
      <c r="AE24" s="32" t="str">
        <f>IF(A24="","",VLOOKUP(B24,'Datos Kandiko'!B26:BB63,30,0))</f>
        <v/>
      </c>
      <c r="AF24" s="31" t="str">
        <f t="shared" si="16"/>
        <v/>
      </c>
      <c r="AG24" s="32" t="str">
        <f>IF(A24="","",VLOOKUP(B24,'Datos Kandiko'!B26:BB63,32,0))</f>
        <v/>
      </c>
      <c r="AH24" s="32" t="str">
        <f>IF(A24="","",VLOOKUP(B24,'Datos Kandiko'!B26:BB63,33,0))</f>
        <v/>
      </c>
      <c r="AI24" s="32" t="str">
        <f>IF(A24="","",VLOOKUP(B24,'Datos Kandiko'!B26:BB63,34,0))</f>
        <v/>
      </c>
      <c r="AJ24" s="34" t="str">
        <f t="shared" si="17"/>
        <v/>
      </c>
      <c r="AK24" s="35" t="str">
        <f t="shared" si="18"/>
        <v/>
      </c>
      <c r="AL24" s="37" t="str">
        <f>IF(A24="","",VLOOKUP(B24,'Datos Kandiko'!B26:BB63,37,0))</f>
        <v/>
      </c>
      <c r="AM24" s="58" t="str">
        <f t="shared" si="19"/>
        <v/>
      </c>
      <c r="AN24" s="262" t="str">
        <f>IF(BP24=A24,'Datos Kandiko'!BL26,"")</f>
        <v/>
      </c>
      <c r="AO24" s="32" t="str">
        <f>IF(A24="","",VLOOKUP(B24,'Datos Kandiko'!B26:BF63,39,0))</f>
        <v/>
      </c>
      <c r="AP24" s="36" t="str">
        <f t="shared" si="23"/>
        <v/>
      </c>
      <c r="AQ24" s="32" t="str">
        <f>IF(A24="","",VLOOKUP(B24,'Datos Kandiko'!B26:BH63,41,0))</f>
        <v/>
      </c>
      <c r="AR24" s="32" t="str">
        <f>IF(A24="","",VLOOKUP(B24,'Datos Kandiko'!B26:BI63,42,0))</f>
        <v/>
      </c>
      <c r="AS24" s="32" t="str">
        <f>IF(A24="","",VLOOKUP(B24,'Datos Kandiko'!B26:BJ63,43,0))</f>
        <v/>
      </c>
      <c r="AT24" s="32" t="str">
        <f>IF(A24="","",VLOOKUP(B24,'Datos Kandiko'!B26:BK63,44,0))</f>
        <v/>
      </c>
      <c r="AU24" s="58"/>
      <c r="AV24" s="37" t="str">
        <f t="shared" si="24"/>
        <v/>
      </c>
      <c r="AW24" s="38" t="str">
        <f t="shared" si="20"/>
        <v/>
      </c>
      <c r="AY24" s="180" t="str">
        <f>IF(A24="","",+'Datos Kandiko'!AY26)</f>
        <v/>
      </c>
      <c r="AZ24" s="180" t="str">
        <f t="shared" si="21"/>
        <v/>
      </c>
      <c r="BA24" s="255" t="str">
        <f>IF(A24="","",VLOOKUP(B24,'Datos Kandiko'!B26:BF63,51,0))</f>
        <v/>
      </c>
      <c r="BB24" s="181" t="str">
        <f t="shared" si="6"/>
        <v/>
      </c>
      <c r="BC24" s="180" t="str">
        <f>IF(BP24=A24,'Datos Kandiko'!BL26,"")</f>
        <v/>
      </c>
      <c r="BD24" s="181" t="str">
        <f t="shared" si="22"/>
        <v/>
      </c>
      <c r="BE24" s="29" t="str">
        <f>IF(A24="","",VLOOKUP(B24,'Datos Kandiko'!B26:BF63,53,0))</f>
        <v/>
      </c>
      <c r="BF24" s="28" t="str">
        <f>IF(A24="","",VLOOKUP(B24,'Datos Kandiko'!B26:BF63,54,0))</f>
        <v/>
      </c>
      <c r="BG24" s="28" t="str">
        <f>IF(A24="","",VLOOKUP(B24,'Datos Kandiko'!B26:BF63,55,0))</f>
        <v/>
      </c>
      <c r="BH24" s="28" t="str">
        <f>IF(A24="","",VLOOKUP(B24,'Datos Kandiko'!B26:BF63,51,0))</f>
        <v/>
      </c>
      <c r="BI24" s="28" t="str">
        <f>IF(A24="","",IF(VLOOKUP(B24,'Datos Kandiko'!B26:BF63,52,0)=0%,IF(AO24&gt;1,1,VLOOKUP(B24,'Datos Kandiko'!B26:BF63,52,0))))</f>
        <v/>
      </c>
      <c r="BJ24" s="211" t="str">
        <f>IF(A24="","",VLOOKUP(B24,'Datos Kandiko'!B26:BH63,58,0))</f>
        <v/>
      </c>
      <c r="BK24" s="27" t="str">
        <f>IF(A24="","",VLOOKUP(B24,'Datos Kandiko'!B26:BH63,59,0))</f>
        <v/>
      </c>
      <c r="BL24" s="29" t="str">
        <f>IF(A24="","",VLOOKUP(B24,'Datos Kandiko'!B26:BF63,55,0))</f>
        <v/>
      </c>
      <c r="BM24" s="181" t="str">
        <f>IF(A24="","",VLOOKUP(B24,'Datos Kandiko'!B26:BF63,56,0))</f>
        <v/>
      </c>
      <c r="BN24" s="266" t="str">
        <f>IF(A24="","",IF(VLOOKUP(B24,'Datos Kandiko'!B26:BF63,57,0)=0,IF(AO24&gt;1,1,VLOOKUP(B24,'Datos Kandiko'!B26:BF63,57,0))))</f>
        <v/>
      </c>
      <c r="BO24" s="59"/>
      <c r="BP24" s="190" t="str">
        <f>+'Biyemas S.A.'!BP24</f>
        <v xml:space="preserve">Mar/Tue    </v>
      </c>
    </row>
    <row r="25" spans="1:68" ht="11.25" customHeight="1" x14ac:dyDescent="0.2">
      <c r="A25" s="188" t="str">
        <f>IF(BP25='Datos Kandiko'!A27,'Datos Kandiko'!A27,"")</f>
        <v/>
      </c>
      <c r="B25" s="185" t="str">
        <f>IF(BP25=A25,'Datos Kandiko'!B27,"")</f>
        <v/>
      </c>
      <c r="C25" s="186" t="str">
        <f>IF(BP25=A25,'Datos Kandiko'!C27,"")</f>
        <v/>
      </c>
      <c r="D25" s="37" t="str">
        <f>IF(BP25=A25,VLOOKUP(B25,'Datos Kandiko'!B27:BB64,3,0),"")</f>
        <v/>
      </c>
      <c r="E25" s="32" t="str">
        <f>IF(BP25=A25,VLOOKUP(B25,'Datos Kandiko'!B27:BB64,4,0),"")</f>
        <v/>
      </c>
      <c r="F25" s="32" t="str">
        <f>IF(BP25=A25,VLOOKUP(B25,'Datos Kandiko'!B27:BB64,5,0),"")</f>
        <v/>
      </c>
      <c r="G25" s="32" t="str">
        <f>IF(BP25=A25,VLOOKUP(B25,'Datos Kandiko'!B27:BB64,6,0),"")</f>
        <v/>
      </c>
      <c r="H25" s="33" t="str">
        <f t="shared" si="0"/>
        <v/>
      </c>
      <c r="I25" s="33" t="str">
        <f t="shared" si="1"/>
        <v/>
      </c>
      <c r="J25" s="34" t="str">
        <f t="shared" si="2"/>
        <v/>
      </c>
      <c r="K25" s="31" t="str">
        <f t="shared" si="3"/>
        <v/>
      </c>
      <c r="L25" s="37" t="str">
        <f>IF(A25="","",VLOOKUP(B25,'Datos Kandiko'!B27:BB64,11,0))</f>
        <v/>
      </c>
      <c r="M25" s="32" t="str">
        <f>IF(A25="","",VLOOKUP(B25,'Datos Kandiko'!B27:BB64,12,0))</f>
        <v/>
      </c>
      <c r="N25" s="32" t="str">
        <f>IF(A25="","",VLOOKUP(B25,'Datos Kandiko'!B27:BB64,13,0))</f>
        <v/>
      </c>
      <c r="O25" s="32" t="str">
        <f>IF(A25="","",VLOOKUP(B25,'Datos Kandiko'!B27:BB64,14,0))</f>
        <v/>
      </c>
      <c r="P25" s="33" t="str">
        <f t="shared" si="7"/>
        <v/>
      </c>
      <c r="Q25" s="33" t="str">
        <f t="shared" si="8"/>
        <v/>
      </c>
      <c r="R25" s="34" t="str">
        <f t="shared" si="4"/>
        <v/>
      </c>
      <c r="S25" s="31" t="str">
        <f t="shared" si="5"/>
        <v/>
      </c>
      <c r="T25" s="35" t="str">
        <f t="shared" si="9"/>
        <v/>
      </c>
      <c r="U25" s="35" t="str">
        <f t="shared" si="10"/>
        <v/>
      </c>
      <c r="V25" s="37" t="str">
        <f>IF(A25="","",VLOOKUP(B25,'Datos Kandiko'!B27:BB64,21,0))</f>
        <v/>
      </c>
      <c r="W25" s="32" t="str">
        <f>IF(A25="","",VLOOKUP(B25,'Datos Kandiko'!B27:BB64,22,0))</f>
        <v/>
      </c>
      <c r="X25" s="32" t="str">
        <f>IF(A25="","",VLOOKUP(B25,'Datos Kandiko'!B27:BB64,23,0))</f>
        <v/>
      </c>
      <c r="Y25" s="32" t="str">
        <f>IF(A25="","",VLOOKUP(B25,'Datos Kandiko'!B27:BB64,24,0))</f>
        <v/>
      </c>
      <c r="Z25" s="33" t="str">
        <f t="shared" si="11"/>
        <v/>
      </c>
      <c r="AA25" s="33" t="str">
        <f t="shared" si="12"/>
        <v/>
      </c>
      <c r="AB25" s="34" t="str">
        <f t="shared" si="13"/>
        <v/>
      </c>
      <c r="AC25" s="31" t="str">
        <f t="shared" si="14"/>
        <v/>
      </c>
      <c r="AD25" s="37" t="str">
        <f t="shared" si="15"/>
        <v/>
      </c>
      <c r="AE25" s="32" t="str">
        <f>IF(A25="","",VLOOKUP(B25,'Datos Kandiko'!B27:BB64,30,0))</f>
        <v/>
      </c>
      <c r="AF25" s="31" t="str">
        <f t="shared" si="16"/>
        <v/>
      </c>
      <c r="AG25" s="32" t="str">
        <f>IF(A25="","",VLOOKUP(B25,'Datos Kandiko'!B27:BB64,32,0))</f>
        <v/>
      </c>
      <c r="AH25" s="32" t="str">
        <f>IF(A25="","",VLOOKUP(B25,'Datos Kandiko'!B27:BB64,33,0))</f>
        <v/>
      </c>
      <c r="AI25" s="32" t="str">
        <f>IF(A25="","",VLOOKUP(B25,'Datos Kandiko'!B27:BB64,34,0))</f>
        <v/>
      </c>
      <c r="AJ25" s="34" t="str">
        <f t="shared" si="17"/>
        <v/>
      </c>
      <c r="AK25" s="35" t="str">
        <f t="shared" si="18"/>
        <v/>
      </c>
      <c r="AL25" s="37" t="str">
        <f>IF(A25="","",VLOOKUP(B25,'Datos Kandiko'!B27:BB64,37,0))</f>
        <v/>
      </c>
      <c r="AM25" s="58" t="str">
        <f t="shared" si="19"/>
        <v/>
      </c>
      <c r="AN25" s="262" t="str">
        <f>IF(BP25=A25,'Datos Kandiko'!BL27,"")</f>
        <v/>
      </c>
      <c r="AO25" s="32" t="str">
        <f>IF(A25="","",VLOOKUP(B25,'Datos Kandiko'!B27:BF64,39,0))</f>
        <v/>
      </c>
      <c r="AP25" s="36" t="str">
        <f t="shared" si="23"/>
        <v/>
      </c>
      <c r="AQ25" s="32" t="str">
        <f>IF(A25="","",VLOOKUP(B25,'Datos Kandiko'!B27:BH64,41,0))</f>
        <v/>
      </c>
      <c r="AR25" s="32" t="str">
        <f>IF(A25="","",VLOOKUP(B25,'Datos Kandiko'!B27:BI64,42,0))</f>
        <v/>
      </c>
      <c r="AS25" s="32" t="str">
        <f>IF(A25="","",VLOOKUP(B25,'Datos Kandiko'!B27:BJ64,43,0))</f>
        <v/>
      </c>
      <c r="AT25" s="32" t="str">
        <f>IF(A25="","",VLOOKUP(B25,'Datos Kandiko'!B27:BK64,44,0))</f>
        <v/>
      </c>
      <c r="AU25" s="58"/>
      <c r="AV25" s="37" t="str">
        <f t="shared" si="24"/>
        <v/>
      </c>
      <c r="AW25" s="38" t="str">
        <f t="shared" si="20"/>
        <v/>
      </c>
      <c r="AY25" s="180" t="str">
        <f>IF(A25="","",+'Datos Kandiko'!AY27)</f>
        <v/>
      </c>
      <c r="AZ25" s="180" t="str">
        <f t="shared" si="21"/>
        <v/>
      </c>
      <c r="BA25" s="255" t="str">
        <f>IF(A25="","",VLOOKUP(B25,'Datos Kandiko'!B27:BF64,51,0))</f>
        <v/>
      </c>
      <c r="BB25" s="181" t="str">
        <f t="shared" si="6"/>
        <v/>
      </c>
      <c r="BC25" s="180" t="str">
        <f>IF(BP25=A25,'Datos Kandiko'!BL27,"")</f>
        <v/>
      </c>
      <c r="BD25" s="181" t="str">
        <f t="shared" si="22"/>
        <v/>
      </c>
      <c r="BE25" s="29" t="str">
        <f>IF(A25="","",VLOOKUP(B25,'Datos Kandiko'!B27:BF64,53,0))</f>
        <v/>
      </c>
      <c r="BF25" s="28" t="str">
        <f>IF(A25="","",VLOOKUP(B25,'Datos Kandiko'!B27:BF64,54,0))</f>
        <v/>
      </c>
      <c r="BG25" s="28" t="str">
        <f>IF(A25="","",VLOOKUP(B25,'Datos Kandiko'!B27:BF64,55,0))</f>
        <v/>
      </c>
      <c r="BH25" s="28" t="str">
        <f>IF(A25="","",VLOOKUP(B25,'Datos Kandiko'!B27:BF64,51,0))</f>
        <v/>
      </c>
      <c r="BI25" s="28" t="str">
        <f>IF(A25="","",IF(VLOOKUP(B25,'Datos Kandiko'!B27:BF64,52,0)=0%,IF(AO25&gt;1,1,VLOOKUP(B25,'Datos Kandiko'!B27:BF64,52,0))))</f>
        <v/>
      </c>
      <c r="BJ25" s="211" t="str">
        <f>IF(A25="","",VLOOKUP(B25,'Datos Kandiko'!B27:BH64,58,0))</f>
        <v/>
      </c>
      <c r="BK25" s="27" t="str">
        <f>IF(A25="","",VLOOKUP(B25,'Datos Kandiko'!B27:BH64,59,0))</f>
        <v/>
      </c>
      <c r="BL25" s="29" t="str">
        <f>IF(A25="","",VLOOKUP(B25,'Datos Kandiko'!B27:BF64,55,0))</f>
        <v/>
      </c>
      <c r="BM25" s="181" t="str">
        <f>IF(A25="","",VLOOKUP(B25,'Datos Kandiko'!B27:BF64,56,0))</f>
        <v/>
      </c>
      <c r="BN25" s="266" t="str">
        <f>IF(A25="","",IF(VLOOKUP(B25,'Datos Kandiko'!B27:BF64,57,0)=0,IF(AO25&gt;1,1,VLOOKUP(B25,'Datos Kandiko'!B27:BF64,57,0))))</f>
        <v/>
      </c>
      <c r="BO25" s="59"/>
      <c r="BP25" s="190" t="str">
        <f>+'Biyemas S.A.'!BP25</f>
        <v xml:space="preserve">Mie/Wed    </v>
      </c>
    </row>
    <row r="26" spans="1:68" ht="11.25" customHeight="1" x14ac:dyDescent="0.2">
      <c r="A26" s="188" t="str">
        <f>IF(BP26='Datos Kandiko'!A28,'Datos Kandiko'!A28,"")</f>
        <v/>
      </c>
      <c r="B26" s="185" t="str">
        <f>IF(BP26=A26,'Datos Kandiko'!B28,"")</f>
        <v/>
      </c>
      <c r="C26" s="186" t="str">
        <f>IF(BP26=A26,'Datos Kandiko'!C28,"")</f>
        <v/>
      </c>
      <c r="D26" s="37" t="str">
        <f>IF(BP26=A26,VLOOKUP(B26,'Datos Kandiko'!B28:BB65,3,0),"")</f>
        <v/>
      </c>
      <c r="E26" s="32" t="str">
        <f>IF(BP26=A26,VLOOKUP(B26,'Datos Kandiko'!B28:BB65,4,0),"")</f>
        <v/>
      </c>
      <c r="F26" s="32" t="str">
        <f>IF(BP26=A26,VLOOKUP(B26,'Datos Kandiko'!B28:BB65,5,0),"")</f>
        <v/>
      </c>
      <c r="G26" s="32" t="str">
        <f>IF(BP26=A26,VLOOKUP(B26,'Datos Kandiko'!B28:BB65,6,0),"")</f>
        <v/>
      </c>
      <c r="H26" s="33" t="str">
        <f t="shared" si="0"/>
        <v/>
      </c>
      <c r="I26" s="33" t="str">
        <f t="shared" si="1"/>
        <v/>
      </c>
      <c r="J26" s="34" t="str">
        <f t="shared" si="2"/>
        <v/>
      </c>
      <c r="K26" s="31" t="str">
        <f t="shared" si="3"/>
        <v/>
      </c>
      <c r="L26" s="37" t="str">
        <f>IF(A26="","",VLOOKUP(B26,'Datos Kandiko'!B28:BB65,11,0))</f>
        <v/>
      </c>
      <c r="M26" s="32" t="str">
        <f>IF(A26="","",VLOOKUP(B26,'Datos Kandiko'!B28:BB65,12,0))</f>
        <v/>
      </c>
      <c r="N26" s="32" t="str">
        <f>IF(A26="","",VLOOKUP(B26,'Datos Kandiko'!B28:BB65,13,0))</f>
        <v/>
      </c>
      <c r="O26" s="32" t="str">
        <f>IF(A26="","",VLOOKUP(B26,'Datos Kandiko'!B28:BB65,14,0))</f>
        <v/>
      </c>
      <c r="P26" s="33" t="str">
        <f t="shared" si="7"/>
        <v/>
      </c>
      <c r="Q26" s="33" t="str">
        <f t="shared" si="8"/>
        <v/>
      </c>
      <c r="R26" s="34" t="str">
        <f t="shared" si="4"/>
        <v/>
      </c>
      <c r="S26" s="31" t="str">
        <f t="shared" si="5"/>
        <v/>
      </c>
      <c r="T26" s="35" t="str">
        <f t="shared" si="9"/>
        <v/>
      </c>
      <c r="U26" s="35" t="str">
        <f t="shared" si="10"/>
        <v/>
      </c>
      <c r="V26" s="37" t="str">
        <f>IF(A26="","",VLOOKUP(B26,'Datos Kandiko'!B28:BB65,21,0))</f>
        <v/>
      </c>
      <c r="W26" s="32" t="str">
        <f>IF(A26="","",VLOOKUP(B26,'Datos Kandiko'!B28:BB65,22,0))</f>
        <v/>
      </c>
      <c r="X26" s="32" t="str">
        <f>IF(A26="","",VLOOKUP(B26,'Datos Kandiko'!B28:BB65,23,0))</f>
        <v/>
      </c>
      <c r="Y26" s="32" t="str">
        <f>IF(A26="","",VLOOKUP(B26,'Datos Kandiko'!B28:BB65,24,0))</f>
        <v/>
      </c>
      <c r="Z26" s="33" t="str">
        <f t="shared" si="11"/>
        <v/>
      </c>
      <c r="AA26" s="33" t="str">
        <f t="shared" si="12"/>
        <v/>
      </c>
      <c r="AB26" s="34" t="str">
        <f t="shared" si="13"/>
        <v/>
      </c>
      <c r="AC26" s="31" t="str">
        <f t="shared" si="14"/>
        <v/>
      </c>
      <c r="AD26" s="37" t="str">
        <f t="shared" si="15"/>
        <v/>
      </c>
      <c r="AE26" s="32" t="str">
        <f>IF(A26="","",VLOOKUP(B26,'Datos Kandiko'!B28:BB65,30,0))</f>
        <v/>
      </c>
      <c r="AF26" s="31" t="str">
        <f t="shared" si="16"/>
        <v/>
      </c>
      <c r="AG26" s="32" t="str">
        <f>IF(A26="","",VLOOKUP(B26,'Datos Kandiko'!B28:BB65,32,0))</f>
        <v/>
      </c>
      <c r="AH26" s="32" t="str">
        <f>IF(A26="","",VLOOKUP(B26,'Datos Kandiko'!B28:BB65,33,0))</f>
        <v/>
      </c>
      <c r="AI26" s="32" t="str">
        <f>IF(A26="","",VLOOKUP(B26,'Datos Kandiko'!B28:BB65,34,0))</f>
        <v/>
      </c>
      <c r="AJ26" s="34" t="str">
        <f t="shared" si="17"/>
        <v/>
      </c>
      <c r="AK26" s="35" t="str">
        <f t="shared" si="18"/>
        <v/>
      </c>
      <c r="AL26" s="37" t="str">
        <f>IF(A26="","",VLOOKUP(B26,'Datos Kandiko'!B28:BB65,37,0))</f>
        <v/>
      </c>
      <c r="AM26" s="58" t="str">
        <f t="shared" si="19"/>
        <v/>
      </c>
      <c r="AN26" s="262" t="str">
        <f>IF(BP26=A26,'Datos Kandiko'!BL28,"")</f>
        <v/>
      </c>
      <c r="AO26" s="32" t="str">
        <f>IF(A26="","",VLOOKUP(B26,'Datos Kandiko'!B28:BF65,39,0))</f>
        <v/>
      </c>
      <c r="AP26" s="36" t="str">
        <f t="shared" si="23"/>
        <v/>
      </c>
      <c r="AQ26" s="32" t="str">
        <f>IF(A26="","",VLOOKUP(B26,'Datos Kandiko'!B28:BH65,41,0))</f>
        <v/>
      </c>
      <c r="AR26" s="32" t="str">
        <f>IF(A26="","",VLOOKUP(B26,'Datos Kandiko'!B28:BI65,42,0))</f>
        <v/>
      </c>
      <c r="AS26" s="32" t="str">
        <f>IF(A26="","",VLOOKUP(B26,'Datos Kandiko'!B28:BJ65,43,0))</f>
        <v/>
      </c>
      <c r="AT26" s="32" t="str">
        <f>IF(A26="","",VLOOKUP(B26,'Datos Kandiko'!B28:BK65,44,0))</f>
        <v/>
      </c>
      <c r="AU26" s="58"/>
      <c r="AV26" s="37" t="str">
        <f t="shared" si="24"/>
        <v/>
      </c>
      <c r="AW26" s="38" t="str">
        <f t="shared" si="20"/>
        <v/>
      </c>
      <c r="AY26" s="180" t="str">
        <f>IF(A26="","",+'Datos Kandiko'!AY28)</f>
        <v/>
      </c>
      <c r="AZ26" s="180" t="str">
        <f t="shared" si="21"/>
        <v/>
      </c>
      <c r="BA26" s="255" t="str">
        <f>IF(A26="","",VLOOKUP(B26,'Datos Kandiko'!B28:BF65,51,0))</f>
        <v/>
      </c>
      <c r="BB26" s="181" t="str">
        <f t="shared" si="6"/>
        <v/>
      </c>
      <c r="BC26" s="180" t="str">
        <f>IF(BP26=A26,'Datos Kandiko'!BL28,"")</f>
        <v/>
      </c>
      <c r="BD26" s="181" t="str">
        <f t="shared" si="22"/>
        <v/>
      </c>
      <c r="BE26" s="29" t="str">
        <f>IF(A26="","",VLOOKUP(B26,'Datos Kandiko'!B28:BF65,53,0))</f>
        <v/>
      </c>
      <c r="BF26" s="28" t="str">
        <f>IF(A26="","",VLOOKUP(B26,'Datos Kandiko'!B28:BF65,54,0))</f>
        <v/>
      </c>
      <c r="BG26" s="28" t="str">
        <f>IF(A26="","",VLOOKUP(B26,'Datos Kandiko'!B28:BF65,55,0))</f>
        <v/>
      </c>
      <c r="BH26" s="28" t="str">
        <f>IF(A26="","",VLOOKUP(B26,'Datos Kandiko'!B28:BF65,51,0))</f>
        <v/>
      </c>
      <c r="BI26" s="28" t="str">
        <f>IF(A26="","",IF(VLOOKUP(B26,'Datos Kandiko'!B28:BF65,52,0)=0%,IF(AO26&gt;1,1,VLOOKUP(B26,'Datos Kandiko'!B28:BF65,52,0))))</f>
        <v/>
      </c>
      <c r="BJ26" s="211" t="str">
        <f>IF(A26="","",VLOOKUP(B26,'Datos Kandiko'!B28:BH65,58,0))</f>
        <v/>
      </c>
      <c r="BK26" s="27" t="str">
        <f>IF(A26="","",VLOOKUP(B26,'Datos Kandiko'!B28:BH65,59,0))</f>
        <v/>
      </c>
      <c r="BL26" s="29" t="str">
        <f>IF(A26="","",VLOOKUP(B26,'Datos Kandiko'!B28:BF65,55,0))</f>
        <v/>
      </c>
      <c r="BM26" s="181" t="str">
        <f>IF(A26="","",VLOOKUP(B26,'Datos Kandiko'!B28:BF65,56,0))</f>
        <v/>
      </c>
      <c r="BN26" s="266" t="str">
        <f>IF(A26="","",IF(VLOOKUP(B26,'Datos Kandiko'!B28:BF65,57,0)=0,IF(AO26&gt;1,1,VLOOKUP(B26,'Datos Kandiko'!B28:BF65,57,0))))</f>
        <v/>
      </c>
      <c r="BO26" s="59"/>
      <c r="BP26" s="190" t="str">
        <f>+'Biyemas S.A.'!BP26</f>
        <v xml:space="preserve">Jue/Thu    </v>
      </c>
    </row>
    <row r="27" spans="1:68" ht="11.25" customHeight="1" x14ac:dyDescent="0.2">
      <c r="A27" s="188" t="str">
        <f>IF(BP27='Datos Kandiko'!A29,'Datos Kandiko'!A29,"")</f>
        <v/>
      </c>
      <c r="B27" s="185" t="str">
        <f>IF(BP27=A27,'Datos Kandiko'!B29,"")</f>
        <v/>
      </c>
      <c r="C27" s="186" t="str">
        <f>IF(BP27=A27,'Datos Kandiko'!C29,"")</f>
        <v/>
      </c>
      <c r="D27" s="37" t="str">
        <f>IF(BP27=A27,VLOOKUP(B27,'Datos Kandiko'!B29:BB66,3,0),"")</f>
        <v/>
      </c>
      <c r="E27" s="32" t="str">
        <f>IF(BP27=A27,VLOOKUP(B27,'Datos Kandiko'!B29:BB66,4,0),"")</f>
        <v/>
      </c>
      <c r="F27" s="32" t="str">
        <f>IF(BP27=A27,VLOOKUP(B27,'Datos Kandiko'!B29:BB66,5,0),"")</f>
        <v/>
      </c>
      <c r="G27" s="32" t="str">
        <f>IF(BP27=A27,VLOOKUP(B27,'Datos Kandiko'!B29:BB66,6,0),"")</f>
        <v/>
      </c>
      <c r="H27" s="33" t="str">
        <f t="shared" si="0"/>
        <v/>
      </c>
      <c r="I27" s="33" t="str">
        <f t="shared" si="1"/>
        <v/>
      </c>
      <c r="J27" s="34" t="str">
        <f t="shared" si="2"/>
        <v/>
      </c>
      <c r="K27" s="31" t="str">
        <f t="shared" si="3"/>
        <v/>
      </c>
      <c r="L27" s="37" t="str">
        <f>IF(A27="","",VLOOKUP(B27,'Datos Kandiko'!B29:BB66,11,0))</f>
        <v/>
      </c>
      <c r="M27" s="32" t="str">
        <f>IF(A27="","",VLOOKUP(B27,'Datos Kandiko'!B29:BB66,12,0))</f>
        <v/>
      </c>
      <c r="N27" s="32" t="str">
        <f>IF(A27="","",VLOOKUP(B27,'Datos Kandiko'!B29:BB66,13,0))</f>
        <v/>
      </c>
      <c r="O27" s="32" t="str">
        <f>IF(A27="","",VLOOKUP(B27,'Datos Kandiko'!B29:BB66,14,0))</f>
        <v/>
      </c>
      <c r="P27" s="33" t="str">
        <f t="shared" si="7"/>
        <v/>
      </c>
      <c r="Q27" s="33" t="str">
        <f t="shared" si="8"/>
        <v/>
      </c>
      <c r="R27" s="34" t="str">
        <f t="shared" si="4"/>
        <v/>
      </c>
      <c r="S27" s="31" t="str">
        <f t="shared" si="5"/>
        <v/>
      </c>
      <c r="T27" s="35" t="str">
        <f t="shared" si="9"/>
        <v/>
      </c>
      <c r="U27" s="35" t="str">
        <f t="shared" si="10"/>
        <v/>
      </c>
      <c r="V27" s="37" t="str">
        <f>IF(A27="","",VLOOKUP(B27,'Datos Kandiko'!B29:BB66,21,0))</f>
        <v/>
      </c>
      <c r="W27" s="32" t="str">
        <f>IF(A27="","",VLOOKUP(B27,'Datos Kandiko'!B29:BB66,22,0))</f>
        <v/>
      </c>
      <c r="X27" s="32" t="str">
        <f>IF(A27="","",VLOOKUP(B27,'Datos Kandiko'!B29:BB66,23,0))</f>
        <v/>
      </c>
      <c r="Y27" s="32" t="str">
        <f>IF(A27="","",VLOOKUP(B27,'Datos Kandiko'!B29:BB66,24,0))</f>
        <v/>
      </c>
      <c r="Z27" s="33" t="str">
        <f t="shared" si="11"/>
        <v/>
      </c>
      <c r="AA27" s="33" t="str">
        <f t="shared" si="12"/>
        <v/>
      </c>
      <c r="AB27" s="34" t="str">
        <f t="shared" si="13"/>
        <v/>
      </c>
      <c r="AC27" s="31" t="str">
        <f t="shared" si="14"/>
        <v/>
      </c>
      <c r="AD27" s="37" t="str">
        <f t="shared" si="15"/>
        <v/>
      </c>
      <c r="AE27" s="32" t="str">
        <f>IF(A27="","",VLOOKUP(B27,'Datos Kandiko'!B29:BB66,30,0))</f>
        <v/>
      </c>
      <c r="AF27" s="31" t="str">
        <f t="shared" si="16"/>
        <v/>
      </c>
      <c r="AG27" s="32" t="str">
        <f>IF(A27="","",VLOOKUP(B27,'Datos Kandiko'!B29:BB66,32,0))</f>
        <v/>
      </c>
      <c r="AH27" s="32" t="str">
        <f>IF(A27="","",VLOOKUP(B27,'Datos Kandiko'!B29:BB66,33,0))</f>
        <v/>
      </c>
      <c r="AI27" s="32" t="str">
        <f>IF(A27="","",VLOOKUP(B27,'Datos Kandiko'!B29:BB66,34,0))</f>
        <v/>
      </c>
      <c r="AJ27" s="34" t="str">
        <f t="shared" si="17"/>
        <v/>
      </c>
      <c r="AK27" s="35" t="str">
        <f t="shared" si="18"/>
        <v/>
      </c>
      <c r="AL27" s="37" t="str">
        <f>IF(A27="","",VLOOKUP(B27,'Datos Kandiko'!B29:BB66,37,0))</f>
        <v/>
      </c>
      <c r="AM27" s="58" t="str">
        <f t="shared" si="19"/>
        <v/>
      </c>
      <c r="AN27" s="262" t="str">
        <f>IF(BP27=A27,'Datos Kandiko'!BL29,"")</f>
        <v/>
      </c>
      <c r="AO27" s="32" t="str">
        <f>IF(A27="","",VLOOKUP(B27,'Datos Kandiko'!B29:BF66,39,0))</f>
        <v/>
      </c>
      <c r="AP27" s="36" t="str">
        <f t="shared" si="23"/>
        <v/>
      </c>
      <c r="AQ27" s="32" t="str">
        <f>IF(A27="","",VLOOKUP(B27,'Datos Kandiko'!B29:BH66,41,0))</f>
        <v/>
      </c>
      <c r="AR27" s="32" t="str">
        <f>IF(A27="","",VLOOKUP(B27,'Datos Kandiko'!B29:BI66,42,0))</f>
        <v/>
      </c>
      <c r="AS27" s="32" t="str">
        <f>IF(A27="","",VLOOKUP(B27,'Datos Kandiko'!B29:BJ66,43,0))</f>
        <v/>
      </c>
      <c r="AT27" s="32" t="str">
        <f>IF(A27="","",VLOOKUP(B27,'Datos Kandiko'!B29:BK66,44,0))</f>
        <v/>
      </c>
      <c r="AU27" s="58"/>
      <c r="AV27" s="37" t="str">
        <f t="shared" si="24"/>
        <v/>
      </c>
      <c r="AW27" s="38" t="str">
        <f t="shared" si="20"/>
        <v/>
      </c>
      <c r="AY27" s="180" t="str">
        <f>IF(A27="","",+'Datos Kandiko'!AY29)</f>
        <v/>
      </c>
      <c r="AZ27" s="180" t="str">
        <f t="shared" si="21"/>
        <v/>
      </c>
      <c r="BA27" s="255" t="str">
        <f>IF(A27="","",VLOOKUP(B27,'Datos Kandiko'!B29:BF66,51,0))</f>
        <v/>
      </c>
      <c r="BB27" s="181" t="str">
        <f t="shared" si="6"/>
        <v/>
      </c>
      <c r="BC27" s="180" t="str">
        <f>IF(BP27=A27,'Datos Kandiko'!BL29,"")</f>
        <v/>
      </c>
      <c r="BD27" s="181" t="str">
        <f t="shared" si="22"/>
        <v/>
      </c>
      <c r="BE27" s="29" t="str">
        <f>IF(A27="","",VLOOKUP(B27,'Datos Kandiko'!B29:BF66,53,0))</f>
        <v/>
      </c>
      <c r="BF27" s="28" t="str">
        <f>IF(A27="","",VLOOKUP(B27,'Datos Kandiko'!B29:BF66,54,0))</f>
        <v/>
      </c>
      <c r="BG27" s="28" t="str">
        <f>IF(A27="","",VLOOKUP(B27,'Datos Kandiko'!B29:BF66,55,0))</f>
        <v/>
      </c>
      <c r="BH27" s="28" t="str">
        <f>IF(A27="","",VLOOKUP(B27,'Datos Kandiko'!B29:BF66,51,0))</f>
        <v/>
      </c>
      <c r="BI27" s="28" t="str">
        <f>IF(A27="","",IF(VLOOKUP(B27,'Datos Kandiko'!B29:BF66,52,0)=0%,IF(AO27&gt;1,1,VLOOKUP(B27,'Datos Kandiko'!B29:BF66,52,0))))</f>
        <v/>
      </c>
      <c r="BJ27" s="211" t="str">
        <f>IF(A27="","",VLOOKUP(B27,'Datos Kandiko'!B29:BH66,58,0))</f>
        <v/>
      </c>
      <c r="BK27" s="27" t="str">
        <f>IF(A27="","",VLOOKUP(B27,'Datos Kandiko'!B29:BH66,59,0))</f>
        <v/>
      </c>
      <c r="BL27" s="29" t="str">
        <f>IF(A27="","",VLOOKUP(B27,'Datos Kandiko'!B29:BF66,55,0))</f>
        <v/>
      </c>
      <c r="BM27" s="181" t="str">
        <f>IF(A27="","",VLOOKUP(B27,'Datos Kandiko'!B29:BF66,56,0))</f>
        <v/>
      </c>
      <c r="BN27" s="266" t="str">
        <f>IF(A27="","",IF(VLOOKUP(B27,'Datos Kandiko'!B29:BF66,57,0)=0,IF(AO27&gt;1,1,VLOOKUP(B27,'Datos Kandiko'!B29:BF66,57,0))))</f>
        <v/>
      </c>
      <c r="BO27" s="59"/>
      <c r="BP27" s="190" t="str">
        <f>+'Biyemas S.A.'!BP27</f>
        <v xml:space="preserve">Vie/Fri    </v>
      </c>
    </row>
    <row r="28" spans="1:68" ht="11.25" customHeight="1" x14ac:dyDescent="0.2">
      <c r="A28" s="188" t="str">
        <f>IF(BP28='Datos Kandiko'!A30,'Datos Kandiko'!A30,"")</f>
        <v/>
      </c>
      <c r="B28" s="185" t="str">
        <f>IF(BP28=A28,'Datos Kandiko'!B30,"")</f>
        <v/>
      </c>
      <c r="C28" s="186" t="str">
        <f>IF(BP28=A28,'Datos Kandiko'!C30,"")</f>
        <v/>
      </c>
      <c r="D28" s="37" t="str">
        <f>IF(BP28=A28,VLOOKUP(B28,'Datos Kandiko'!B30:BB67,3,0),"")</f>
        <v/>
      </c>
      <c r="E28" s="32" t="str">
        <f>IF(BP28=A28,VLOOKUP(B28,'Datos Kandiko'!B30:BB67,4,0),"")</f>
        <v/>
      </c>
      <c r="F28" s="32" t="str">
        <f>IF(BP28=A28,VLOOKUP(B28,'Datos Kandiko'!B30:BB67,5,0),"")</f>
        <v/>
      </c>
      <c r="G28" s="32" t="str">
        <f>IF(BP28=A28,VLOOKUP(B28,'Datos Kandiko'!B30:BB67,6,0),"")</f>
        <v/>
      </c>
      <c r="H28" s="33" t="str">
        <f t="shared" si="0"/>
        <v/>
      </c>
      <c r="I28" s="33" t="str">
        <f t="shared" si="1"/>
        <v/>
      </c>
      <c r="J28" s="34" t="str">
        <f t="shared" si="2"/>
        <v/>
      </c>
      <c r="K28" s="31" t="str">
        <f t="shared" si="3"/>
        <v/>
      </c>
      <c r="L28" s="37" t="str">
        <f>IF(A28="","",VLOOKUP(B28,'Datos Kandiko'!B30:BB67,11,0))</f>
        <v/>
      </c>
      <c r="M28" s="32" t="str">
        <f>IF(A28="","",VLOOKUP(B28,'Datos Kandiko'!B30:BB67,12,0))</f>
        <v/>
      </c>
      <c r="N28" s="32" t="str">
        <f>IF(A28="","",VLOOKUP(B28,'Datos Kandiko'!B30:BB67,13,0))</f>
        <v/>
      </c>
      <c r="O28" s="32" t="str">
        <f>IF(A28="","",VLOOKUP(B28,'Datos Kandiko'!B30:BB67,14,0))</f>
        <v/>
      </c>
      <c r="P28" s="33" t="str">
        <f t="shared" si="7"/>
        <v/>
      </c>
      <c r="Q28" s="33" t="str">
        <f t="shared" si="8"/>
        <v/>
      </c>
      <c r="R28" s="34" t="str">
        <f t="shared" si="4"/>
        <v/>
      </c>
      <c r="S28" s="31" t="str">
        <f t="shared" si="5"/>
        <v/>
      </c>
      <c r="T28" s="35" t="str">
        <f t="shared" si="9"/>
        <v/>
      </c>
      <c r="U28" s="35" t="str">
        <f t="shared" si="10"/>
        <v/>
      </c>
      <c r="V28" s="37" t="str">
        <f>IF(A28="","",VLOOKUP(B28,'Datos Kandiko'!B30:BB67,21,0))</f>
        <v/>
      </c>
      <c r="W28" s="32" t="str">
        <f>IF(A28="","",VLOOKUP(B28,'Datos Kandiko'!B30:BB67,22,0))</f>
        <v/>
      </c>
      <c r="X28" s="32" t="str">
        <f>IF(A28="","",VLOOKUP(B28,'Datos Kandiko'!B30:BB67,23,0))</f>
        <v/>
      </c>
      <c r="Y28" s="32" t="str">
        <f>IF(A28="","",VLOOKUP(B28,'Datos Kandiko'!B30:BB67,24,0))</f>
        <v/>
      </c>
      <c r="Z28" s="33" t="str">
        <f t="shared" si="11"/>
        <v/>
      </c>
      <c r="AA28" s="33" t="str">
        <f t="shared" si="12"/>
        <v/>
      </c>
      <c r="AB28" s="34" t="str">
        <f t="shared" si="13"/>
        <v/>
      </c>
      <c r="AC28" s="31" t="str">
        <f t="shared" si="14"/>
        <v/>
      </c>
      <c r="AD28" s="37" t="str">
        <f t="shared" si="15"/>
        <v/>
      </c>
      <c r="AE28" s="32" t="str">
        <f>IF(A28="","",VLOOKUP(B28,'Datos Kandiko'!B30:BB67,30,0))</f>
        <v/>
      </c>
      <c r="AF28" s="31" t="str">
        <f t="shared" si="16"/>
        <v/>
      </c>
      <c r="AG28" s="32" t="str">
        <f>IF(A28="","",VLOOKUP(B28,'Datos Kandiko'!B30:BB67,32,0))</f>
        <v/>
      </c>
      <c r="AH28" s="32" t="str">
        <f>IF(A28="","",VLOOKUP(B28,'Datos Kandiko'!B30:BB67,33,0))</f>
        <v/>
      </c>
      <c r="AI28" s="32" t="str">
        <f>IF(A28="","",VLOOKUP(B28,'Datos Kandiko'!B30:BB67,34,0))</f>
        <v/>
      </c>
      <c r="AJ28" s="34" t="str">
        <f t="shared" si="17"/>
        <v/>
      </c>
      <c r="AK28" s="35" t="str">
        <f t="shared" si="18"/>
        <v/>
      </c>
      <c r="AL28" s="37" t="str">
        <f>IF(A28="","",VLOOKUP(B28,'Datos Kandiko'!B30:BB67,37,0))</f>
        <v/>
      </c>
      <c r="AM28" s="58" t="str">
        <f t="shared" si="19"/>
        <v/>
      </c>
      <c r="AN28" s="262" t="str">
        <f>IF(BP28=A28,'Datos Kandiko'!BL30,"")</f>
        <v/>
      </c>
      <c r="AO28" s="32" t="str">
        <f>IF(A28="","",VLOOKUP(B28,'Datos Kandiko'!B30:BF67,39,0))</f>
        <v/>
      </c>
      <c r="AP28" s="36" t="str">
        <f t="shared" si="23"/>
        <v/>
      </c>
      <c r="AQ28" s="32" t="str">
        <f>IF(A28="","",VLOOKUP(B28,'Datos Kandiko'!B30:BH67,41,0))</f>
        <v/>
      </c>
      <c r="AR28" s="32" t="str">
        <f>IF(A28="","",VLOOKUP(B28,'Datos Kandiko'!B30:BI67,42,0))</f>
        <v/>
      </c>
      <c r="AS28" s="32" t="str">
        <f>IF(A28="","",VLOOKUP(B28,'Datos Kandiko'!B30:BJ67,43,0))</f>
        <v/>
      </c>
      <c r="AT28" s="32" t="str">
        <f>IF(A28="","",VLOOKUP(B28,'Datos Kandiko'!B30:BK67,44,0))</f>
        <v/>
      </c>
      <c r="AU28" s="58"/>
      <c r="AV28" s="37" t="str">
        <f t="shared" si="24"/>
        <v/>
      </c>
      <c r="AW28" s="38" t="str">
        <f t="shared" si="20"/>
        <v/>
      </c>
      <c r="AY28" s="180" t="str">
        <f>IF(A28="","",+'Datos Kandiko'!AY30)</f>
        <v/>
      </c>
      <c r="AZ28" s="180" t="str">
        <f t="shared" si="21"/>
        <v/>
      </c>
      <c r="BA28" s="255" t="str">
        <f>IF(A28="","",VLOOKUP(B28,'Datos Kandiko'!B30:BF67,51,0))</f>
        <v/>
      </c>
      <c r="BB28" s="181" t="str">
        <f t="shared" si="6"/>
        <v/>
      </c>
      <c r="BC28" s="180" t="str">
        <f>IF(BP28=A28,'Datos Kandiko'!BL30,"")</f>
        <v/>
      </c>
      <c r="BD28" s="181" t="str">
        <f t="shared" si="22"/>
        <v/>
      </c>
      <c r="BE28" s="29" t="str">
        <f>IF(A28="","",VLOOKUP(B28,'Datos Kandiko'!B30:BF67,53,0))</f>
        <v/>
      </c>
      <c r="BF28" s="28" t="str">
        <f>IF(A28="","",VLOOKUP(B28,'Datos Kandiko'!B30:BF67,54,0))</f>
        <v/>
      </c>
      <c r="BG28" s="28" t="str">
        <f>IF(A28="","",VLOOKUP(B28,'Datos Kandiko'!B30:BF67,55,0))</f>
        <v/>
      </c>
      <c r="BH28" s="28" t="str">
        <f>IF(A28="","",VLOOKUP(B28,'Datos Kandiko'!B30:BF67,51,0))</f>
        <v/>
      </c>
      <c r="BI28" s="28" t="str">
        <f>IF(A28="","",IF(VLOOKUP(B28,'Datos Kandiko'!B30:BF67,52,0)=0%,IF(AO28&gt;1,1,VLOOKUP(B28,'Datos Kandiko'!B30:BF67,52,0))))</f>
        <v/>
      </c>
      <c r="BJ28" s="211" t="str">
        <f>IF(A28="","",VLOOKUP(B28,'Datos Kandiko'!B30:BH67,58,0))</f>
        <v/>
      </c>
      <c r="BK28" s="27" t="str">
        <f>IF(A28="","",VLOOKUP(B28,'Datos Kandiko'!B30:BH67,59,0))</f>
        <v/>
      </c>
      <c r="BL28" s="29" t="str">
        <f>IF(A28="","",VLOOKUP(B28,'Datos Kandiko'!B30:BF67,55,0))</f>
        <v/>
      </c>
      <c r="BM28" s="181" t="str">
        <f>IF(A28="","",VLOOKUP(B28,'Datos Kandiko'!B30:BF67,56,0))</f>
        <v/>
      </c>
      <c r="BN28" s="266" t="str">
        <f>IF(A28="","",IF(VLOOKUP(B28,'Datos Kandiko'!B30:BF67,57,0)=0,IF(AO28&gt;1,1,VLOOKUP(B28,'Datos Kandiko'!B30:BF67,57,0))))</f>
        <v/>
      </c>
      <c r="BO28" s="59"/>
      <c r="BP28" s="190" t="str">
        <f>+'Biyemas S.A.'!BP28</f>
        <v xml:space="preserve">Sab/Sat    </v>
      </c>
    </row>
    <row r="29" spans="1:68" ht="11.25" customHeight="1" x14ac:dyDescent="0.2">
      <c r="A29" s="188" t="str">
        <f>IF(BP29='Datos Kandiko'!A31,'Datos Kandiko'!A31,"")</f>
        <v/>
      </c>
      <c r="B29" s="185" t="str">
        <f>IF(BP29=A29,'Datos Kandiko'!B31,"")</f>
        <v/>
      </c>
      <c r="C29" s="186" t="str">
        <f>IF(BP29=A29,'Datos Kandiko'!C31,"")</f>
        <v/>
      </c>
      <c r="D29" s="37" t="str">
        <f>IF(BP29=A29,VLOOKUP(B29,'Datos Kandiko'!B31:BB68,3,0),"")</f>
        <v/>
      </c>
      <c r="E29" s="32" t="str">
        <f>IF(BP29=A29,VLOOKUP(B29,'Datos Kandiko'!B31:BB68,4,0),"")</f>
        <v/>
      </c>
      <c r="F29" s="32" t="str">
        <f>IF(BP29=A29,VLOOKUP(B29,'Datos Kandiko'!B31:BB68,5,0),"")</f>
        <v/>
      </c>
      <c r="G29" s="32" t="str">
        <f>IF(BP29=A29,VLOOKUP(B29,'Datos Kandiko'!B31:BB68,6,0),"")</f>
        <v/>
      </c>
      <c r="H29" s="33" t="str">
        <f t="shared" si="0"/>
        <v/>
      </c>
      <c r="I29" s="33" t="str">
        <f t="shared" si="1"/>
        <v/>
      </c>
      <c r="J29" s="34" t="str">
        <f t="shared" si="2"/>
        <v/>
      </c>
      <c r="K29" s="31" t="str">
        <f t="shared" si="3"/>
        <v/>
      </c>
      <c r="L29" s="37" t="str">
        <f>IF(A29="","",VLOOKUP(B29,'Datos Kandiko'!B31:BB68,11,0))</f>
        <v/>
      </c>
      <c r="M29" s="32" t="str">
        <f>IF(A29="","",VLOOKUP(B29,'Datos Kandiko'!B31:BB68,12,0))</f>
        <v/>
      </c>
      <c r="N29" s="32" t="str">
        <f>IF(A29="","",VLOOKUP(B29,'Datos Kandiko'!B31:BB68,13,0))</f>
        <v/>
      </c>
      <c r="O29" s="32" t="str">
        <f>IF(A29="","",VLOOKUP(B29,'Datos Kandiko'!B31:BB68,14,0))</f>
        <v/>
      </c>
      <c r="P29" s="33" t="str">
        <f t="shared" si="7"/>
        <v/>
      </c>
      <c r="Q29" s="33" t="str">
        <f t="shared" si="8"/>
        <v/>
      </c>
      <c r="R29" s="34" t="str">
        <f t="shared" si="4"/>
        <v/>
      </c>
      <c r="S29" s="31" t="str">
        <f t="shared" si="5"/>
        <v/>
      </c>
      <c r="T29" s="35" t="str">
        <f t="shared" si="9"/>
        <v/>
      </c>
      <c r="U29" s="35" t="str">
        <f t="shared" si="10"/>
        <v/>
      </c>
      <c r="V29" s="37" t="str">
        <f>IF(A29="","",VLOOKUP(B29,'Datos Kandiko'!B31:BB68,21,0))</f>
        <v/>
      </c>
      <c r="W29" s="32" t="str">
        <f>IF(A29="","",VLOOKUP(B29,'Datos Kandiko'!B31:BB68,22,0))</f>
        <v/>
      </c>
      <c r="X29" s="32" t="str">
        <f>IF(A29="","",VLOOKUP(B29,'Datos Kandiko'!B31:BB68,23,0))</f>
        <v/>
      </c>
      <c r="Y29" s="32" t="str">
        <f>IF(A29="","",VLOOKUP(B29,'Datos Kandiko'!B31:BB68,24,0))</f>
        <v/>
      </c>
      <c r="Z29" s="33" t="str">
        <f t="shared" si="11"/>
        <v/>
      </c>
      <c r="AA29" s="33" t="str">
        <f t="shared" si="12"/>
        <v/>
      </c>
      <c r="AB29" s="34" t="str">
        <f t="shared" si="13"/>
        <v/>
      </c>
      <c r="AC29" s="31" t="str">
        <f t="shared" si="14"/>
        <v/>
      </c>
      <c r="AD29" s="37" t="str">
        <f t="shared" si="15"/>
        <v/>
      </c>
      <c r="AE29" s="32" t="str">
        <f>IF(A29="","",VLOOKUP(B29,'Datos Kandiko'!B31:BB68,30,0))</f>
        <v/>
      </c>
      <c r="AF29" s="31" t="str">
        <f t="shared" si="16"/>
        <v/>
      </c>
      <c r="AG29" s="32" t="str">
        <f>IF(A29="","",VLOOKUP(B29,'Datos Kandiko'!B31:BB68,32,0))</f>
        <v/>
      </c>
      <c r="AH29" s="32" t="str">
        <f>IF(A29="","",VLOOKUP(B29,'Datos Kandiko'!B31:BB68,33,0))</f>
        <v/>
      </c>
      <c r="AI29" s="32" t="str">
        <f>IF(A29="","",VLOOKUP(B29,'Datos Kandiko'!B31:BB68,34,0))</f>
        <v/>
      </c>
      <c r="AJ29" s="34" t="str">
        <f t="shared" si="17"/>
        <v/>
      </c>
      <c r="AK29" s="35" t="str">
        <f t="shared" si="18"/>
        <v/>
      </c>
      <c r="AL29" s="37" t="str">
        <f>IF(A29="","",VLOOKUP(B29,'Datos Kandiko'!B31:BB68,37,0))</f>
        <v/>
      </c>
      <c r="AM29" s="58" t="str">
        <f t="shared" si="19"/>
        <v/>
      </c>
      <c r="AN29" s="262" t="str">
        <f>IF(BP29=A29,'Datos Kandiko'!BL31,"")</f>
        <v/>
      </c>
      <c r="AO29" s="32" t="str">
        <f>IF(A29="","",VLOOKUP(B29,'Datos Kandiko'!B31:BF68,39,0))</f>
        <v/>
      </c>
      <c r="AP29" s="36" t="str">
        <f t="shared" si="23"/>
        <v/>
      </c>
      <c r="AQ29" s="32" t="str">
        <f>IF(A29="","",VLOOKUP(B29,'Datos Kandiko'!B31:BH68,41,0))</f>
        <v/>
      </c>
      <c r="AR29" s="32" t="str">
        <f>IF(A29="","",VLOOKUP(B29,'Datos Kandiko'!B31:BI68,42,0))</f>
        <v/>
      </c>
      <c r="AS29" s="32" t="str">
        <f>IF(A29="","",VLOOKUP(B29,'Datos Kandiko'!B31:BJ68,43,0))</f>
        <v/>
      </c>
      <c r="AT29" s="32" t="str">
        <f>IF(A29="","",VLOOKUP(B29,'Datos Kandiko'!B31:BK68,44,0))</f>
        <v/>
      </c>
      <c r="AU29" s="58"/>
      <c r="AV29" s="37" t="str">
        <f t="shared" si="24"/>
        <v/>
      </c>
      <c r="AW29" s="38" t="str">
        <f t="shared" si="20"/>
        <v/>
      </c>
      <c r="AY29" s="180" t="str">
        <f>IF(A29="","",+'Datos Kandiko'!AY31)</f>
        <v/>
      </c>
      <c r="AZ29" s="180" t="str">
        <f t="shared" si="21"/>
        <v/>
      </c>
      <c r="BA29" s="255" t="str">
        <f>IF(A29="","",VLOOKUP(B29,'Datos Kandiko'!B31:BF68,51,0))</f>
        <v/>
      </c>
      <c r="BB29" s="181" t="str">
        <f t="shared" ref="BB29:BB38" si="25">IF(A29="","",IF(BA29&gt;0,(C29-BA29)/BA29,100%))</f>
        <v/>
      </c>
      <c r="BC29" s="180" t="str">
        <f>IF(BP29=A29,'Datos Kandiko'!BL31,"")</f>
        <v/>
      </c>
      <c r="BD29" s="181" t="str">
        <f t="shared" si="22"/>
        <v/>
      </c>
      <c r="BE29" s="29" t="str">
        <f>IF(A29="","",VLOOKUP(B29,'Datos Kandiko'!B31:BF68,53,0))</f>
        <v/>
      </c>
      <c r="BF29" s="28" t="str">
        <f>IF(A29="","",VLOOKUP(B29,'Datos Kandiko'!B31:BF68,54,0))</f>
        <v/>
      </c>
      <c r="BG29" s="28" t="str">
        <f>IF(A29="","",VLOOKUP(B29,'Datos Kandiko'!B31:BF68,55,0))</f>
        <v/>
      </c>
      <c r="BH29" s="28" t="str">
        <f>IF(A29="","",VLOOKUP(B29,'Datos Kandiko'!B31:BF68,51,0))</f>
        <v/>
      </c>
      <c r="BI29" s="28" t="str">
        <f>IF(A29="","",IF(VLOOKUP(B29,'Datos Kandiko'!B31:BF68,52,0)=0%,IF(AO29&gt;1,1,VLOOKUP(B29,'Datos Kandiko'!B31:BF68,52,0))))</f>
        <v/>
      </c>
      <c r="BJ29" s="211" t="str">
        <f>IF(A29="","",VLOOKUP(B29,'Datos Kandiko'!B31:BH68,58,0))</f>
        <v/>
      </c>
      <c r="BK29" s="27" t="str">
        <f>IF(A29="","",VLOOKUP(B29,'Datos Kandiko'!B31:BH68,59,0))</f>
        <v/>
      </c>
      <c r="BL29" s="29" t="str">
        <f>IF(A29="","",VLOOKUP(B29,'Datos Kandiko'!B31:BF68,55,0))</f>
        <v/>
      </c>
      <c r="BM29" s="181" t="str">
        <f>IF(A29="","",VLOOKUP(B29,'Datos Kandiko'!B31:BF68,56,0))</f>
        <v/>
      </c>
      <c r="BN29" s="266" t="str">
        <f>IF(A29="","",IF(VLOOKUP(B29,'Datos Kandiko'!B31:BF68,57,0)=0,IF(AO29&gt;1,1,VLOOKUP(B29,'Datos Kandiko'!B31:BF68,57,0))))</f>
        <v/>
      </c>
      <c r="BO29" s="59"/>
      <c r="BP29" s="190" t="str">
        <f>+'Biyemas S.A.'!BP29</f>
        <v xml:space="preserve">Dom/Sun    </v>
      </c>
    </row>
    <row r="30" spans="1:68" ht="11.25" customHeight="1" x14ac:dyDescent="0.2">
      <c r="A30" s="188" t="str">
        <f>IF(BP30='Datos Kandiko'!A32,'Datos Kandiko'!A32,"")</f>
        <v/>
      </c>
      <c r="B30" s="185" t="str">
        <f>IF(BP30=A30,'Datos Kandiko'!B32,"")</f>
        <v/>
      </c>
      <c r="C30" s="186" t="str">
        <f>IF(BP30=A30,'Datos Kandiko'!C32,"")</f>
        <v/>
      </c>
      <c r="D30" s="37" t="str">
        <f>IF(BP30=A30,VLOOKUP(B30,'Datos Kandiko'!B32:BB69,3,0),"")</f>
        <v/>
      </c>
      <c r="E30" s="32" t="str">
        <f>IF(BP30=A30,VLOOKUP(B30,'Datos Kandiko'!B32:BB69,4,0),"")</f>
        <v/>
      </c>
      <c r="F30" s="32" t="str">
        <f>IF(BP30=A30,VLOOKUP(B30,'Datos Kandiko'!B32:BB69,5,0),"")</f>
        <v/>
      </c>
      <c r="G30" s="32" t="str">
        <f>IF(BP30=A30,VLOOKUP(B30,'Datos Kandiko'!B32:BB69,6,0),"")</f>
        <v/>
      </c>
      <c r="H30" s="33" t="str">
        <f t="shared" si="0"/>
        <v/>
      </c>
      <c r="I30" s="33" t="str">
        <f t="shared" si="1"/>
        <v/>
      </c>
      <c r="J30" s="34" t="str">
        <f t="shared" si="2"/>
        <v/>
      </c>
      <c r="K30" s="31" t="str">
        <f t="shared" si="3"/>
        <v/>
      </c>
      <c r="L30" s="37" t="str">
        <f>IF(A30="","",VLOOKUP(B30,'Datos Kandiko'!B32:BB69,11,0))</f>
        <v/>
      </c>
      <c r="M30" s="32" t="str">
        <f>IF(A30="","",VLOOKUP(B30,'Datos Kandiko'!B32:BB69,12,0))</f>
        <v/>
      </c>
      <c r="N30" s="32" t="str">
        <f>IF(A30="","",VLOOKUP(B30,'Datos Kandiko'!B32:BB69,13,0))</f>
        <v/>
      </c>
      <c r="O30" s="32" t="str">
        <f>IF(A30="","",VLOOKUP(B30,'Datos Kandiko'!B32:BB69,14,0))</f>
        <v/>
      </c>
      <c r="P30" s="33" t="str">
        <f t="shared" si="7"/>
        <v/>
      </c>
      <c r="Q30" s="33" t="str">
        <f t="shared" si="8"/>
        <v/>
      </c>
      <c r="R30" s="34" t="str">
        <f t="shared" si="4"/>
        <v/>
      </c>
      <c r="S30" s="31" t="str">
        <f t="shared" si="5"/>
        <v/>
      </c>
      <c r="T30" s="35" t="str">
        <f t="shared" si="9"/>
        <v/>
      </c>
      <c r="U30" s="35" t="str">
        <f t="shared" si="10"/>
        <v/>
      </c>
      <c r="V30" s="37" t="str">
        <f>IF(A30="","",VLOOKUP(B30,'Datos Kandiko'!B32:BB69,21,0))</f>
        <v/>
      </c>
      <c r="W30" s="32" t="str">
        <f>IF(A30="","",VLOOKUP(B30,'Datos Kandiko'!B32:BB69,22,0))</f>
        <v/>
      </c>
      <c r="X30" s="32" t="str">
        <f>IF(A30="","",VLOOKUP(B30,'Datos Kandiko'!B32:BB69,23,0))</f>
        <v/>
      </c>
      <c r="Y30" s="32" t="str">
        <f>IF(A30="","",VLOOKUP(B30,'Datos Kandiko'!B32:BB69,24,0))</f>
        <v/>
      </c>
      <c r="Z30" s="33" t="str">
        <f t="shared" si="11"/>
        <v/>
      </c>
      <c r="AA30" s="33" t="str">
        <f t="shared" si="12"/>
        <v/>
      </c>
      <c r="AB30" s="34" t="str">
        <f t="shared" si="13"/>
        <v/>
      </c>
      <c r="AC30" s="31" t="str">
        <f t="shared" si="14"/>
        <v/>
      </c>
      <c r="AD30" s="37" t="str">
        <f t="shared" si="15"/>
        <v/>
      </c>
      <c r="AE30" s="32" t="str">
        <f>IF(A30="","",VLOOKUP(B30,'Datos Kandiko'!B32:BB69,30,0))</f>
        <v/>
      </c>
      <c r="AF30" s="31" t="str">
        <f t="shared" si="16"/>
        <v/>
      </c>
      <c r="AG30" s="32" t="str">
        <f>IF(A30="","",VLOOKUP(B30,'Datos Kandiko'!B32:BB69,32,0))</f>
        <v/>
      </c>
      <c r="AH30" s="32" t="str">
        <f>IF(A30="","",VLOOKUP(B30,'Datos Kandiko'!B32:BB69,33,0))</f>
        <v/>
      </c>
      <c r="AI30" s="32" t="str">
        <f>IF(A30="","",VLOOKUP(B30,'Datos Kandiko'!B32:BB69,34,0))</f>
        <v/>
      </c>
      <c r="AJ30" s="34" t="str">
        <f t="shared" si="17"/>
        <v/>
      </c>
      <c r="AK30" s="35" t="str">
        <f t="shared" si="18"/>
        <v/>
      </c>
      <c r="AL30" s="37" t="str">
        <f>IF(A30="","",VLOOKUP(B30,'Datos Kandiko'!B32:BB69,37,0))</f>
        <v/>
      </c>
      <c r="AM30" s="58" t="str">
        <f t="shared" si="19"/>
        <v/>
      </c>
      <c r="AN30" s="262" t="str">
        <f>IF(BP30=A30,'Datos Kandiko'!BL32,"")</f>
        <v/>
      </c>
      <c r="AO30" s="32" t="str">
        <f>IF(A30="","",VLOOKUP(B30,'Datos Kandiko'!B32:BF69,39,0))</f>
        <v/>
      </c>
      <c r="AP30" s="36" t="str">
        <f t="shared" si="23"/>
        <v/>
      </c>
      <c r="AQ30" s="32" t="str">
        <f>IF(A30="","",VLOOKUP(B30,'Datos Kandiko'!B32:BH69,41,0))</f>
        <v/>
      </c>
      <c r="AR30" s="32" t="str">
        <f>IF(A30="","",VLOOKUP(B30,'Datos Kandiko'!B32:BI69,42,0))</f>
        <v/>
      </c>
      <c r="AS30" s="32" t="str">
        <f>IF(A30="","",VLOOKUP(B30,'Datos Kandiko'!B32:BJ69,43,0))</f>
        <v/>
      </c>
      <c r="AT30" s="32" t="str">
        <f>IF(A30="","",VLOOKUP(B30,'Datos Kandiko'!B32:BK69,44,0))</f>
        <v/>
      </c>
      <c r="AU30" s="58"/>
      <c r="AV30" s="37" t="str">
        <f t="shared" si="24"/>
        <v/>
      </c>
      <c r="AW30" s="38" t="str">
        <f t="shared" si="20"/>
        <v/>
      </c>
      <c r="AY30" s="180" t="str">
        <f>IF(A30="","",+'Datos Kandiko'!AY32)</f>
        <v/>
      </c>
      <c r="AZ30" s="180" t="str">
        <f t="shared" si="21"/>
        <v/>
      </c>
      <c r="BA30" s="255" t="str">
        <f>IF(A30="","",VLOOKUP(B30,'Datos Kandiko'!B32:BF69,51,0))</f>
        <v/>
      </c>
      <c r="BB30" s="181" t="str">
        <f t="shared" si="25"/>
        <v/>
      </c>
      <c r="BC30" s="180" t="str">
        <f>IF(BP30=A30,'Datos Kandiko'!BL32,"")</f>
        <v/>
      </c>
      <c r="BD30" s="181" t="str">
        <f t="shared" si="22"/>
        <v/>
      </c>
      <c r="BE30" s="29" t="str">
        <f>IF(A30="","",VLOOKUP(B30,'Datos Kandiko'!B32:BF69,53,0))</f>
        <v/>
      </c>
      <c r="BF30" s="28" t="str">
        <f>IF(A30="","",VLOOKUP(B30,'Datos Kandiko'!B32:BF69,54,0))</f>
        <v/>
      </c>
      <c r="BG30" s="28" t="str">
        <f>IF(A30="","",VLOOKUP(B30,'Datos Kandiko'!B32:BF69,55,0))</f>
        <v/>
      </c>
      <c r="BH30" s="28" t="str">
        <f>IF(A30="","",VLOOKUP(B30,'Datos Kandiko'!B32:BF69,51,0))</f>
        <v/>
      </c>
      <c r="BI30" s="28" t="str">
        <f>IF(A30="","",IF(VLOOKUP(B30,'Datos Kandiko'!B32:BF69,52,0)=0%,IF(AO30&gt;1,1,VLOOKUP(B30,'Datos Kandiko'!B32:BF69,52,0))))</f>
        <v/>
      </c>
      <c r="BJ30" s="211" t="str">
        <f>IF(A30="","",VLOOKUP(B30,'Datos Kandiko'!B32:BH69,58,0))</f>
        <v/>
      </c>
      <c r="BK30" s="27" t="str">
        <f>IF(A30="","",VLOOKUP(B30,'Datos Kandiko'!B32:BH69,59,0))</f>
        <v/>
      </c>
      <c r="BL30" s="29" t="str">
        <f>IF(A30="","",VLOOKUP(B30,'Datos Kandiko'!B32:BF69,55,0))</f>
        <v/>
      </c>
      <c r="BM30" s="181" t="str">
        <f>IF(A30="","",VLOOKUP(B30,'Datos Kandiko'!B32:BF69,56,0))</f>
        <v/>
      </c>
      <c r="BN30" s="266" t="str">
        <f>IF(A30="","",IF(VLOOKUP(B30,'Datos Kandiko'!B32:BF69,57,0)=0,IF(AO30&gt;1,1,VLOOKUP(B30,'Datos Kandiko'!B32:BF69,57,0))))</f>
        <v/>
      </c>
      <c r="BO30" s="59"/>
      <c r="BP30" s="190" t="str">
        <f>+'Biyemas S.A.'!BP30</f>
        <v xml:space="preserve">Lun/Mon    </v>
      </c>
    </row>
    <row r="31" spans="1:68" ht="11.25" customHeight="1" x14ac:dyDescent="0.2">
      <c r="A31" s="188" t="str">
        <f>IF(BP31='Datos Kandiko'!A33,'Datos Kandiko'!A33,"")</f>
        <v/>
      </c>
      <c r="B31" s="185" t="str">
        <f>IF(BP31=A31,'Datos Kandiko'!B33,"")</f>
        <v/>
      </c>
      <c r="C31" s="186" t="str">
        <f>IF(BP31=A31,'Datos Kandiko'!C33,"")</f>
        <v/>
      </c>
      <c r="D31" s="37" t="str">
        <f>IF(BP31=A31,VLOOKUP(B31,'Datos Kandiko'!B33:BB70,3,0),"")</f>
        <v/>
      </c>
      <c r="E31" s="32" t="str">
        <f>IF(BP31=A31,VLOOKUP(B31,'Datos Kandiko'!B33:BB70,4,0),"")</f>
        <v/>
      </c>
      <c r="F31" s="32" t="str">
        <f>IF(BP31=A31,VLOOKUP(B31,'Datos Kandiko'!B33:BB70,5,0),"")</f>
        <v/>
      </c>
      <c r="G31" s="32" t="str">
        <f>IF(BP31=A31,VLOOKUP(B31,'Datos Kandiko'!B33:BB70,6,0),"")</f>
        <v/>
      </c>
      <c r="H31" s="33" t="str">
        <f t="shared" si="0"/>
        <v/>
      </c>
      <c r="I31" s="33" t="str">
        <f t="shared" si="1"/>
        <v/>
      </c>
      <c r="J31" s="34" t="str">
        <f t="shared" si="2"/>
        <v/>
      </c>
      <c r="K31" s="31" t="str">
        <f t="shared" si="3"/>
        <v/>
      </c>
      <c r="L31" s="37" t="str">
        <f>IF(A31="","",VLOOKUP(B31,'Datos Kandiko'!B33:BB70,11,0))</f>
        <v/>
      </c>
      <c r="M31" s="32" t="str">
        <f>IF(A31="","",VLOOKUP(B31,'Datos Kandiko'!B33:BB70,12,0))</f>
        <v/>
      </c>
      <c r="N31" s="32" t="str">
        <f>IF(A31="","",VLOOKUP(B31,'Datos Kandiko'!B33:BB70,13,0))</f>
        <v/>
      </c>
      <c r="O31" s="32" t="str">
        <f>IF(A31="","",VLOOKUP(B31,'Datos Kandiko'!B33:BB70,14,0))</f>
        <v/>
      </c>
      <c r="P31" s="33" t="str">
        <f t="shared" si="7"/>
        <v/>
      </c>
      <c r="Q31" s="33" t="str">
        <f t="shared" si="8"/>
        <v/>
      </c>
      <c r="R31" s="34" t="str">
        <f t="shared" si="4"/>
        <v/>
      </c>
      <c r="S31" s="31" t="str">
        <f t="shared" si="5"/>
        <v/>
      </c>
      <c r="T31" s="35" t="str">
        <f t="shared" si="9"/>
        <v/>
      </c>
      <c r="U31" s="35" t="str">
        <f t="shared" si="10"/>
        <v/>
      </c>
      <c r="V31" s="37" t="str">
        <f>IF(A31="","",VLOOKUP(B31,'Datos Kandiko'!B33:BB70,21,0))</f>
        <v/>
      </c>
      <c r="W31" s="32" t="str">
        <f>IF(A31="","",VLOOKUP(B31,'Datos Kandiko'!B33:BB70,22,0))</f>
        <v/>
      </c>
      <c r="X31" s="32" t="str">
        <f>IF(A31="","",VLOOKUP(B31,'Datos Kandiko'!B33:BB70,23,0))</f>
        <v/>
      </c>
      <c r="Y31" s="32" t="str">
        <f>IF(A31="","",VLOOKUP(B31,'Datos Kandiko'!B33:BB70,24,0))</f>
        <v/>
      </c>
      <c r="Z31" s="33" t="str">
        <f t="shared" si="11"/>
        <v/>
      </c>
      <c r="AA31" s="33" t="str">
        <f t="shared" si="12"/>
        <v/>
      </c>
      <c r="AB31" s="34" t="str">
        <f t="shared" si="13"/>
        <v/>
      </c>
      <c r="AC31" s="31" t="str">
        <f t="shared" si="14"/>
        <v/>
      </c>
      <c r="AD31" s="37" t="str">
        <f t="shared" si="15"/>
        <v/>
      </c>
      <c r="AE31" s="32" t="str">
        <f>IF(A31="","",VLOOKUP(B31,'Datos Kandiko'!B33:BB70,30,0))</f>
        <v/>
      </c>
      <c r="AF31" s="31" t="str">
        <f t="shared" si="16"/>
        <v/>
      </c>
      <c r="AG31" s="32" t="str">
        <f>IF(A31="","",VLOOKUP(B31,'Datos Kandiko'!B33:BB70,32,0))</f>
        <v/>
      </c>
      <c r="AH31" s="32" t="str">
        <f>IF(A31="","",VLOOKUP(B31,'Datos Kandiko'!B33:BB70,33,0))</f>
        <v/>
      </c>
      <c r="AI31" s="32" t="str">
        <f>IF(A31="","",VLOOKUP(B31,'Datos Kandiko'!B33:BB70,34,0))</f>
        <v/>
      </c>
      <c r="AJ31" s="34" t="str">
        <f t="shared" si="17"/>
        <v/>
      </c>
      <c r="AK31" s="35" t="str">
        <f t="shared" si="18"/>
        <v/>
      </c>
      <c r="AL31" s="37" t="str">
        <f>IF(A31="","",VLOOKUP(B31,'Datos Kandiko'!B33:BB70,37,0))</f>
        <v/>
      </c>
      <c r="AM31" s="58" t="str">
        <f t="shared" si="19"/>
        <v/>
      </c>
      <c r="AN31" s="262" t="str">
        <f>IF(BP31=A31,'Datos Kandiko'!BL33,"")</f>
        <v/>
      </c>
      <c r="AO31" s="32" t="str">
        <f>IF(A31="","",VLOOKUP(B31,'Datos Kandiko'!B33:BF70,39,0))</f>
        <v/>
      </c>
      <c r="AP31" s="36" t="str">
        <f t="shared" si="23"/>
        <v/>
      </c>
      <c r="AQ31" s="32" t="str">
        <f>IF(A31="","",VLOOKUP(B31,'Datos Kandiko'!B33:BH70,41,0))</f>
        <v/>
      </c>
      <c r="AR31" s="32" t="str">
        <f>IF(A31="","",VLOOKUP(B31,'Datos Kandiko'!B33:BI70,42,0))</f>
        <v/>
      </c>
      <c r="AS31" s="32" t="str">
        <f>IF(A31="","",VLOOKUP(B31,'Datos Kandiko'!B33:BJ70,43,0))</f>
        <v/>
      </c>
      <c r="AT31" s="32" t="str">
        <f>IF(A31="","",VLOOKUP(B31,'Datos Kandiko'!B33:BK70,44,0))</f>
        <v/>
      </c>
      <c r="AU31" s="58"/>
      <c r="AV31" s="37" t="str">
        <f t="shared" si="24"/>
        <v/>
      </c>
      <c r="AW31" s="38" t="str">
        <f t="shared" si="20"/>
        <v/>
      </c>
      <c r="AY31" s="180" t="str">
        <f>IF(A31="","",+'Datos Kandiko'!AY33)</f>
        <v/>
      </c>
      <c r="AZ31" s="180" t="str">
        <f t="shared" si="21"/>
        <v/>
      </c>
      <c r="BA31" s="255" t="str">
        <f>IF(A31="","",VLOOKUP(B31,'Datos Kandiko'!B33:BF70,51,0))</f>
        <v/>
      </c>
      <c r="BB31" s="181" t="str">
        <f t="shared" si="25"/>
        <v/>
      </c>
      <c r="BC31" s="180" t="str">
        <f>IF(BP31=A31,'Datos Kandiko'!BL33,"")</f>
        <v/>
      </c>
      <c r="BD31" s="181" t="str">
        <f t="shared" si="22"/>
        <v/>
      </c>
      <c r="BE31" s="29" t="str">
        <f>IF(A31="","",VLOOKUP(B31,'Datos Kandiko'!B33:BF70,53,0))</f>
        <v/>
      </c>
      <c r="BF31" s="28" t="str">
        <f>IF(A31="","",VLOOKUP(B31,'Datos Kandiko'!B33:BF70,54,0))</f>
        <v/>
      </c>
      <c r="BG31" s="28" t="str">
        <f>IF(A31="","",VLOOKUP(B31,'Datos Kandiko'!B33:BF70,55,0))</f>
        <v/>
      </c>
      <c r="BH31" s="28" t="str">
        <f>IF(A31="","",VLOOKUP(B31,'Datos Kandiko'!B33:BF70,51,0))</f>
        <v/>
      </c>
      <c r="BI31" s="28" t="str">
        <f>IF(A31="","",IF(VLOOKUP(B31,'Datos Kandiko'!B33:BF70,52,0)=0%,IF(AO31&gt;1,1,VLOOKUP(B31,'Datos Kandiko'!B33:BF70,52,0))))</f>
        <v/>
      </c>
      <c r="BJ31" s="211" t="str">
        <f>IF(A31="","",VLOOKUP(B31,'Datos Kandiko'!B33:BH70,58,0))</f>
        <v/>
      </c>
      <c r="BK31" s="27" t="str">
        <f>IF(A31="","",VLOOKUP(B31,'Datos Kandiko'!B33:BH70,59,0))</f>
        <v/>
      </c>
      <c r="BL31" s="29" t="str">
        <f>IF(A31="","",VLOOKUP(B31,'Datos Kandiko'!B33:BF70,55,0))</f>
        <v/>
      </c>
      <c r="BM31" s="181" t="str">
        <f>IF(A31="","",VLOOKUP(B31,'Datos Kandiko'!B33:BF70,56,0))</f>
        <v/>
      </c>
      <c r="BN31" s="266" t="str">
        <f>IF(A31="","",IF(VLOOKUP(B31,'Datos Kandiko'!B33:BF70,57,0)=0,IF(AO31&gt;1,1,VLOOKUP(B31,'Datos Kandiko'!B33:BF70,57,0))))</f>
        <v/>
      </c>
      <c r="BO31" s="59"/>
      <c r="BP31" s="190" t="str">
        <f>+'Biyemas S.A.'!BP31</f>
        <v xml:space="preserve">Mar/Tue    </v>
      </c>
    </row>
    <row r="32" spans="1:68" ht="11.25" customHeight="1" x14ac:dyDescent="0.2">
      <c r="A32" s="188" t="str">
        <f>IF(BP32='Datos Kandiko'!A34,'Datos Kandiko'!A34,"")</f>
        <v/>
      </c>
      <c r="B32" s="185" t="str">
        <f>IF(BP32=A32,'Datos Kandiko'!B34,"")</f>
        <v/>
      </c>
      <c r="C32" s="186" t="str">
        <f>IF(BP32=A32,'Datos Kandiko'!C34,"")</f>
        <v/>
      </c>
      <c r="D32" s="37" t="str">
        <f>IF(BP32=A32,VLOOKUP(B32,'Datos Kandiko'!B34:BB71,3,0),"")</f>
        <v/>
      </c>
      <c r="E32" s="32" t="str">
        <f>IF(BP32=A32,VLOOKUP(B32,'Datos Kandiko'!B34:BB71,4,0),"")</f>
        <v/>
      </c>
      <c r="F32" s="32" t="str">
        <f>IF(BP32=A32,VLOOKUP(B32,'Datos Kandiko'!B34:BB71,5,0),"")</f>
        <v/>
      </c>
      <c r="G32" s="32" t="str">
        <f>IF(BP32=A32,VLOOKUP(B32,'Datos Kandiko'!B34:BB71,6,0),"")</f>
        <v/>
      </c>
      <c r="H32" s="33" t="str">
        <f t="shared" si="0"/>
        <v/>
      </c>
      <c r="I32" s="33" t="str">
        <f t="shared" si="1"/>
        <v/>
      </c>
      <c r="J32" s="34" t="str">
        <f t="shared" si="2"/>
        <v/>
      </c>
      <c r="K32" s="31" t="str">
        <f t="shared" si="3"/>
        <v/>
      </c>
      <c r="L32" s="37" t="str">
        <f>IF(A32="","",VLOOKUP(B32,'Datos Kandiko'!B34:BB71,11,0))</f>
        <v/>
      </c>
      <c r="M32" s="32" t="str">
        <f>IF(A32="","",VLOOKUP(B32,'Datos Kandiko'!B34:BB71,12,0))</f>
        <v/>
      </c>
      <c r="N32" s="32" t="str">
        <f>IF(A32="","",VLOOKUP(B32,'Datos Kandiko'!B34:BB71,13,0))</f>
        <v/>
      </c>
      <c r="O32" s="32" t="str">
        <f>IF(A32="","",VLOOKUP(B32,'Datos Kandiko'!B34:BB71,14,0))</f>
        <v/>
      </c>
      <c r="P32" s="33" t="str">
        <f t="shared" si="7"/>
        <v/>
      </c>
      <c r="Q32" s="33" t="str">
        <f t="shared" si="8"/>
        <v/>
      </c>
      <c r="R32" s="34" t="str">
        <f t="shared" si="4"/>
        <v/>
      </c>
      <c r="S32" s="31" t="str">
        <f t="shared" si="5"/>
        <v/>
      </c>
      <c r="T32" s="35" t="str">
        <f t="shared" si="9"/>
        <v/>
      </c>
      <c r="U32" s="35" t="str">
        <f t="shared" si="10"/>
        <v/>
      </c>
      <c r="V32" s="37" t="str">
        <f>IF(A32="","",VLOOKUP(B32,'Datos Kandiko'!B34:BB71,21,0))</f>
        <v/>
      </c>
      <c r="W32" s="32" t="str">
        <f>IF(A32="","",VLOOKUP(B32,'Datos Kandiko'!B34:BB71,22,0))</f>
        <v/>
      </c>
      <c r="X32" s="32" t="str">
        <f>IF(A32="","",VLOOKUP(B32,'Datos Kandiko'!B34:BB71,23,0))</f>
        <v/>
      </c>
      <c r="Y32" s="32" t="str">
        <f>IF(A32="","",VLOOKUP(B32,'Datos Kandiko'!B34:BB71,24,0))</f>
        <v/>
      </c>
      <c r="Z32" s="33" t="str">
        <f t="shared" si="11"/>
        <v/>
      </c>
      <c r="AA32" s="33" t="str">
        <f t="shared" si="12"/>
        <v/>
      </c>
      <c r="AB32" s="34" t="str">
        <f t="shared" si="13"/>
        <v/>
      </c>
      <c r="AC32" s="31" t="str">
        <f t="shared" si="14"/>
        <v/>
      </c>
      <c r="AD32" s="37" t="str">
        <f t="shared" si="15"/>
        <v/>
      </c>
      <c r="AE32" s="32" t="str">
        <f>IF(A32="","",VLOOKUP(B32,'Datos Kandiko'!B34:BB71,30,0))</f>
        <v/>
      </c>
      <c r="AF32" s="31" t="str">
        <f t="shared" si="16"/>
        <v/>
      </c>
      <c r="AG32" s="32" t="str">
        <f>IF(A32="","",VLOOKUP(B32,'Datos Kandiko'!B34:BB71,32,0))</f>
        <v/>
      </c>
      <c r="AH32" s="32" t="str">
        <f>IF(A32="","",VLOOKUP(B32,'Datos Kandiko'!B34:BB71,33,0))</f>
        <v/>
      </c>
      <c r="AI32" s="32" t="str">
        <f>IF(A32="","",VLOOKUP(B32,'Datos Kandiko'!B34:BB71,34,0))</f>
        <v/>
      </c>
      <c r="AJ32" s="34" t="str">
        <f t="shared" si="17"/>
        <v/>
      </c>
      <c r="AK32" s="35" t="str">
        <f t="shared" si="18"/>
        <v/>
      </c>
      <c r="AL32" s="37" t="str">
        <f>IF(A32="","",VLOOKUP(B32,'Datos Kandiko'!B34:BB71,37,0))</f>
        <v/>
      </c>
      <c r="AM32" s="58" t="str">
        <f t="shared" si="19"/>
        <v/>
      </c>
      <c r="AN32" s="262" t="str">
        <f>IF(BP32=A32,'Datos Kandiko'!BL34,"")</f>
        <v/>
      </c>
      <c r="AO32" s="32" t="str">
        <f>IF(A32="","",VLOOKUP(B32,'Datos Kandiko'!B34:BF71,39,0))</f>
        <v/>
      </c>
      <c r="AP32" s="36" t="str">
        <f t="shared" si="23"/>
        <v/>
      </c>
      <c r="AQ32" s="32" t="str">
        <f>IF(A32="","",VLOOKUP(B32,'Datos Kandiko'!B34:BH71,41,0))</f>
        <v/>
      </c>
      <c r="AR32" s="32" t="str">
        <f>IF(A32="","",VLOOKUP(B32,'Datos Kandiko'!B34:BI71,42,0))</f>
        <v/>
      </c>
      <c r="AS32" s="32" t="str">
        <f>IF(A32="","",VLOOKUP(B32,'Datos Kandiko'!B34:BJ71,43,0))</f>
        <v/>
      </c>
      <c r="AT32" s="32" t="str">
        <f>IF(A32="","",VLOOKUP(B32,'Datos Kandiko'!B34:BK71,44,0))</f>
        <v/>
      </c>
      <c r="AU32" s="58"/>
      <c r="AV32" s="37" t="str">
        <f t="shared" si="24"/>
        <v/>
      </c>
      <c r="AW32" s="38" t="str">
        <f t="shared" si="20"/>
        <v/>
      </c>
      <c r="AY32" s="180" t="str">
        <f>IF(A32="","",+'Datos Kandiko'!AY34)</f>
        <v/>
      </c>
      <c r="AZ32" s="180" t="str">
        <f t="shared" si="21"/>
        <v/>
      </c>
      <c r="BA32" s="255" t="str">
        <f>IF(A32="","",VLOOKUP(B32,'Datos Kandiko'!B34:BF71,51,0))</f>
        <v/>
      </c>
      <c r="BB32" s="181" t="str">
        <f t="shared" si="25"/>
        <v/>
      </c>
      <c r="BC32" s="180" t="str">
        <f>IF(BP32=A32,'Datos Kandiko'!BL34,"")</f>
        <v/>
      </c>
      <c r="BD32" s="181" t="str">
        <f t="shared" si="22"/>
        <v/>
      </c>
      <c r="BE32" s="29" t="str">
        <f>IF(A32="","",VLOOKUP(B32,'Datos Kandiko'!B34:BF71,53,0))</f>
        <v/>
      </c>
      <c r="BF32" s="28" t="str">
        <f>IF(A32="","",VLOOKUP(B32,'Datos Kandiko'!B34:BF71,54,0))</f>
        <v/>
      </c>
      <c r="BG32" s="28" t="str">
        <f>IF(A32="","",VLOOKUP(B32,'Datos Kandiko'!B34:BF71,55,0))</f>
        <v/>
      </c>
      <c r="BH32" s="28" t="str">
        <f>IF(A32="","",VLOOKUP(B32,'Datos Kandiko'!B34:BF71,51,0))</f>
        <v/>
      </c>
      <c r="BI32" s="28" t="str">
        <f>IF(A32="","",IF(VLOOKUP(B32,'Datos Kandiko'!B34:BF71,52,0)=0%,IF(AO32&gt;1,1,VLOOKUP(B32,'Datos Kandiko'!B34:BF71,52,0))))</f>
        <v/>
      </c>
      <c r="BJ32" s="211" t="str">
        <f>IF(A32="","",VLOOKUP(B32,'Datos Kandiko'!B34:BH71,58,0))</f>
        <v/>
      </c>
      <c r="BK32" s="27" t="str">
        <f>IF(A32="","",VLOOKUP(B32,'Datos Kandiko'!B34:BH71,59,0))</f>
        <v/>
      </c>
      <c r="BL32" s="29" t="str">
        <f>IF(A32="","",VLOOKUP(B32,'Datos Kandiko'!B34:BF71,55,0))</f>
        <v/>
      </c>
      <c r="BM32" s="181" t="str">
        <f>IF(A32="","",VLOOKUP(B32,'Datos Kandiko'!B34:BF71,56,0))</f>
        <v/>
      </c>
      <c r="BN32" s="266" t="str">
        <f>IF(A32="","",IF(VLOOKUP(B32,'Datos Kandiko'!B34:BF71,57,0)=0,IF(AO32&gt;1,1,VLOOKUP(B32,'Datos Kandiko'!B34:BF71,57,0))))</f>
        <v/>
      </c>
      <c r="BO32" s="59"/>
      <c r="BP32" s="190" t="str">
        <f>+'Biyemas S.A.'!BP32</f>
        <v xml:space="preserve">Mie/Wed    </v>
      </c>
    </row>
    <row r="33" spans="1:76" ht="11.25" customHeight="1" x14ac:dyDescent="0.2">
      <c r="A33" s="188" t="str">
        <f>IF(BP33='Datos Kandiko'!A35,'Datos Kandiko'!A35,"")</f>
        <v/>
      </c>
      <c r="B33" s="185" t="str">
        <f>IF(BP33=A33,'Datos Kandiko'!B35,"")</f>
        <v/>
      </c>
      <c r="C33" s="186" t="str">
        <f>IF(BP33=A33,'Datos Kandiko'!C35,"")</f>
        <v/>
      </c>
      <c r="D33" s="37" t="str">
        <f>IF(BP33=A33,VLOOKUP(B33,'Datos Kandiko'!B35:BB72,3,0),"")</f>
        <v/>
      </c>
      <c r="E33" s="32" t="str">
        <f>IF(BP33=A33,VLOOKUP(B33,'Datos Kandiko'!B35:BB72,4,0),"")</f>
        <v/>
      </c>
      <c r="F33" s="32" t="str">
        <f>IF(BP33=A33,VLOOKUP(B33,'Datos Kandiko'!B35:BB72,5,0),"")</f>
        <v/>
      </c>
      <c r="G33" s="32" t="str">
        <f>IF(BP33=A33,VLOOKUP(B33,'Datos Kandiko'!B35:BB72,6,0),"")</f>
        <v/>
      </c>
      <c r="H33" s="33" t="str">
        <f t="shared" si="0"/>
        <v/>
      </c>
      <c r="I33" s="33" t="str">
        <f t="shared" si="1"/>
        <v/>
      </c>
      <c r="J33" s="34" t="str">
        <f t="shared" si="2"/>
        <v/>
      </c>
      <c r="K33" s="31" t="str">
        <f t="shared" si="3"/>
        <v/>
      </c>
      <c r="L33" s="37" t="str">
        <f>IF(A33="","",VLOOKUP(B33,'Datos Kandiko'!B35:BB72,11,0))</f>
        <v/>
      </c>
      <c r="M33" s="32" t="str">
        <f>IF(A33="","",VLOOKUP(B33,'Datos Kandiko'!B35:BB72,12,0))</f>
        <v/>
      </c>
      <c r="N33" s="32" t="str">
        <f>IF(A33="","",VLOOKUP(B33,'Datos Kandiko'!B35:BB72,13,0))</f>
        <v/>
      </c>
      <c r="O33" s="32" t="str">
        <f>IF(A33="","",VLOOKUP(B33,'Datos Kandiko'!B35:BB72,14,0))</f>
        <v/>
      </c>
      <c r="P33" s="33" t="str">
        <f t="shared" si="7"/>
        <v/>
      </c>
      <c r="Q33" s="33" t="str">
        <f t="shared" si="8"/>
        <v/>
      </c>
      <c r="R33" s="34" t="str">
        <f t="shared" si="4"/>
        <v/>
      </c>
      <c r="S33" s="31" t="str">
        <f t="shared" si="5"/>
        <v/>
      </c>
      <c r="T33" s="35" t="str">
        <f t="shared" si="9"/>
        <v/>
      </c>
      <c r="U33" s="35" t="str">
        <f t="shared" si="10"/>
        <v/>
      </c>
      <c r="V33" s="37" t="str">
        <f>IF(A33="","",VLOOKUP(B33,'Datos Kandiko'!B35:BB72,21,0))</f>
        <v/>
      </c>
      <c r="W33" s="32" t="str">
        <f>IF(A33="","",VLOOKUP(B33,'Datos Kandiko'!B35:BB72,22,0))</f>
        <v/>
      </c>
      <c r="X33" s="32" t="str">
        <f>IF(A33="","",VLOOKUP(B33,'Datos Kandiko'!B35:BB72,23,0))</f>
        <v/>
      </c>
      <c r="Y33" s="32" t="str">
        <f>IF(A33="","",VLOOKUP(B33,'Datos Kandiko'!B35:BB72,24,0))</f>
        <v/>
      </c>
      <c r="Z33" s="33" t="str">
        <f t="shared" si="11"/>
        <v/>
      </c>
      <c r="AA33" s="33" t="str">
        <f t="shared" si="12"/>
        <v/>
      </c>
      <c r="AB33" s="34" t="str">
        <f t="shared" si="13"/>
        <v/>
      </c>
      <c r="AC33" s="31" t="str">
        <f t="shared" si="14"/>
        <v/>
      </c>
      <c r="AD33" s="37" t="str">
        <f t="shared" si="15"/>
        <v/>
      </c>
      <c r="AE33" s="32" t="str">
        <f>IF(A33="","",VLOOKUP(B33,'Datos Kandiko'!B35:BB72,30,0))</f>
        <v/>
      </c>
      <c r="AF33" s="31" t="str">
        <f t="shared" si="16"/>
        <v/>
      </c>
      <c r="AG33" s="32" t="str">
        <f>IF(A33="","",VLOOKUP(B33,'Datos Kandiko'!B35:BB72,32,0))</f>
        <v/>
      </c>
      <c r="AH33" s="32" t="str">
        <f>IF(A33="","",VLOOKUP(B33,'Datos Kandiko'!B35:BB72,33,0))</f>
        <v/>
      </c>
      <c r="AI33" s="32" t="str">
        <f>IF(A33="","",VLOOKUP(B33,'Datos Kandiko'!B35:BB72,34,0))</f>
        <v/>
      </c>
      <c r="AJ33" s="34" t="str">
        <f t="shared" si="17"/>
        <v/>
      </c>
      <c r="AK33" s="35" t="str">
        <f t="shared" si="18"/>
        <v/>
      </c>
      <c r="AL33" s="37" t="str">
        <f>IF(A33="","",VLOOKUP(B33,'Datos Kandiko'!B35:BB72,37,0))</f>
        <v/>
      </c>
      <c r="AM33" s="58" t="str">
        <f t="shared" si="19"/>
        <v/>
      </c>
      <c r="AN33" s="262" t="str">
        <f>IF(BP33=A33,'Datos Kandiko'!BL35,"")</f>
        <v/>
      </c>
      <c r="AO33" s="32" t="str">
        <f>IF(A33="","",VLOOKUP(B33,'Datos Kandiko'!B35:BF72,39,0))</f>
        <v/>
      </c>
      <c r="AP33" s="36" t="str">
        <f t="shared" si="23"/>
        <v/>
      </c>
      <c r="AQ33" s="32" t="str">
        <f>IF(A33="","",VLOOKUP(B33,'Datos Kandiko'!B35:BH72,41,0))</f>
        <v/>
      </c>
      <c r="AR33" s="32" t="str">
        <f>IF(A33="","",VLOOKUP(B33,'Datos Kandiko'!B35:BI72,42,0))</f>
        <v/>
      </c>
      <c r="AS33" s="32" t="str">
        <f>IF(A33="","",VLOOKUP(B33,'Datos Kandiko'!B35:BJ72,43,0))</f>
        <v/>
      </c>
      <c r="AT33" s="32" t="str">
        <f>IF(A33="","",VLOOKUP(B33,'Datos Kandiko'!B35:BK72,44,0))</f>
        <v/>
      </c>
      <c r="AU33" s="58"/>
      <c r="AV33" s="37" t="str">
        <f t="shared" si="24"/>
        <v/>
      </c>
      <c r="AW33" s="38" t="str">
        <f t="shared" si="20"/>
        <v/>
      </c>
      <c r="AY33" s="180" t="str">
        <f>IF(A33="","",+'Datos Kandiko'!AY35)</f>
        <v/>
      </c>
      <c r="AZ33" s="180" t="str">
        <f t="shared" si="21"/>
        <v/>
      </c>
      <c r="BA33" s="255" t="str">
        <f>IF(A33="","",VLOOKUP(B33,'Datos Kandiko'!B35:BF72,51,0))</f>
        <v/>
      </c>
      <c r="BB33" s="181" t="str">
        <f t="shared" si="25"/>
        <v/>
      </c>
      <c r="BC33" s="180" t="str">
        <f>IF(BP33=A33,'Datos Kandiko'!BL35,"")</f>
        <v/>
      </c>
      <c r="BD33" s="181" t="str">
        <f t="shared" si="22"/>
        <v/>
      </c>
      <c r="BE33" s="29" t="str">
        <f>IF(A33="","",VLOOKUP(B33,'Datos Kandiko'!B35:BF72,53,0))</f>
        <v/>
      </c>
      <c r="BF33" s="28" t="str">
        <f>IF(A33="","",VLOOKUP(B33,'Datos Kandiko'!B35:BF72,54,0))</f>
        <v/>
      </c>
      <c r="BG33" s="28" t="str">
        <f>IF(A33="","",VLOOKUP(B33,'Datos Kandiko'!B35:BF72,55,0))</f>
        <v/>
      </c>
      <c r="BH33" s="28" t="str">
        <f>IF(A33="","",VLOOKUP(B33,'Datos Kandiko'!B35:BF72,51,0))</f>
        <v/>
      </c>
      <c r="BI33" s="28" t="str">
        <f>IF(A33="","",IF(VLOOKUP(B33,'Datos Kandiko'!B35:BF72,52,0)=0%,IF(AO33&gt;1,1,VLOOKUP(B33,'Datos Kandiko'!B35:BF72,52,0))))</f>
        <v/>
      </c>
      <c r="BJ33" s="211" t="str">
        <f>IF(A33="","",VLOOKUP(B33,'Datos Kandiko'!B35:BH72,58,0))</f>
        <v/>
      </c>
      <c r="BK33" s="27" t="str">
        <f>IF(A33="","",VLOOKUP(B33,'Datos Kandiko'!B35:BH72,59,0))</f>
        <v/>
      </c>
      <c r="BL33" s="29" t="str">
        <f>IF(A33="","",VLOOKUP(B33,'Datos Kandiko'!B35:BF72,55,0))</f>
        <v/>
      </c>
      <c r="BM33" s="181" t="str">
        <f>IF(A33="","",VLOOKUP(B33,'Datos Kandiko'!B35:BF72,56,0))</f>
        <v/>
      </c>
      <c r="BN33" s="266" t="str">
        <f>IF(A33="","",IF(VLOOKUP(B33,'Datos Kandiko'!B35:BF72,57,0)=0,IF(AO33&gt;1,1,VLOOKUP(B33,'Datos Kandiko'!B35:BF72,57,0))))</f>
        <v/>
      </c>
      <c r="BO33" s="59"/>
      <c r="BP33" s="190" t="str">
        <f>+'Biyemas S.A.'!BP33</f>
        <v xml:space="preserve">Jue/Thu    </v>
      </c>
    </row>
    <row r="34" spans="1:76" x14ac:dyDescent="0.2">
      <c r="A34" s="188" t="str">
        <f>IF(BP34='Datos Kandiko'!A36,'Datos Kandiko'!A36,"")</f>
        <v/>
      </c>
      <c r="B34" s="185" t="str">
        <f>IF(BP34=A34,'Datos Kandiko'!B36,"")</f>
        <v/>
      </c>
      <c r="C34" s="186" t="str">
        <f>IF(BP34=A34,'Datos Kandiko'!C36,"")</f>
        <v/>
      </c>
      <c r="D34" s="37" t="str">
        <f>IF(BP34=A34,VLOOKUP(B34,'Datos Kandiko'!B36:BB73,3,0),"")</f>
        <v/>
      </c>
      <c r="E34" s="32" t="str">
        <f>IF(BP34=A34,VLOOKUP(B34,'Datos Kandiko'!B36:BB73,4,0),"")</f>
        <v/>
      </c>
      <c r="F34" s="32" t="str">
        <f>IF(BP34=A34,VLOOKUP(B34,'Datos Kandiko'!B36:BB73,5,0),"")</f>
        <v/>
      </c>
      <c r="G34" s="32" t="str">
        <f>IF(BP34=A34,VLOOKUP(B34,'Datos Kandiko'!B36:BB73,6,0),"")</f>
        <v/>
      </c>
      <c r="H34" s="33" t="str">
        <f t="shared" si="0"/>
        <v/>
      </c>
      <c r="I34" s="33" t="str">
        <f t="shared" si="1"/>
        <v/>
      </c>
      <c r="J34" s="34" t="str">
        <f t="shared" si="2"/>
        <v/>
      </c>
      <c r="K34" s="31" t="str">
        <f t="shared" si="3"/>
        <v/>
      </c>
      <c r="L34" s="37" t="str">
        <f>IF(A34="","",VLOOKUP(B34,'Datos Kandiko'!B36:BB73,11,0))</f>
        <v/>
      </c>
      <c r="M34" s="32" t="str">
        <f>IF(A34="","",VLOOKUP(B34,'Datos Kandiko'!B36:BB73,12,0))</f>
        <v/>
      </c>
      <c r="N34" s="32" t="str">
        <f>IF(A34="","",VLOOKUP(B34,'Datos Kandiko'!B36:BB73,13,0))</f>
        <v/>
      </c>
      <c r="O34" s="32" t="str">
        <f>IF(A34="","",VLOOKUP(B34,'Datos Kandiko'!B36:BB73,14,0))</f>
        <v/>
      </c>
      <c r="P34" s="33" t="str">
        <f t="shared" si="7"/>
        <v/>
      </c>
      <c r="Q34" s="33" t="str">
        <f t="shared" si="8"/>
        <v/>
      </c>
      <c r="R34" s="34" t="str">
        <f t="shared" si="4"/>
        <v/>
      </c>
      <c r="S34" s="31" t="str">
        <f t="shared" si="5"/>
        <v/>
      </c>
      <c r="T34" s="35" t="str">
        <f t="shared" si="9"/>
        <v/>
      </c>
      <c r="U34" s="35" t="str">
        <f t="shared" si="10"/>
        <v/>
      </c>
      <c r="V34" s="37" t="str">
        <f>IF(A34="","",VLOOKUP(B34,'Datos Kandiko'!B36:BB73,21,0))</f>
        <v/>
      </c>
      <c r="W34" s="32" t="str">
        <f>IF(A34="","",VLOOKUP(B34,'Datos Kandiko'!B36:BB73,22,0))</f>
        <v/>
      </c>
      <c r="X34" s="32" t="str">
        <f>IF(A34="","",VLOOKUP(B34,'Datos Kandiko'!B36:BB73,23,0))</f>
        <v/>
      </c>
      <c r="Y34" s="32" t="str">
        <f>IF(A34="","",VLOOKUP(B34,'Datos Kandiko'!B36:BB73,24,0))</f>
        <v/>
      </c>
      <c r="Z34" s="33" t="str">
        <f t="shared" si="11"/>
        <v/>
      </c>
      <c r="AA34" s="33" t="str">
        <f t="shared" si="12"/>
        <v/>
      </c>
      <c r="AB34" s="34" t="str">
        <f t="shared" si="13"/>
        <v/>
      </c>
      <c r="AC34" s="31" t="str">
        <f t="shared" si="14"/>
        <v/>
      </c>
      <c r="AD34" s="37" t="str">
        <f t="shared" si="15"/>
        <v/>
      </c>
      <c r="AE34" s="32" t="str">
        <f>IF(A34="","",VLOOKUP(B34,'Datos Kandiko'!B36:BB73,30,0))</f>
        <v/>
      </c>
      <c r="AF34" s="31" t="str">
        <f t="shared" si="16"/>
        <v/>
      </c>
      <c r="AG34" s="32" t="str">
        <f>IF(A34="","",VLOOKUP(B34,'Datos Kandiko'!B36:BB73,32,0))</f>
        <v/>
      </c>
      <c r="AH34" s="32" t="str">
        <f>IF(A34="","",VLOOKUP(B34,'Datos Kandiko'!B36:BB73,33,0))</f>
        <v/>
      </c>
      <c r="AI34" s="32" t="str">
        <f>IF(A34="","",VLOOKUP(B34,'Datos Kandiko'!B36:BB73,34,0))</f>
        <v/>
      </c>
      <c r="AJ34" s="34" t="str">
        <f t="shared" si="17"/>
        <v/>
      </c>
      <c r="AK34" s="35" t="str">
        <f t="shared" si="18"/>
        <v/>
      </c>
      <c r="AL34" s="37" t="str">
        <f>IF(A34="","",VLOOKUP(B34,'Datos Kandiko'!B36:BB73,37,0))</f>
        <v/>
      </c>
      <c r="AM34" s="58" t="str">
        <f t="shared" si="19"/>
        <v/>
      </c>
      <c r="AN34" s="262" t="str">
        <f>IF(BP34=A34,'Datos Kandiko'!BL36,"")</f>
        <v/>
      </c>
      <c r="AO34" s="32" t="str">
        <f>IF(A34="","",VLOOKUP(B34,'Datos Kandiko'!B36:BF73,39,0))</f>
        <v/>
      </c>
      <c r="AP34" s="36" t="str">
        <f t="shared" si="23"/>
        <v/>
      </c>
      <c r="AQ34" s="32" t="str">
        <f>IF(A34="","",VLOOKUP(B34,'Datos Kandiko'!B36:BH73,41,0))</f>
        <v/>
      </c>
      <c r="AR34" s="32" t="str">
        <f>IF(A34="","",VLOOKUP(B34,'Datos Kandiko'!B36:BI73,42,0))</f>
        <v/>
      </c>
      <c r="AS34" s="32" t="str">
        <f>IF(A34="","",VLOOKUP(B34,'Datos Kandiko'!B36:BJ73,43,0))</f>
        <v/>
      </c>
      <c r="AT34" s="32" t="str">
        <f>IF(A34="","",VLOOKUP(B34,'Datos Kandiko'!B36:BK73,44,0))</f>
        <v/>
      </c>
      <c r="AU34" s="58"/>
      <c r="AV34" s="37" t="str">
        <f t="shared" si="24"/>
        <v/>
      </c>
      <c r="AW34" s="38" t="str">
        <f t="shared" si="20"/>
        <v/>
      </c>
      <c r="AY34" s="180" t="str">
        <f>IF(A34="","",+'Datos Kandiko'!AY36)</f>
        <v/>
      </c>
      <c r="AZ34" s="180" t="str">
        <f t="shared" si="21"/>
        <v/>
      </c>
      <c r="BA34" s="255" t="str">
        <f>IF(A34="","",VLOOKUP(B34,'Datos Kandiko'!B36:BF73,51,0))</f>
        <v/>
      </c>
      <c r="BB34" s="181" t="str">
        <f t="shared" si="25"/>
        <v/>
      </c>
      <c r="BC34" s="180" t="str">
        <f>IF(BP34=A34,'Datos Kandiko'!BL36,"")</f>
        <v/>
      </c>
      <c r="BD34" s="181" t="str">
        <f t="shared" si="22"/>
        <v/>
      </c>
      <c r="BE34" s="29" t="str">
        <f>IF(A34="","",VLOOKUP(B34,'Datos Kandiko'!B36:BF73,53,0))</f>
        <v/>
      </c>
      <c r="BF34" s="28" t="str">
        <f>IF(A34="","",VLOOKUP(B34,'Datos Kandiko'!B36:BF73,54,0))</f>
        <v/>
      </c>
      <c r="BG34" s="28" t="str">
        <f>IF(A34="","",VLOOKUP(B34,'Datos Kandiko'!B36:BF73,55,0))</f>
        <v/>
      </c>
      <c r="BH34" s="28" t="str">
        <f>IF(A34="","",VLOOKUP(B34,'Datos Kandiko'!B36:BF73,51,0))</f>
        <v/>
      </c>
      <c r="BI34" s="28" t="str">
        <f>IF(A34="","",IF(VLOOKUP(B34,'Datos Kandiko'!B36:BF73,52,0)=0%,IF(AO34&gt;1,1,VLOOKUP(B34,'Datos Kandiko'!B36:BF73,52,0))))</f>
        <v/>
      </c>
      <c r="BJ34" s="211" t="str">
        <f>IF(A34="","",VLOOKUP(B34,'Datos Kandiko'!B36:BH73,58,0))</f>
        <v/>
      </c>
      <c r="BK34" s="27" t="str">
        <f>IF(A34="","",VLOOKUP(B34,'Datos Kandiko'!B36:BH73,59,0))</f>
        <v/>
      </c>
      <c r="BL34" s="29" t="str">
        <f>IF(A34="","",VLOOKUP(B34,'Datos Kandiko'!B36:BF73,55,0))</f>
        <v/>
      </c>
      <c r="BM34" s="181" t="str">
        <f>IF(A34="","",VLOOKUP(B34,'Datos Kandiko'!B36:BF73,56,0))</f>
        <v/>
      </c>
      <c r="BN34" s="266" t="str">
        <f>IF(A34="","",IF(VLOOKUP(B34,'Datos Kandiko'!B36:BF73,57,0)=0,IF(AO34&gt;1,1,VLOOKUP(B34,'Datos Kandiko'!B36:BF73,57,0))))</f>
        <v/>
      </c>
      <c r="BO34" s="59"/>
      <c r="BP34" s="190" t="str">
        <f>+'Biyemas S.A.'!BP34</f>
        <v xml:space="preserve">Vie/Fri    </v>
      </c>
    </row>
    <row r="35" spans="1:76" ht="11.25" customHeight="1" x14ac:dyDescent="0.2">
      <c r="A35" s="188" t="str">
        <f>IF(BP35='Datos Kandiko'!A37,'Datos Kandiko'!A37,"")</f>
        <v/>
      </c>
      <c r="B35" s="185" t="str">
        <f>IF(BP35=A35,'Datos Kandiko'!B37,"")</f>
        <v/>
      </c>
      <c r="C35" s="186" t="str">
        <f>IF(BP35=A35,'Datos Kandiko'!C37,"")</f>
        <v/>
      </c>
      <c r="D35" s="37" t="str">
        <f>IF(BP35=A35,VLOOKUP(B35,'Datos Kandiko'!B37:BB74,3,0),"")</f>
        <v/>
      </c>
      <c r="E35" s="32" t="str">
        <f>IF(BP35=A35,VLOOKUP(B35,'Datos Kandiko'!B37:BB74,4,0),"")</f>
        <v/>
      </c>
      <c r="F35" s="32" t="str">
        <f>IF(BP35=A35,VLOOKUP(B35,'Datos Kandiko'!B37:BB74,5,0),"")</f>
        <v/>
      </c>
      <c r="G35" s="32" t="str">
        <f>IF(BP35=A35,VLOOKUP(B35,'Datos Kandiko'!B37:BB74,6,0),"")</f>
        <v/>
      </c>
      <c r="H35" s="33" t="str">
        <f t="shared" si="0"/>
        <v/>
      </c>
      <c r="I35" s="33" t="str">
        <f t="shared" si="1"/>
        <v/>
      </c>
      <c r="J35" s="34" t="str">
        <f t="shared" si="2"/>
        <v/>
      </c>
      <c r="K35" s="31" t="str">
        <f t="shared" si="3"/>
        <v/>
      </c>
      <c r="L35" s="37" t="str">
        <f>IF(A35="","",VLOOKUP(B35,'Datos Kandiko'!B37:BB74,11,0))</f>
        <v/>
      </c>
      <c r="M35" s="32" t="str">
        <f>IF(A35="","",VLOOKUP(B35,'Datos Kandiko'!B37:BB74,12,0))</f>
        <v/>
      </c>
      <c r="N35" s="32" t="str">
        <f>IF(A35="","",VLOOKUP(B35,'Datos Kandiko'!B37:BB74,13,0))</f>
        <v/>
      </c>
      <c r="O35" s="32" t="str">
        <f>IF(A35="","",VLOOKUP(B35,'Datos Kandiko'!B37:BB74,14,0))</f>
        <v/>
      </c>
      <c r="P35" s="33" t="str">
        <f t="shared" si="7"/>
        <v/>
      </c>
      <c r="Q35" s="33" t="str">
        <f t="shared" si="8"/>
        <v/>
      </c>
      <c r="R35" s="34" t="str">
        <f t="shared" si="4"/>
        <v/>
      </c>
      <c r="S35" s="31" t="str">
        <f t="shared" si="5"/>
        <v/>
      </c>
      <c r="T35" s="35" t="str">
        <f t="shared" si="9"/>
        <v/>
      </c>
      <c r="U35" s="35" t="str">
        <f t="shared" si="10"/>
        <v/>
      </c>
      <c r="V35" s="37" t="str">
        <f>IF(A35="","",VLOOKUP(B35,'Datos Kandiko'!B37:BB74,21,0))</f>
        <v/>
      </c>
      <c r="W35" s="32" t="str">
        <f>IF(A35="","",VLOOKUP(B35,'Datos Kandiko'!B37:BB74,22,0))</f>
        <v/>
      </c>
      <c r="X35" s="32" t="str">
        <f>IF(A35="","",VLOOKUP(B35,'Datos Kandiko'!B37:BB74,23,0))</f>
        <v/>
      </c>
      <c r="Y35" s="32" t="str">
        <f>IF(A35="","",VLOOKUP(B35,'Datos Kandiko'!B37:BB74,24,0))</f>
        <v/>
      </c>
      <c r="Z35" s="33" t="str">
        <f t="shared" si="11"/>
        <v/>
      </c>
      <c r="AA35" s="33" t="str">
        <f t="shared" si="12"/>
        <v/>
      </c>
      <c r="AB35" s="34" t="str">
        <f t="shared" si="13"/>
        <v/>
      </c>
      <c r="AC35" s="31" t="str">
        <f t="shared" si="14"/>
        <v/>
      </c>
      <c r="AD35" s="37" t="str">
        <f t="shared" si="15"/>
        <v/>
      </c>
      <c r="AE35" s="32" t="str">
        <f>IF(A35="","",VLOOKUP(B35,'Datos Kandiko'!B37:BB74,30,0))</f>
        <v/>
      </c>
      <c r="AF35" s="31" t="str">
        <f t="shared" si="16"/>
        <v/>
      </c>
      <c r="AG35" s="32" t="str">
        <f>IF(A35="","",VLOOKUP(B35,'Datos Kandiko'!B37:BB74,32,0))</f>
        <v/>
      </c>
      <c r="AH35" s="32" t="str">
        <f>IF(A35="","",VLOOKUP(B35,'Datos Kandiko'!B37:BB74,33,0))</f>
        <v/>
      </c>
      <c r="AI35" s="32" t="str">
        <f>IF(A35="","",VLOOKUP(B35,'Datos Kandiko'!B37:BB74,34,0))</f>
        <v/>
      </c>
      <c r="AJ35" s="34" t="str">
        <f t="shared" si="17"/>
        <v/>
      </c>
      <c r="AK35" s="35" t="str">
        <f t="shared" si="18"/>
        <v/>
      </c>
      <c r="AL35" s="37" t="str">
        <f>IF(A35="","",VLOOKUP(B35,'Datos Kandiko'!B37:BB74,37,0))</f>
        <v/>
      </c>
      <c r="AM35" s="58" t="str">
        <f t="shared" si="19"/>
        <v/>
      </c>
      <c r="AN35" s="262" t="str">
        <f>IF(BP35=A35,'Datos Kandiko'!BL37,"")</f>
        <v/>
      </c>
      <c r="AO35" s="32" t="str">
        <f>IF(A35="","",VLOOKUP(B35,'Datos Kandiko'!B37:BF74,39,0))</f>
        <v/>
      </c>
      <c r="AP35" s="36" t="str">
        <f t="shared" si="23"/>
        <v/>
      </c>
      <c r="AQ35" s="32" t="str">
        <f>IF(A35="","",VLOOKUP(B35,'Datos Kandiko'!B37:BH74,41,0))</f>
        <v/>
      </c>
      <c r="AR35" s="32" t="str">
        <f>IF(A35="","",VLOOKUP(B35,'Datos Kandiko'!B37:BI74,42,0))</f>
        <v/>
      </c>
      <c r="AS35" s="32" t="str">
        <f>IF(A35="","",VLOOKUP(B35,'Datos Kandiko'!B37:BJ74,43,0))</f>
        <v/>
      </c>
      <c r="AT35" s="32" t="str">
        <f>IF(A35="","",VLOOKUP(B35,'Datos Kandiko'!B37:BK74,44,0))</f>
        <v/>
      </c>
      <c r="AU35" s="58"/>
      <c r="AV35" s="37" t="str">
        <f t="shared" si="24"/>
        <v/>
      </c>
      <c r="AW35" s="38" t="str">
        <f t="shared" si="20"/>
        <v/>
      </c>
      <c r="AY35" s="180" t="str">
        <f>IF(A35="","",+'Datos Kandiko'!AY37)</f>
        <v/>
      </c>
      <c r="AZ35" s="180" t="str">
        <f t="shared" si="21"/>
        <v/>
      </c>
      <c r="BA35" s="255" t="str">
        <f>IF(A35="","",VLOOKUP(B35,'Datos Kandiko'!B37:BF74,51,0))</f>
        <v/>
      </c>
      <c r="BB35" s="181" t="str">
        <f t="shared" si="25"/>
        <v/>
      </c>
      <c r="BC35" s="180" t="str">
        <f>IF(BP35=A35,'Datos Kandiko'!BL37,"")</f>
        <v/>
      </c>
      <c r="BD35" s="181" t="str">
        <f t="shared" si="22"/>
        <v/>
      </c>
      <c r="BE35" s="29" t="str">
        <f>IF(A35="","",VLOOKUP(B35,'Datos Kandiko'!B37:BF74,53,0))</f>
        <v/>
      </c>
      <c r="BF35" s="28" t="str">
        <f>IF(A35="","",VLOOKUP(B35,'Datos Kandiko'!B37:BF74,54,0))</f>
        <v/>
      </c>
      <c r="BG35" s="28" t="str">
        <f>IF(A35="","",VLOOKUP(B35,'Datos Kandiko'!B37:BF74,55,0))</f>
        <v/>
      </c>
      <c r="BH35" s="28" t="str">
        <f>IF(A35="","",VLOOKUP(B35,'Datos Kandiko'!B37:BF74,51,0))</f>
        <v/>
      </c>
      <c r="BI35" s="28" t="str">
        <f>IF(A35="","",IF(VLOOKUP(B35,'Datos Kandiko'!B37:BF74,52,0)=0%,IF(AO35&gt;1,1,VLOOKUP(B35,'Datos Kandiko'!B37:BF74,52,0))))</f>
        <v/>
      </c>
      <c r="BJ35" s="211" t="str">
        <f>IF(A35="","",VLOOKUP(B35,'Datos Kandiko'!B37:BH74,58,0))</f>
        <v/>
      </c>
      <c r="BK35" s="27" t="str">
        <f>IF(A35="","",VLOOKUP(B35,'Datos Kandiko'!B37:BH74,59,0))</f>
        <v/>
      </c>
      <c r="BL35" s="29" t="str">
        <f>IF(A35="","",VLOOKUP(B35,'Datos Kandiko'!B37:BF74,55,0))</f>
        <v/>
      </c>
      <c r="BM35" s="181" t="str">
        <f>IF(A35="","",VLOOKUP(B35,'Datos Kandiko'!B37:BF74,56,0))</f>
        <v/>
      </c>
      <c r="BN35" s="266" t="str">
        <f>IF(A35="","",IF(VLOOKUP(B35,'Datos Kandiko'!B37:BF74,57,0)=0,IF(AO35&gt;1,1,VLOOKUP(B35,'Datos Kandiko'!B37:BF74,57,0))))</f>
        <v/>
      </c>
      <c r="BO35" s="59"/>
      <c r="BP35" s="190" t="str">
        <f>+'Biyemas S.A.'!BP35</f>
        <v xml:space="preserve">Sab/Sat    </v>
      </c>
    </row>
    <row r="36" spans="1:76" x14ac:dyDescent="0.2">
      <c r="A36" s="188" t="str">
        <f>IF(BP36='Datos Kandiko'!A38,'Datos Kandiko'!A38,"")</f>
        <v/>
      </c>
      <c r="B36" s="185" t="str">
        <f>IF(BP36=A36,'Datos Kandiko'!B38,"")</f>
        <v/>
      </c>
      <c r="C36" s="186" t="str">
        <f>IF(BP36=A36,'Datos Kandiko'!C38,"")</f>
        <v/>
      </c>
      <c r="D36" s="37" t="str">
        <f>IF(BP36=A36,VLOOKUP(B36,'Datos Kandiko'!B38:BB75,3,0),"")</f>
        <v/>
      </c>
      <c r="E36" s="32" t="str">
        <f>IF(BP36=A36,VLOOKUP(B36,'Datos Kandiko'!B38:BB75,4,0),"")</f>
        <v/>
      </c>
      <c r="F36" s="32" t="str">
        <f>IF(BP36=A36,VLOOKUP(B36,'Datos Kandiko'!B38:BB75,5,0),"")</f>
        <v/>
      </c>
      <c r="G36" s="32" t="str">
        <f>IF(BP36=A36,VLOOKUP(B36,'Datos Kandiko'!B38:BB75,6,0),"")</f>
        <v/>
      </c>
      <c r="H36" s="33" t="str">
        <f t="shared" si="0"/>
        <v/>
      </c>
      <c r="I36" s="33" t="str">
        <f t="shared" si="1"/>
        <v/>
      </c>
      <c r="J36" s="34" t="str">
        <f t="shared" si="2"/>
        <v/>
      </c>
      <c r="K36" s="31" t="str">
        <f t="shared" si="3"/>
        <v/>
      </c>
      <c r="L36" s="37" t="str">
        <f>IF(A36="","",VLOOKUP(B36,'Datos Kandiko'!B38:BB75,11,0))</f>
        <v/>
      </c>
      <c r="M36" s="32" t="str">
        <f>IF(A36="","",VLOOKUP(B36,'Datos Kandiko'!B38:BB75,12,0))</f>
        <v/>
      </c>
      <c r="N36" s="32" t="str">
        <f>IF(A36="","",VLOOKUP(B36,'Datos Kandiko'!B38:BB75,13,0))</f>
        <v/>
      </c>
      <c r="O36" s="32" t="str">
        <f>IF(A36="","",VLOOKUP(B36,'Datos Kandiko'!B38:BB75,14,0))</f>
        <v/>
      </c>
      <c r="P36" s="33" t="str">
        <f t="shared" si="7"/>
        <v/>
      </c>
      <c r="Q36" s="33" t="str">
        <f t="shared" si="8"/>
        <v/>
      </c>
      <c r="R36" s="34" t="str">
        <f t="shared" si="4"/>
        <v/>
      </c>
      <c r="S36" s="31" t="str">
        <f t="shared" si="5"/>
        <v/>
      </c>
      <c r="T36" s="35" t="str">
        <f t="shared" si="9"/>
        <v/>
      </c>
      <c r="U36" s="35" t="str">
        <f t="shared" si="10"/>
        <v/>
      </c>
      <c r="V36" s="37" t="str">
        <f>IF(A36="","",VLOOKUP(B36,'Datos Kandiko'!B38:BB75,21,0))</f>
        <v/>
      </c>
      <c r="W36" s="32" t="str">
        <f>IF(A36="","",VLOOKUP(B36,'Datos Kandiko'!B38:BB75,22,0))</f>
        <v/>
      </c>
      <c r="X36" s="32" t="str">
        <f>IF(A36="","",VLOOKUP(B36,'Datos Kandiko'!B38:BB75,23,0))</f>
        <v/>
      </c>
      <c r="Y36" s="32" t="str">
        <f>IF(A36="","",VLOOKUP(B36,'Datos Kandiko'!B38:BB75,24,0))</f>
        <v/>
      </c>
      <c r="Z36" s="33" t="str">
        <f t="shared" si="11"/>
        <v/>
      </c>
      <c r="AA36" s="33" t="str">
        <f t="shared" si="12"/>
        <v/>
      </c>
      <c r="AB36" s="34" t="str">
        <f t="shared" si="13"/>
        <v/>
      </c>
      <c r="AC36" s="31" t="str">
        <f t="shared" si="14"/>
        <v/>
      </c>
      <c r="AD36" s="37" t="str">
        <f t="shared" si="15"/>
        <v/>
      </c>
      <c r="AE36" s="32" t="str">
        <f>IF(A36="","",VLOOKUP(B36,'Datos Kandiko'!B38:BB75,30,0))</f>
        <v/>
      </c>
      <c r="AF36" s="31" t="str">
        <f t="shared" si="16"/>
        <v/>
      </c>
      <c r="AG36" s="32" t="str">
        <f>IF(A36="","",VLOOKUP(B36,'Datos Kandiko'!B38:BB75,32,0))</f>
        <v/>
      </c>
      <c r="AH36" s="32" t="str">
        <f>IF(A36="","",VLOOKUP(B36,'Datos Kandiko'!B38:BB75,33,0))</f>
        <v/>
      </c>
      <c r="AI36" s="32" t="str">
        <f>IF(A36="","",VLOOKUP(B36,'Datos Kandiko'!B38:BB75,34,0))</f>
        <v/>
      </c>
      <c r="AJ36" s="34" t="str">
        <f t="shared" si="17"/>
        <v/>
      </c>
      <c r="AK36" s="35" t="str">
        <f t="shared" si="18"/>
        <v/>
      </c>
      <c r="AL36" s="37" t="str">
        <f>IF(A36="","",VLOOKUP(B36,'Datos Kandiko'!B38:BB75,37,0))</f>
        <v/>
      </c>
      <c r="AM36" s="58" t="str">
        <f t="shared" si="19"/>
        <v/>
      </c>
      <c r="AN36" s="262" t="str">
        <f>IF(BP36=A36,'Datos Kandiko'!BL38,"")</f>
        <v/>
      </c>
      <c r="AO36" s="32" t="str">
        <f>IF(A36="","",VLOOKUP(B36,'Datos Kandiko'!B38:BF75,39,0))</f>
        <v/>
      </c>
      <c r="AP36" s="36" t="str">
        <f t="shared" si="23"/>
        <v/>
      </c>
      <c r="AQ36" s="32" t="str">
        <f>IF(A36="","",VLOOKUP(B36,'Datos Kandiko'!B38:BH75,41,0))</f>
        <v/>
      </c>
      <c r="AR36" s="32" t="str">
        <f>IF(A36="","",VLOOKUP(B36,'Datos Kandiko'!B38:BI75,42,0))</f>
        <v/>
      </c>
      <c r="AS36" s="32" t="str">
        <f>IF(A36="","",VLOOKUP(B36,'Datos Kandiko'!B38:BJ75,43,0))</f>
        <v/>
      </c>
      <c r="AT36" s="32" t="str">
        <f>IF(A36="","",VLOOKUP(B36,'Datos Kandiko'!B38:BK75,44,0))</f>
        <v/>
      </c>
      <c r="AU36" s="58"/>
      <c r="AV36" s="37" t="str">
        <f t="shared" si="24"/>
        <v/>
      </c>
      <c r="AW36" s="38" t="str">
        <f t="shared" si="20"/>
        <v/>
      </c>
      <c r="AY36" s="180" t="str">
        <f>IF(A36="","",+'Datos Kandiko'!AY38)</f>
        <v/>
      </c>
      <c r="AZ36" s="180" t="str">
        <f t="shared" si="21"/>
        <v/>
      </c>
      <c r="BA36" s="255" t="str">
        <f>IF(A36="","",VLOOKUP(B36,'Datos Kandiko'!B38:BF75,51,0))</f>
        <v/>
      </c>
      <c r="BB36" s="181" t="str">
        <f t="shared" si="25"/>
        <v/>
      </c>
      <c r="BC36" s="180" t="str">
        <f>IF(BP36=A36,'Datos Kandiko'!BL38,"")</f>
        <v/>
      </c>
      <c r="BD36" s="181" t="str">
        <f t="shared" si="22"/>
        <v/>
      </c>
      <c r="BE36" s="29" t="str">
        <f>IF(A36="","",VLOOKUP(B36,'Datos Kandiko'!B38:BF75,53,0))</f>
        <v/>
      </c>
      <c r="BF36" s="28" t="str">
        <f>IF(A36="","",VLOOKUP(B36,'Datos Kandiko'!B38:BF75,54,0))</f>
        <v/>
      </c>
      <c r="BG36" s="28" t="str">
        <f>IF(A36="","",VLOOKUP(B36,'Datos Kandiko'!B38:BF75,55,0))</f>
        <v/>
      </c>
      <c r="BH36" s="28" t="str">
        <f>IF(A36="","",VLOOKUP(B36,'Datos Kandiko'!B38:BF75,51,0))</f>
        <v/>
      </c>
      <c r="BI36" s="28" t="str">
        <f>IF(A36="","",IF(VLOOKUP(B36,'Datos Kandiko'!B38:BF75,52,0)=0%,IF(AO36&gt;1,1,VLOOKUP(B36,'Datos Kandiko'!B38:BF75,52,0))))</f>
        <v/>
      </c>
      <c r="BJ36" s="211" t="str">
        <f>IF(A36="","",VLOOKUP(B36,'Datos Kandiko'!B38:BH75,58,0))</f>
        <v/>
      </c>
      <c r="BK36" s="27" t="str">
        <f>IF(A36="","",VLOOKUP(B36,'Datos Kandiko'!B38:BH75,59,0))</f>
        <v/>
      </c>
      <c r="BL36" s="29" t="str">
        <f>IF(A36="","",VLOOKUP(B36,'Datos Kandiko'!B38:BF75,55,0))</f>
        <v/>
      </c>
      <c r="BM36" s="181" t="str">
        <f>IF(A36="","",VLOOKUP(B36,'Datos Kandiko'!B38:BF75,56,0))</f>
        <v/>
      </c>
      <c r="BN36" s="266" t="str">
        <f>IF(A36="","",IF(VLOOKUP(B36,'Datos Kandiko'!B38:BF75,57,0)=0,IF(AO36&gt;1,1,VLOOKUP(B36,'Datos Kandiko'!B38:BF75,57,0))))</f>
        <v/>
      </c>
      <c r="BO36" s="59"/>
      <c r="BP36" s="190" t="str">
        <f>+'Biyemas S.A.'!BP36</f>
        <v xml:space="preserve">Dom/Sun    </v>
      </c>
    </row>
    <row r="37" spans="1:76" ht="12.75" customHeight="1" x14ac:dyDescent="0.2">
      <c r="A37" s="188" t="str">
        <f>IF(BP37='Datos Kandiko'!A39,'Datos Kandiko'!A39,"")</f>
        <v/>
      </c>
      <c r="B37" s="185" t="str">
        <f>IF(BP37=A37,'Datos Kandiko'!B39,"")</f>
        <v/>
      </c>
      <c r="C37" s="186" t="str">
        <f>IF(BP37=A37,'Datos Kandiko'!C39,"")</f>
        <v/>
      </c>
      <c r="D37" s="37" t="str">
        <f>IF(BP37=A37,VLOOKUP(B37,'Datos Kandiko'!B39:BB76,3,0),"")</f>
        <v/>
      </c>
      <c r="E37" s="32" t="str">
        <f>IF(BP37=A37,VLOOKUP(B37,'Datos Kandiko'!B39:BB76,4,0),"")</f>
        <v/>
      </c>
      <c r="F37" s="32" t="str">
        <f>IF(BP37=A37,VLOOKUP(B37,'Datos Kandiko'!B39:BB76,5,0),"")</f>
        <v/>
      </c>
      <c r="G37" s="32" t="str">
        <f>IF(BP37=A37,VLOOKUP(B37,'Datos Kandiko'!B39:BB76,6,0),"")</f>
        <v/>
      </c>
      <c r="H37" s="33" t="str">
        <f t="shared" si="0"/>
        <v/>
      </c>
      <c r="I37" s="33" t="str">
        <f t="shared" si="1"/>
        <v/>
      </c>
      <c r="J37" s="34" t="str">
        <f t="shared" si="2"/>
        <v/>
      </c>
      <c r="K37" s="31" t="str">
        <f t="shared" si="3"/>
        <v/>
      </c>
      <c r="L37" s="37" t="str">
        <f>IF(A37="","",VLOOKUP(B37,'Datos Kandiko'!B39:BB76,11,0))</f>
        <v/>
      </c>
      <c r="M37" s="32" t="str">
        <f>IF(A37="","",VLOOKUP(B37,'Datos Kandiko'!B39:BB76,12,0))</f>
        <v/>
      </c>
      <c r="N37" s="32" t="str">
        <f>IF(A37="","",VLOOKUP(B37,'Datos Kandiko'!B39:BB76,13,0))</f>
        <v/>
      </c>
      <c r="O37" s="32" t="str">
        <f>IF(A37="","",VLOOKUP(B37,'Datos Kandiko'!B39:BB76,14,0))</f>
        <v/>
      </c>
      <c r="P37" s="33" t="str">
        <f t="shared" si="7"/>
        <v/>
      </c>
      <c r="Q37" s="33" t="str">
        <f>IF(A37="","",IF(N37&gt;0,+O37/N37,0))</f>
        <v/>
      </c>
      <c r="R37" s="34" t="str">
        <f t="shared" si="4"/>
        <v/>
      </c>
      <c r="S37" s="31" t="str">
        <f t="shared" si="5"/>
        <v/>
      </c>
      <c r="T37" s="35" t="str">
        <f t="shared" si="9"/>
        <v/>
      </c>
      <c r="U37" s="35" t="str">
        <f t="shared" si="10"/>
        <v/>
      </c>
      <c r="V37" s="37" t="str">
        <f>IF(A37="","",VLOOKUP(B37,'Datos Kandiko'!B39:BB76,21,0))</f>
        <v/>
      </c>
      <c r="W37" s="32" t="str">
        <f>IF(A37="","",VLOOKUP(B37,'Datos Kandiko'!B39:BB76,22,0))</f>
        <v/>
      </c>
      <c r="X37" s="32" t="str">
        <f>IF(A37="","",VLOOKUP(B37,'Datos Kandiko'!B39:BB76,23,0))</f>
        <v/>
      </c>
      <c r="Y37" s="32" t="str">
        <f>IF(A37="","",VLOOKUP(B37,'Datos Kandiko'!B39:BB76,24,0))</f>
        <v/>
      </c>
      <c r="Z37" s="33" t="str">
        <f t="shared" si="11"/>
        <v/>
      </c>
      <c r="AA37" s="33" t="str">
        <f t="shared" si="12"/>
        <v/>
      </c>
      <c r="AB37" s="34" t="str">
        <f t="shared" si="13"/>
        <v/>
      </c>
      <c r="AC37" s="31" t="str">
        <f t="shared" si="14"/>
        <v/>
      </c>
      <c r="AD37" s="37" t="str">
        <f t="shared" si="15"/>
        <v/>
      </c>
      <c r="AE37" s="32" t="str">
        <f>IF(A37="","",VLOOKUP(B37,'Datos Kandiko'!B39:BB76,30,0))</f>
        <v/>
      </c>
      <c r="AF37" s="31" t="str">
        <f t="shared" si="16"/>
        <v/>
      </c>
      <c r="AG37" s="32" t="str">
        <f>IF(A37="","",VLOOKUP(B37,'Datos Kandiko'!B39:BB76,32,0))</f>
        <v/>
      </c>
      <c r="AH37" s="32" t="str">
        <f>IF(A37="","",VLOOKUP(B37,'Datos Kandiko'!B39:BB76,33,0))</f>
        <v/>
      </c>
      <c r="AI37" s="32" t="str">
        <f>IF(A37="","",VLOOKUP(B37,'Datos Kandiko'!B39:BB76,34,0))</f>
        <v/>
      </c>
      <c r="AJ37" s="34" t="str">
        <f t="shared" si="17"/>
        <v/>
      </c>
      <c r="AK37" s="35" t="str">
        <f t="shared" si="18"/>
        <v/>
      </c>
      <c r="AL37" s="37" t="str">
        <f>IF(A37="","",VLOOKUP(B37,'Datos Kandiko'!B39:BB76,37,0))</f>
        <v/>
      </c>
      <c r="AM37" s="58" t="str">
        <f t="shared" si="19"/>
        <v/>
      </c>
      <c r="AN37" s="262" t="str">
        <f>IF(BP37=A37,'Datos Kandiko'!BL39,"")</f>
        <v/>
      </c>
      <c r="AO37" s="32" t="str">
        <f>IF(A37="","",VLOOKUP(B37,'Datos Kandiko'!B39:BF76,39,0))</f>
        <v/>
      </c>
      <c r="AP37" s="36" t="str">
        <f t="shared" si="23"/>
        <v/>
      </c>
      <c r="AQ37" s="32" t="str">
        <f>IF(A37="","",VLOOKUP(B37,'Datos Kandiko'!B39:BH76,41,0))</f>
        <v/>
      </c>
      <c r="AR37" s="32" t="str">
        <f>IF(A37="","",VLOOKUP(B37,'Datos Kandiko'!B39:BI76,42,0))</f>
        <v/>
      </c>
      <c r="AS37" s="32" t="str">
        <f>IF(A37="","",VLOOKUP(B37,'Datos Kandiko'!B39:BJ76,43,0))</f>
        <v/>
      </c>
      <c r="AT37" s="32" t="str">
        <f>IF(A37="","",VLOOKUP(B37,'Datos Kandiko'!B39:BK76,44,0))</f>
        <v/>
      </c>
      <c r="AU37" s="58"/>
      <c r="AV37" s="37" t="str">
        <f t="shared" si="24"/>
        <v/>
      </c>
      <c r="AW37" s="38" t="str">
        <f t="shared" si="20"/>
        <v/>
      </c>
      <c r="AY37" s="180" t="str">
        <f>IF(A37="","",+'Datos Kandiko'!AY39)</f>
        <v/>
      </c>
      <c r="AZ37" s="180" t="str">
        <f t="shared" si="21"/>
        <v/>
      </c>
      <c r="BA37" s="255" t="str">
        <f>IF(A37="","",VLOOKUP(B37,'Datos Kandiko'!B39:BF76,51,0))</f>
        <v/>
      </c>
      <c r="BB37" s="181" t="str">
        <f t="shared" si="25"/>
        <v/>
      </c>
      <c r="BC37" s="180" t="str">
        <f>IF(BP37=A37,'Datos Kandiko'!BL39,"")</f>
        <v/>
      </c>
      <c r="BD37" s="181" t="str">
        <f t="shared" si="22"/>
        <v/>
      </c>
      <c r="BE37" s="29" t="str">
        <f>IF(A37="","",VLOOKUP(B37,'Datos Kandiko'!B39:BF76,53,0))</f>
        <v/>
      </c>
      <c r="BF37" s="28" t="str">
        <f>IF(A37="","",VLOOKUP(B37,'Datos Kandiko'!B39:BF76,54,0))</f>
        <v/>
      </c>
      <c r="BG37" s="28" t="str">
        <f>IF(A37="","",VLOOKUP(B37,'Datos Kandiko'!B39:BF76,55,0))</f>
        <v/>
      </c>
      <c r="BH37" s="28" t="str">
        <f>IF(A37="","",VLOOKUP(B37,'Datos Kandiko'!B39:BF76,51,0))</f>
        <v/>
      </c>
      <c r="BI37" s="28" t="str">
        <f>IF(A37="","",IF(VLOOKUP(B37,'Datos Kandiko'!B39:BF76,52,0)=0%,IF(AO37&gt;1,1,VLOOKUP(B37,'Datos Kandiko'!B39:BF76,52,0))))</f>
        <v/>
      </c>
      <c r="BJ37" s="211" t="str">
        <f>IF(A37="","",VLOOKUP(B37,'Datos Kandiko'!B39:BH76,58,0))</f>
        <v/>
      </c>
      <c r="BK37" s="27" t="str">
        <f>IF(A37="","",VLOOKUP(B37,'Datos Kandiko'!B39:BH76,59,0))</f>
        <v/>
      </c>
      <c r="BL37" s="29" t="str">
        <f>IF(A37="","",VLOOKUP(B37,'Datos Kandiko'!B39:BF76,55,0))</f>
        <v/>
      </c>
      <c r="BM37" s="181" t="str">
        <f>IF(A37="","",VLOOKUP(B37,'Datos Kandiko'!B39:BF76,56,0))</f>
        <v/>
      </c>
      <c r="BN37" s="266" t="str">
        <f>IF(A37="","",IF(VLOOKUP(B37,'Datos Kandiko'!B39:BF76,57,0)=0,IF(AO37&gt;1,1,VLOOKUP(B37,'Datos Kandiko'!B39:BF76,57,0))))</f>
        <v/>
      </c>
      <c r="BO37" s="59"/>
      <c r="BP37" s="190" t="str">
        <f>+'Biyemas S.A.'!BP37</f>
        <v xml:space="preserve">Lun/Mon    </v>
      </c>
    </row>
    <row r="38" spans="1:76" ht="12" customHeight="1" thickBot="1" x14ac:dyDescent="0.25">
      <c r="A38" s="204"/>
      <c r="B38" s="200"/>
      <c r="C38" s="31"/>
      <c r="D38" s="37"/>
      <c r="E38" s="32"/>
      <c r="F38" s="32"/>
      <c r="G38" s="32"/>
      <c r="H38" s="33"/>
      <c r="I38" s="33"/>
      <c r="J38" s="34"/>
      <c r="K38" s="31"/>
      <c r="L38" s="37"/>
      <c r="M38" s="32"/>
      <c r="N38" s="32"/>
      <c r="O38" s="32"/>
      <c r="P38" s="33"/>
      <c r="Q38" s="33"/>
      <c r="R38" s="34"/>
      <c r="S38" s="31"/>
      <c r="T38" s="207"/>
      <c r="U38" s="35"/>
      <c r="V38" s="37"/>
      <c r="W38" s="32"/>
      <c r="X38" s="32"/>
      <c r="Y38" s="32"/>
      <c r="Z38" s="32"/>
      <c r="AA38" s="32"/>
      <c r="AB38" s="32"/>
      <c r="AC38" s="31"/>
      <c r="AD38" s="37"/>
      <c r="AE38" s="32"/>
      <c r="AF38" s="31"/>
      <c r="AG38" s="32"/>
      <c r="AH38" s="32"/>
      <c r="AI38" s="32"/>
      <c r="AJ38" s="34"/>
      <c r="AK38" s="35"/>
      <c r="AL38" s="37"/>
      <c r="AM38" s="58"/>
      <c r="AN38" s="262">
        <f>IF(BP38=A38,'Datos Kandiko'!BL40,"")</f>
        <v>0</v>
      </c>
      <c r="AO38" s="32"/>
      <c r="AP38" s="36"/>
      <c r="AQ38" s="32" t="str">
        <f>IF(A38="","",VLOOKUP(B38,'Datos Kandiko'!B40:BH77,41,0))</f>
        <v/>
      </c>
      <c r="AR38" s="32" t="str">
        <f>IF(A38="","",VLOOKUP(B38,'Datos Kandiko'!B40:BI77,42,0))</f>
        <v/>
      </c>
      <c r="AS38" s="32" t="str">
        <f>IF(A38="","",VLOOKUP(B38,'Datos Kandiko'!B40:BJ77,43,0))</f>
        <v/>
      </c>
      <c r="AT38" s="32" t="str">
        <f>IF(A38="","",VLOOKUP(B38,'Datos Kandiko'!B40:BK77,44,0))</f>
        <v/>
      </c>
      <c r="AU38" s="58"/>
      <c r="AV38" s="242"/>
      <c r="AW38" s="263"/>
      <c r="AY38" s="180" t="str">
        <f>IF(A38="","",+'Datos Kandiko'!AY40)</f>
        <v/>
      </c>
      <c r="AZ38" s="180" t="str">
        <f t="shared" si="21"/>
        <v/>
      </c>
      <c r="BA38" s="255" t="str">
        <f>IF(A38="","",VLOOKUP(B38,'Datos Kandiko'!B40:BF77,51,0))</f>
        <v/>
      </c>
      <c r="BB38" s="181" t="str">
        <f t="shared" si="25"/>
        <v/>
      </c>
      <c r="BC38" s="212">
        <f>IF(BP38=A38,'Datos Kandiko'!BL40,"")</f>
        <v>0</v>
      </c>
      <c r="BD38" s="215"/>
      <c r="BE38" s="29" t="str">
        <f>IF(A38="","",VLOOKUP(B38,'Datos Kandiko'!B40:BF77,53,0))</f>
        <v/>
      </c>
      <c r="BF38" s="28" t="str">
        <f>IF(A38="","",VLOOKUP(B38,'Datos Kandiko'!B40:BF77,54,0))</f>
        <v/>
      </c>
      <c r="BG38" s="28" t="str">
        <f>IF(A38="","",VLOOKUP(B38,'Datos Kandiko'!B40:BF77,55,0))</f>
        <v/>
      </c>
      <c r="BH38" s="28"/>
      <c r="BI38" s="28"/>
      <c r="BJ38" s="212" t="str">
        <f>IF(A38="","",VLOOKUP(B38,'Datos Kandiko'!B40:BH77,58,0))</f>
        <v/>
      </c>
      <c r="BK38" s="213" t="str">
        <f>IF(A38="","",VLOOKUP(B38,'Datos Kandiko'!B40:BH77,59,0))</f>
        <v/>
      </c>
      <c r="BL38" s="214"/>
      <c r="BM38" s="215"/>
      <c r="BN38" s="267"/>
      <c r="BO38" s="198"/>
    </row>
    <row r="39" spans="1:76" s="2" customFormat="1" ht="12.75" customHeight="1" thickBot="1" x14ac:dyDescent="0.25">
      <c r="A39" s="205" t="s">
        <v>15</v>
      </c>
      <c r="B39" s="129" t="s">
        <v>4</v>
      </c>
      <c r="C39" s="130">
        <f>SUM(C7:C38)</f>
        <v>0</v>
      </c>
      <c r="D39" s="132"/>
      <c r="E39" s="133">
        <f>SUM(E7:E38)</f>
        <v>0</v>
      </c>
      <c r="F39" s="133">
        <f>SUM(F7:F38)</f>
        <v>0</v>
      </c>
      <c r="G39" s="133">
        <f>SUM(G7:G38)</f>
        <v>0</v>
      </c>
      <c r="H39" s="134"/>
      <c r="I39" s="47"/>
      <c r="J39" s="135"/>
      <c r="K39" s="130" t="s">
        <v>1</v>
      </c>
      <c r="L39" s="132"/>
      <c r="M39" s="133">
        <f>SUM(M7:M38)</f>
        <v>0</v>
      </c>
      <c r="N39" s="133">
        <f>SUM(N7:N38)</f>
        <v>0</v>
      </c>
      <c r="O39" s="133">
        <f>SUM(O7:O38)</f>
        <v>0</v>
      </c>
      <c r="P39" s="134"/>
      <c r="Q39" s="134"/>
      <c r="R39" s="136"/>
      <c r="S39" s="50"/>
      <c r="T39" s="208"/>
      <c r="U39" s="208"/>
      <c r="V39" s="132"/>
      <c r="W39" s="133">
        <f>SUM(W7:W38)</f>
        <v>0</v>
      </c>
      <c r="X39" s="133">
        <f>SUM(X7:X38)</f>
        <v>0</v>
      </c>
      <c r="Y39" s="133">
        <f>SUM(Y7:Y38)</f>
        <v>0</v>
      </c>
      <c r="Z39" s="134"/>
      <c r="AA39" s="47"/>
      <c r="AB39" s="135"/>
      <c r="AC39" s="130" t="s">
        <v>1</v>
      </c>
      <c r="AD39" s="132">
        <f t="shared" ref="AD39:AI39" si="26">SUM(AD7:AD38)</f>
        <v>0</v>
      </c>
      <c r="AE39" s="133">
        <f>SUM(AE7:AE38)</f>
        <v>0</v>
      </c>
      <c r="AF39" s="130">
        <f t="shared" si="26"/>
        <v>0</v>
      </c>
      <c r="AG39" s="48">
        <f t="shared" si="26"/>
        <v>0</v>
      </c>
      <c r="AH39" s="48">
        <f t="shared" si="26"/>
        <v>0</v>
      </c>
      <c r="AI39" s="48">
        <f t="shared" si="26"/>
        <v>0</v>
      </c>
      <c r="AJ39" s="136"/>
      <c r="AK39" s="208">
        <f>SUM(AK7:AK38)</f>
        <v>0</v>
      </c>
      <c r="AL39" s="51">
        <f>SUM(AL7:AL38)</f>
        <v>0</v>
      </c>
      <c r="AM39" s="52"/>
      <c r="AN39" s="51">
        <f>SUM(AN7:AN38)</f>
        <v>0</v>
      </c>
      <c r="AO39" s="48">
        <f>SUM(AO7:AO38)</f>
        <v>0</v>
      </c>
      <c r="AP39" s="48">
        <f>SUM(AP7:AP38)</f>
        <v>0</v>
      </c>
      <c r="AQ39" s="51"/>
      <c r="AR39" s="48"/>
      <c r="AS39" s="48"/>
      <c r="AT39" s="48"/>
      <c r="AU39" s="50"/>
      <c r="AV39" s="51">
        <f>SUM(AV7:AV38)</f>
        <v>0</v>
      </c>
      <c r="AW39" s="49"/>
      <c r="AY39" s="175" t="e">
        <f>SUM(AY7:AY38)/COUNT(AY7:AY38)</f>
        <v>#DIV/0!</v>
      </c>
      <c r="AZ39" s="259" t="e">
        <f>AY39-AZ6</f>
        <v>#DIV/0!</v>
      </c>
      <c r="BA39" s="175">
        <f>SUM(BA7:BA38)</f>
        <v>0</v>
      </c>
      <c r="BB39" s="171">
        <f>IF($AK39&gt;0,(C39-($BA39))/($BA$39),)</f>
        <v>0</v>
      </c>
      <c r="BC39" s="175">
        <f>SUM(BC7:BC38)</f>
        <v>0</v>
      </c>
      <c r="BD39" s="171"/>
      <c r="BE39" s="222" t="e">
        <f>VLOOKUP("Total final",'Datos Kandiko'!A9:BF142,54,0)</f>
        <v>#N/A</v>
      </c>
      <c r="BF39" s="173" t="e">
        <f>VLOOKUP("Total final",'Datos Kandiko'!A9:BF142,55,0)</f>
        <v>#N/A</v>
      </c>
      <c r="BG39" s="173" t="e">
        <f>VLOOKUP("Total final",'Datos Kandiko'!A9:BF142,56,0)</f>
        <v>#N/A</v>
      </c>
      <c r="BH39" s="174" t="e">
        <f>VLOOKUP("Total final",'Datos Kandiko'!A9:BF142,52,0)</f>
        <v>#N/A</v>
      </c>
      <c r="BI39" s="174" t="e">
        <f>IF(VLOOKUP("Total final",'Datos Kandiko'!A9:BF142,53,0)=0,IF(AO39&gt;1,1,VLOOKUP("Total final",'Datos Kandiko'!A9:BF142,53,0)))</f>
        <v>#N/A</v>
      </c>
      <c r="BJ39" s="169" t="e">
        <f>VLOOKUP("Total final",'Datos Kandiko'!A9:BH142,59,0)</f>
        <v>#N/A</v>
      </c>
      <c r="BK39" s="170" t="e">
        <f>VLOOKUP("Total final",'Datos Kandiko'!A9:BH142,60,0)</f>
        <v>#N/A</v>
      </c>
      <c r="BL39" s="170" t="e">
        <f>VLOOKUP("Total final",'Datos Kandiko'!A9:BF142,56,0)</f>
        <v>#N/A</v>
      </c>
      <c r="BM39" s="171" t="e">
        <f>VLOOKUP("Total final",'Datos Kandiko'!A9:BF142,57,0)</f>
        <v>#N/A</v>
      </c>
      <c r="BN39" s="271" t="e">
        <f>IF(VLOOKUP("Total final",'Datos Kandiko'!A9:BF142,58,0)=0,IF(AO39&gt;1,1,VLOOKUP("Total final",'Datos Kandiko'!A9:BF142,58,0)))</f>
        <v>#N/A</v>
      </c>
      <c r="BO39" s="199"/>
    </row>
    <row r="40" spans="1:76" ht="12" thickBot="1" x14ac:dyDescent="0.25">
      <c r="A40" s="131" t="s">
        <v>26</v>
      </c>
      <c r="B40" s="129"/>
      <c r="C40" s="130" t="e">
        <f>VLOOKUP("MTD Average",'Datos Kandiko'!A9:BB142,3,0)</f>
        <v>#N/A</v>
      </c>
      <c r="D40" s="132" t="e">
        <f>VLOOKUP("MTD Average",'Datos Kandiko'!A9:BB142,4,0)</f>
        <v>#N/A</v>
      </c>
      <c r="E40" s="133" t="e">
        <f>VLOOKUP("MTD Average",'Datos Kandiko'!A9:BB142,5,0)</f>
        <v>#N/A</v>
      </c>
      <c r="F40" s="133" t="e">
        <f>VLOOKUP("MTD Average",'Datos Kandiko'!A9:BB142,6,0)</f>
        <v>#N/A</v>
      </c>
      <c r="G40" s="133" t="e">
        <f>VLOOKUP("MTD Average",'Datos Kandiko'!A9:BB142,7,0)</f>
        <v>#N/A</v>
      </c>
      <c r="H40" s="134" t="e">
        <f>+G40/E40</f>
        <v>#N/A</v>
      </c>
      <c r="I40" s="47" t="e">
        <f>+G40/F40</f>
        <v>#N/A</v>
      </c>
      <c r="J40" s="135" t="e">
        <f>+G40/C40</f>
        <v>#N/A</v>
      </c>
      <c r="K40" s="130" t="e">
        <f>+G40/D40</f>
        <v>#N/A</v>
      </c>
      <c r="L40" s="132" t="e">
        <f>VLOOKUP("MTD Average",'Datos Kandiko'!A9:BB142,12,0)</f>
        <v>#N/A</v>
      </c>
      <c r="M40" s="133" t="e">
        <f>VLOOKUP("MTD Average",'Datos Kandiko'!A9:BB142,13,0)</f>
        <v>#N/A</v>
      </c>
      <c r="N40" s="133" t="e">
        <f>VLOOKUP("MTD Average",'Datos Kandiko'!A9:BB142,14,0)</f>
        <v>#N/A</v>
      </c>
      <c r="O40" s="133" t="e">
        <f>VLOOKUP("MTD Average",'Datos Kandiko'!A9:BB142,15,0)</f>
        <v>#N/A</v>
      </c>
      <c r="P40" s="134" t="e">
        <f>+O40/M40</f>
        <v>#N/A</v>
      </c>
      <c r="Q40" s="134" t="e">
        <f>+O40/N40</f>
        <v>#N/A</v>
      </c>
      <c r="R40" s="136" t="e">
        <f>+O40/C40</f>
        <v>#N/A</v>
      </c>
      <c r="S40" s="50" t="e">
        <f>+O40/L40</f>
        <v>#N/A</v>
      </c>
      <c r="T40" s="208" t="e">
        <f>SUM(T7:T37)/$D$1</f>
        <v>#DIV/0!</v>
      </c>
      <c r="U40" s="208" t="e">
        <f>SUM(U7:U37)/$D$1</f>
        <v>#DIV/0!</v>
      </c>
      <c r="V40" s="132" t="e">
        <f>VLOOKUP("MTD Average",'Datos Kandiko'!A9:BB142,22,0)</f>
        <v>#N/A</v>
      </c>
      <c r="W40" s="133" t="e">
        <f>VLOOKUP("MTD Average",'Datos Kandiko'!A9:BB142,23,0)</f>
        <v>#N/A</v>
      </c>
      <c r="X40" s="133" t="e">
        <f>VLOOKUP("MTD Average",'Datos Kandiko'!A9:BB142,24,0)</f>
        <v>#N/A</v>
      </c>
      <c r="Y40" s="133" t="e">
        <f>VLOOKUP("MTD Average",'Datos Kandiko'!A9:BB142,25,0)</f>
        <v>#N/A</v>
      </c>
      <c r="Z40" s="134" t="e">
        <f>+Y40/W40</f>
        <v>#N/A</v>
      </c>
      <c r="AA40" s="47" t="e">
        <f>+Y40/X40</f>
        <v>#N/A</v>
      </c>
      <c r="AB40" s="135" t="e">
        <f>+Y40/K40</f>
        <v>#N/A</v>
      </c>
      <c r="AC40" s="130" t="e">
        <f>+Y40/V40</f>
        <v>#N/A</v>
      </c>
      <c r="AD40" s="132" t="e">
        <f>VLOOKUP("MTD Average",'Datos Kandiko'!A9:BB142,30,0)</f>
        <v>#N/A</v>
      </c>
      <c r="AE40" s="133" t="e">
        <f>VLOOKUP("MTD Average",'Datos Kandiko'!A9:BB142,31,0)</f>
        <v>#N/A</v>
      </c>
      <c r="AF40" s="130" t="e">
        <f>VLOOKUP("MTD Average",'Datos Kandiko'!A9:BB142,32,0)</f>
        <v>#N/A</v>
      </c>
      <c r="AG40" s="48" t="e">
        <f>VLOOKUP("MTD Average",'Datos Kandiko'!A9:BB142,33,0)</f>
        <v>#N/A</v>
      </c>
      <c r="AH40" s="48" t="e">
        <f>VLOOKUP("MTD Average",'Datos Kandiko'!A9:BB142,34,0)</f>
        <v>#N/A</v>
      </c>
      <c r="AI40" s="133" t="e">
        <f>VLOOKUP("MTD Average",'Datos Kandiko'!A9:BB142,35,0)</f>
        <v>#N/A</v>
      </c>
      <c r="AJ40" s="136" t="e">
        <f>+AI40/C40</f>
        <v>#N/A</v>
      </c>
      <c r="AK40" s="208" t="e">
        <f>VLOOKUP("MTD Average",'Datos Kandiko'!A9:BB142,37,0)</f>
        <v>#N/A</v>
      </c>
      <c r="AL40" s="51" t="e">
        <f>VLOOKUP("MTD Average",'Datos Kandiko'!A9:BB142,38,0)</f>
        <v>#N/A</v>
      </c>
      <c r="AM40" s="52" t="e">
        <f>+AL40/C40</f>
        <v>#N/A</v>
      </c>
      <c r="AN40" s="132" t="e">
        <f>+AN39/Resumen!D1</f>
        <v>#DIV/0!</v>
      </c>
      <c r="AO40" s="133" t="e">
        <f>VLOOKUP("MTD Average",'Datos Kandiko'!A9:BF142,40,0)</f>
        <v>#N/A</v>
      </c>
      <c r="AP40" s="52" t="e">
        <f>+AO40/AN40</f>
        <v>#N/A</v>
      </c>
      <c r="AQ40" s="206"/>
      <c r="AR40" s="206"/>
      <c r="AS40" s="206"/>
      <c r="AT40" s="206"/>
      <c r="AU40" s="206"/>
      <c r="AV40" s="51" t="e">
        <f>VLOOKUP("MTD Average",'Datos Kandiko'!A9:BB142,47,0)</f>
        <v>#N/A</v>
      </c>
      <c r="AW40" s="49" t="e">
        <f>+AV40/C40</f>
        <v>#N/A</v>
      </c>
      <c r="AY40" s="32"/>
      <c r="BB40" s="61" t="s">
        <v>48</v>
      </c>
      <c r="BC40" s="61"/>
      <c r="BD40" s="61"/>
      <c r="BE40" s="62" t="e">
        <f>+AV40</f>
        <v>#N/A</v>
      </c>
      <c r="BF40" s="62" t="e">
        <f>+AD40</f>
        <v>#N/A</v>
      </c>
      <c r="BG40" s="62" t="e">
        <f>+AI40</f>
        <v>#N/A</v>
      </c>
      <c r="BH40" s="62" t="e">
        <f>+AL40</f>
        <v>#N/A</v>
      </c>
      <c r="BI40" s="62" t="e">
        <f>+AO40</f>
        <v>#N/A</v>
      </c>
      <c r="BJ40" s="280" t="e">
        <f>(1+BJ39)*BJ6</f>
        <v>#N/A</v>
      </c>
      <c r="BK40" s="63" t="e">
        <f>(1+BK39)*BK6</f>
        <v>#N/A</v>
      </c>
      <c r="BL40" s="63" t="e">
        <f>(1+BL39)*BL6</f>
        <v>#N/A</v>
      </c>
      <c r="BM40" s="63" t="e">
        <f>(1+BM39)*BM6</f>
        <v>#N/A</v>
      </c>
      <c r="BN40" s="63"/>
    </row>
    <row r="41" spans="1:76" ht="13.5" thickBot="1" x14ac:dyDescent="0.25">
      <c r="B41" s="55"/>
      <c r="C41" s="32"/>
      <c r="D41" s="32"/>
      <c r="E41" s="32"/>
      <c r="F41" s="32"/>
      <c r="G41" s="32"/>
      <c r="H41" s="33"/>
      <c r="I41" s="33"/>
      <c r="J41" s="34"/>
      <c r="K41" s="32"/>
      <c r="L41" s="32"/>
      <c r="M41" s="32"/>
      <c r="N41" s="32"/>
      <c r="O41" s="32"/>
      <c r="P41" s="33"/>
      <c r="Q41" s="33"/>
      <c r="R41" s="34" t="s">
        <v>4</v>
      </c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/>
      <c r="AK41" s="32"/>
      <c r="AL41" s="32"/>
      <c r="AM41" s="58"/>
      <c r="AN41" s="58"/>
      <c r="AO41" s="32"/>
      <c r="AP41" s="58"/>
      <c r="AQ41" s="58"/>
      <c r="AR41" s="58"/>
      <c r="AS41" s="58"/>
      <c r="AT41" s="58"/>
      <c r="AU41" s="58"/>
      <c r="AV41" s="32"/>
      <c r="AW41" s="34"/>
      <c r="BB41" s="60" t="s">
        <v>49</v>
      </c>
      <c r="BC41" s="60"/>
      <c r="BD41" s="60"/>
      <c r="BE41" s="64" t="e">
        <f>HLOOKUP(BP41,'Datos Kandiko'!AX7:BB110,COUNT(BF7:BF38)+5,0)</f>
        <v>#N/A</v>
      </c>
      <c r="BF41" s="64" t="e">
        <f>HLOOKUP(BQ41,'Datos Kandiko'!AY7:BC110,COUNT(BG7:BG38)+5,0)</f>
        <v>#N/A</v>
      </c>
      <c r="BG41" s="64" t="e">
        <f>HLOOKUP(BR41,'Datos Kandiko'!AZ7:BD110,COUNT(BH7:BH38)+5,0)</f>
        <v>#N/A</v>
      </c>
      <c r="BH41" s="64" t="e">
        <f>HLOOKUP(BS41,'Datos Kandiko'!BA7:BE110,COUNT(BI7:BI38)+5,0)</f>
        <v>#N/A</v>
      </c>
      <c r="BI41" s="64" t="e">
        <f>HLOOKUP(BT41,'Datos Kandiko'!BB7:BF110,COUNT(BJ7:BJ38)+5,0)</f>
        <v>#N/A</v>
      </c>
      <c r="BJ41" s="64" t="e">
        <f>HLOOKUP(BU41,'Datos Kandiko'!BC7:BG110,COUNT(BK7:BK38)+5,0)</f>
        <v>#N/A</v>
      </c>
      <c r="BK41" s="64" t="e">
        <f>HLOOKUP(BV41,'Datos Kandiko'!BD7:BH110,COUNT(BL7:BL38)+5,0)</f>
        <v>#N/A</v>
      </c>
      <c r="BL41" s="64" t="e">
        <f>HLOOKUP(BW41,'Datos Kandiko'!BE7:BI110,COUNT(BM7:BM38)+5,0)</f>
        <v>#N/A</v>
      </c>
      <c r="BM41" s="64" t="e">
        <f>HLOOKUP(BX41,'Datos Kandiko'!BF7:BJ110,COUNT(BN7:BN38)+5,0)</f>
        <v>#N/A</v>
      </c>
      <c r="BN41" s="65"/>
      <c r="BP41" t="s">
        <v>97</v>
      </c>
      <c r="BQ41" s="39" t="s">
        <v>42</v>
      </c>
      <c r="BR41" s="39" t="s">
        <v>98</v>
      </c>
      <c r="BS41" s="39" t="s">
        <v>99</v>
      </c>
      <c r="BT41" s="39" t="s">
        <v>97</v>
      </c>
      <c r="BU41" s="39" t="s">
        <v>42</v>
      </c>
      <c r="BV41" s="39" t="s">
        <v>98</v>
      </c>
      <c r="BW41" s="39" t="s">
        <v>100</v>
      </c>
      <c r="BX41" s="39" t="s">
        <v>120</v>
      </c>
    </row>
    <row r="42" spans="1:76" ht="13.5" thickTop="1" x14ac:dyDescent="0.2">
      <c r="B42" s="55"/>
      <c r="C42" s="32"/>
      <c r="D42" s="32"/>
      <c r="E42" s="32"/>
      <c r="F42" s="32"/>
      <c r="G42" s="166"/>
      <c r="H42" s="56"/>
      <c r="I42" s="33"/>
      <c r="J42" s="34"/>
      <c r="K42" s="32"/>
      <c r="L42" s="32"/>
      <c r="M42" s="32"/>
      <c r="N42" s="32"/>
      <c r="O42" s="32"/>
      <c r="P42" s="56"/>
      <c r="Q42" s="56"/>
      <c r="R42" s="34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/>
      <c r="AK42" s="32"/>
      <c r="AL42" s="32"/>
      <c r="AM42" s="58"/>
      <c r="AN42" s="58"/>
      <c r="AO42" s="32"/>
      <c r="AP42" s="58"/>
      <c r="AQ42" s="58"/>
      <c r="AR42" s="58"/>
      <c r="AS42" s="58"/>
      <c r="AT42" s="58"/>
      <c r="AU42" s="58"/>
      <c r="AV42" s="32"/>
      <c r="AW42" s="34"/>
      <c r="BB42" s="60"/>
      <c r="BC42" s="60"/>
      <c r="BD42" s="60"/>
      <c r="BE42" s="113"/>
      <c r="BF42" s="113"/>
      <c r="BG42" s="113"/>
      <c r="BH42" s="113"/>
      <c r="BI42" s="113"/>
      <c r="BJ42" s="119"/>
      <c r="BK42" s="119"/>
      <c r="BL42" s="119"/>
      <c r="BM42" s="119"/>
      <c r="BN42" s="29"/>
    </row>
    <row r="43" spans="1:76" x14ac:dyDescent="0.2">
      <c r="B43" s="55"/>
      <c r="C43" s="32"/>
      <c r="D43" s="32"/>
      <c r="E43" s="32"/>
      <c r="F43" s="32"/>
      <c r="G43" s="32"/>
      <c r="H43" s="56"/>
      <c r="I43" s="33"/>
      <c r="J43" s="34"/>
      <c r="K43" s="32"/>
      <c r="L43" s="32"/>
      <c r="M43" s="32"/>
      <c r="N43" s="32"/>
      <c r="O43" s="32"/>
      <c r="P43" s="56"/>
      <c r="Q43" s="56"/>
      <c r="R43" s="34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/>
      <c r="AK43" s="32"/>
      <c r="AL43" s="32"/>
      <c r="AM43" s="58"/>
      <c r="AN43" s="58"/>
      <c r="AO43" s="32"/>
      <c r="AP43" s="58"/>
      <c r="AQ43" s="58"/>
      <c r="AR43" s="58"/>
      <c r="AS43" s="58"/>
      <c r="AT43" s="58"/>
      <c r="AU43" s="58"/>
      <c r="AV43" s="32"/>
      <c r="AW43" s="34"/>
      <c r="BB43" s="60"/>
      <c r="BC43" s="60"/>
      <c r="BD43" s="60"/>
      <c r="BE43" s="113"/>
      <c r="BF43" s="113"/>
      <c r="BG43" s="113"/>
      <c r="BH43" s="113"/>
      <c r="BI43" s="113"/>
      <c r="BJ43" s="119"/>
      <c r="BK43" s="119"/>
      <c r="BL43" s="119"/>
      <c r="BM43" s="119"/>
      <c r="BN43" s="29"/>
    </row>
    <row r="44" spans="1:76" ht="12" thickBot="1" x14ac:dyDescent="0.25">
      <c r="A44" s="234" t="str">
        <f>+'Biyemas S.A.'!A44</f>
        <v>Reporte Flash Julio 2026</v>
      </c>
      <c r="B44" s="235"/>
      <c r="C44" s="235"/>
      <c r="D44" s="32"/>
      <c r="E44" s="32"/>
      <c r="F44" s="32"/>
      <c r="G44" s="32"/>
      <c r="H44" s="56"/>
      <c r="I44" s="33"/>
      <c r="J44" s="34"/>
      <c r="K44" s="57"/>
      <c r="L44" s="32"/>
      <c r="M44" s="32"/>
      <c r="N44" s="32"/>
      <c r="O44" s="32"/>
      <c r="P44" s="56"/>
      <c r="Q44" s="56"/>
      <c r="R44" s="34"/>
      <c r="S44" s="32"/>
      <c r="T44" s="32"/>
      <c r="U44" s="32"/>
      <c r="V44" s="32"/>
      <c r="W44" s="32"/>
      <c r="X44" s="32"/>
      <c r="Y44" s="32"/>
      <c r="Z44" s="57"/>
      <c r="AA44" s="57"/>
      <c r="AB44" s="57"/>
      <c r="AC44" s="57"/>
      <c r="AD44" s="57"/>
      <c r="AE44" s="57"/>
      <c r="AF44" s="57"/>
      <c r="AG44" s="32"/>
      <c r="AH44" s="32"/>
      <c r="AI44" s="32"/>
      <c r="AJ44" s="34"/>
      <c r="AK44" s="32"/>
      <c r="AL44" s="32"/>
      <c r="AM44" s="58"/>
      <c r="AN44" s="58"/>
      <c r="AO44" s="32"/>
      <c r="AP44" s="58"/>
      <c r="AQ44" s="58"/>
      <c r="AR44" s="58"/>
      <c r="AS44" s="58"/>
      <c r="AT44" s="58"/>
      <c r="AU44" s="58"/>
      <c r="AV44" s="59"/>
      <c r="AW44" s="34"/>
      <c r="AX44" s="34"/>
      <c r="AY44" s="34"/>
      <c r="BB44" s="60"/>
      <c r="BC44" s="60"/>
      <c r="BD44" s="60"/>
      <c r="BE44" s="60"/>
      <c r="BF44" s="60"/>
      <c r="BG44" s="60"/>
      <c r="BH44" s="60"/>
      <c r="BI44" s="60"/>
      <c r="BJ44" s="114"/>
      <c r="BK44" s="114"/>
      <c r="BL44" s="114"/>
      <c r="BM44" s="114"/>
      <c r="BN44" s="214"/>
    </row>
    <row r="45" spans="1:76" ht="13.5" customHeight="1" thickBot="1" x14ac:dyDescent="0.25">
      <c r="A45" s="92" t="s">
        <v>15</v>
      </c>
      <c r="B45" s="93" t="s">
        <v>4</v>
      </c>
      <c r="C45" s="94" t="e">
        <f>VLOOKUP(+BP45,'Datos Kandiko'!A9:BB145,3,0)</f>
        <v>#N/A</v>
      </c>
      <c r="D45" s="94"/>
      <c r="E45" s="94" t="e">
        <f>VLOOKUP(+BP45,'Datos Kandiko'!A9:BB145,5,0)</f>
        <v>#N/A</v>
      </c>
      <c r="F45" s="94" t="e">
        <f>VLOOKUP(+BP45,'Datos Kandiko'!A9:BB145,6,0)</f>
        <v>#N/A</v>
      </c>
      <c r="G45" s="94" t="e">
        <f>VLOOKUP(+BP45,'Datos Kandiko'!A9:BB145,7,0)</f>
        <v>#N/A</v>
      </c>
      <c r="H45" s="95"/>
      <c r="I45" s="96"/>
      <c r="J45" s="97"/>
      <c r="K45" s="94" t="s">
        <v>1</v>
      </c>
      <c r="L45" s="98"/>
      <c r="M45" s="94" t="e">
        <f>VLOOKUP(+BP45,'Datos Kandiko'!A9:BB145,13,0)</f>
        <v>#N/A</v>
      </c>
      <c r="N45" s="94" t="e">
        <f>VLOOKUP(+BP45,'Datos Kandiko'!A9:BB145,14,0)</f>
        <v>#N/A</v>
      </c>
      <c r="O45" s="94" t="e">
        <f>VLOOKUP(+BP45,'Datos Kandiko'!A9:BB145,15,0)</f>
        <v>#N/A</v>
      </c>
      <c r="P45" s="95"/>
      <c r="Q45" s="95"/>
      <c r="R45" s="99"/>
      <c r="S45" s="100"/>
      <c r="T45" s="101"/>
      <c r="U45" s="102"/>
      <c r="V45" s="94"/>
      <c r="W45" s="94" t="e">
        <f>VLOOKUP(+BP45,'Datos Kandiko'!A9:BB145,23,0)</f>
        <v>#N/A</v>
      </c>
      <c r="X45" s="94" t="e">
        <f>VLOOKUP(+BP45,'Datos Kandiko'!A9:BB145,24,0)</f>
        <v>#N/A</v>
      </c>
      <c r="Y45" s="94" t="e">
        <f>VLOOKUP(+BP45,'Datos Kandiko'!A9:BB145,25,0)</f>
        <v>#N/A</v>
      </c>
      <c r="Z45" s="94"/>
      <c r="AA45" s="94"/>
      <c r="AB45" s="94"/>
      <c r="AC45" s="94"/>
      <c r="AD45" s="98" t="e">
        <f>VLOOKUP(+BP45,'Datos Kandiko'!A9:BB145,30,0)</f>
        <v>#N/A</v>
      </c>
      <c r="AE45" s="94" t="e">
        <f>VLOOKUP(+BP45,'Datos Kandiko'!A9:BB145,31,0)</f>
        <v>#N/A</v>
      </c>
      <c r="AF45" s="141" t="e">
        <f>VLOOKUP(+BP45,'Datos Kandiko'!A9:BB145,32,0)</f>
        <v>#N/A</v>
      </c>
      <c r="AG45" s="98" t="e">
        <f>VLOOKUP(+BP45,'Datos Kandiko'!A9:BB145,33,0)</f>
        <v>#N/A</v>
      </c>
      <c r="AH45" s="94" t="e">
        <f>VLOOKUP(+BP45,'Datos Kandiko'!A9:BB145,34,0)</f>
        <v>#N/A</v>
      </c>
      <c r="AI45" s="94" t="e">
        <f>VLOOKUP(+BP45,'Datos Kandiko'!A9:BB145,35,0)</f>
        <v>#N/A</v>
      </c>
      <c r="AJ45" s="103"/>
      <c r="AK45" s="138" t="e">
        <f>VLOOKUP(+BP45,'Datos Kandiko'!A9:BB145,37,0)</f>
        <v>#N/A</v>
      </c>
      <c r="AL45" s="98" t="e">
        <f>VLOOKUP(+BP45,'Datos Kandiko'!A9:BB145,38,0)</f>
        <v>#N/A</v>
      </c>
      <c r="AM45" s="142"/>
      <c r="AN45" s="51" t="e">
        <f>VLOOKUP(+BP45,'Datos Kandiko'!A9:BL145,64,0)</f>
        <v>#N/A</v>
      </c>
      <c r="AO45" s="133" t="e">
        <f>VLOOKUP(+BP45,'Datos Kandiko'!A9:BF145,40,0)</f>
        <v>#N/A</v>
      </c>
      <c r="AP45" s="52"/>
      <c r="AQ45" s="206"/>
      <c r="AR45" s="206"/>
      <c r="AS45" s="206"/>
      <c r="AT45" s="206"/>
      <c r="AU45" s="206"/>
      <c r="AV45" s="94" t="e">
        <f>VLOOKUP(+BP45,'Datos Kandiko'!A9:BF145,47,0)</f>
        <v>#N/A</v>
      </c>
      <c r="AW45" s="103"/>
      <c r="BA45" s="175" t="e">
        <f>VLOOKUP(+BP45,'Datos Kandiko'!A9:BF145,47,0)</f>
        <v>#N/A</v>
      </c>
      <c r="BB45" s="171" t="e">
        <f>IF($AK45&gt;0,(C45-($BA45))/($BA$45),)</f>
        <v>#N/A</v>
      </c>
      <c r="BC45" s="175" t="e">
        <f>VLOOKUP(+BP45,'Datos Kandiko'!A9:BH145,60,0)</f>
        <v>#N/A</v>
      </c>
      <c r="BD45" s="171"/>
      <c r="BE45" s="222" t="e">
        <f>VLOOKUP(+BP45,'Datos Kandiko'!A9:BF145,54,0)</f>
        <v>#N/A</v>
      </c>
      <c r="BF45" s="173" t="e">
        <f>VLOOKUP(+BP45,'Datos Kandiko'!A9:BF145,55,0)</f>
        <v>#N/A</v>
      </c>
      <c r="BG45" s="173" t="e">
        <f>VLOOKUP(+BP45,'Datos Kandiko'!A9:BB145,51,0)</f>
        <v>#N/A</v>
      </c>
      <c r="BH45" s="223" t="e">
        <f>VLOOKUP(+BP45,'Datos Kandiko'!A9:BB145,52,0)</f>
        <v>#N/A</v>
      </c>
      <c r="BI45" s="173" t="e">
        <f>IF(VLOOKUP(+BP45,'Datos Kandiko'!A9:BB145,53,0)=0,IF(AO45&gt;1,1,VLOOKUP(+BP45,'Datos Kandiko'!A9:BB145,53,0)))</f>
        <v>#N/A</v>
      </c>
      <c r="BJ45" s="169" t="e">
        <f>VLOOKUP(+BP45,'Datos Kandiko'!A9:BH145,59,0)</f>
        <v>#N/A</v>
      </c>
      <c r="BK45" s="170" t="e">
        <f>VLOOKUP(+BP45,'Datos Kandiko'!A9:BH145,60,0)</f>
        <v>#N/A</v>
      </c>
      <c r="BL45" s="170" t="e">
        <f>VLOOKUP(+BP45,'Datos Kandiko'!A9:BF145,56,0)</f>
        <v>#N/A</v>
      </c>
      <c r="BM45" s="171" t="e">
        <f>VLOOKUP(+BP45,'Datos Kandiko'!A9:BF145,57,0)</f>
        <v>#N/A</v>
      </c>
      <c r="BN45" s="271" t="e">
        <f>IF(VLOOKUP(+BP45,'Datos Kandiko'!A9:BF145,58,0)=0,IF(AO45&gt;1,1,VLOOKUP(+BP45,'Datos Kandiko'!A9:BF145,58,0)))</f>
        <v>#N/A</v>
      </c>
      <c r="BP45" s="39" t="s">
        <v>106</v>
      </c>
    </row>
    <row r="46" spans="1:76" ht="12" thickBot="1" x14ac:dyDescent="0.25">
      <c r="A46" s="88" t="s">
        <v>26</v>
      </c>
      <c r="B46" s="83"/>
      <c r="C46" s="91" t="e">
        <f>VLOOKUP(+BP46,'Datos Kandiko'!A9:BB145,3,0)</f>
        <v>#N/A</v>
      </c>
      <c r="D46" s="84" t="e">
        <f>VLOOKUP(+BP46,'Datos Kandiko'!A9:BB145,4,0)</f>
        <v>#N/A</v>
      </c>
      <c r="E46" s="84" t="e">
        <f>VLOOKUP(+BP46,'Datos Kandiko'!A9:BB145,5,0)</f>
        <v>#N/A</v>
      </c>
      <c r="F46" s="84" t="e">
        <f>VLOOKUP(+BP46,'Datos Kandiko'!A9:BB145,6,0)</f>
        <v>#N/A</v>
      </c>
      <c r="G46" s="84" t="e">
        <f>VLOOKUP(+BP46,'Datos Kandiko'!A9:BB145,7,0)</f>
        <v>#N/A</v>
      </c>
      <c r="H46" s="85" t="e">
        <f>+G46/E46</f>
        <v>#N/A</v>
      </c>
      <c r="I46" s="78" t="e">
        <f>+G46/F46</f>
        <v>#N/A</v>
      </c>
      <c r="J46" s="86" t="e">
        <f>+G46/C46</f>
        <v>#N/A</v>
      </c>
      <c r="K46" s="84" t="e">
        <f>+G46/D46</f>
        <v>#N/A</v>
      </c>
      <c r="L46" s="89" t="e">
        <f>VLOOKUP(+BP46,'Datos Kandiko'!A9:BB145,12,0)</f>
        <v>#N/A</v>
      </c>
      <c r="M46" s="84" t="e">
        <f>VLOOKUP(+BP46,'Datos Kandiko'!A9:BB145,13,0)</f>
        <v>#N/A</v>
      </c>
      <c r="N46" s="84" t="e">
        <f>VLOOKUP(+BP46,'Datos Kandiko'!A9:BB145,14,0)</f>
        <v>#N/A</v>
      </c>
      <c r="O46" s="84" t="e">
        <f>VLOOKUP(+BP46,'Datos Kandiko'!A9:BB145,15,0)</f>
        <v>#N/A</v>
      </c>
      <c r="P46" s="85" t="e">
        <f>+O46/M46</f>
        <v>#N/A</v>
      </c>
      <c r="Q46" s="85" t="e">
        <f>+O46/N46</f>
        <v>#N/A</v>
      </c>
      <c r="R46" s="87" t="e">
        <f>+O46/C46</f>
        <v>#N/A</v>
      </c>
      <c r="S46" s="102" t="e">
        <f>+O46/L46</f>
        <v>#N/A</v>
      </c>
      <c r="T46" s="90" t="e">
        <f>+SUM(O46+G46)/+SUM(D46+L46)</f>
        <v>#N/A</v>
      </c>
      <c r="U46" s="79" t="e">
        <f>+D46+L46</f>
        <v>#N/A</v>
      </c>
      <c r="V46" s="89" t="e">
        <f>VLOOKUP(+BP46,'Datos Kandiko'!A9:BB145,22,0)</f>
        <v>#N/A</v>
      </c>
      <c r="W46" s="84" t="e">
        <f>VLOOKUP(+BP46,'Datos Kandiko'!A9:BB145,23,0)</f>
        <v>#N/A</v>
      </c>
      <c r="X46" s="84" t="e">
        <f>VLOOKUP(+BP46,'Datos Kandiko'!A9:BB145,24,0)</f>
        <v>#N/A</v>
      </c>
      <c r="Y46" s="84" t="e">
        <f>VLOOKUP(+BP46,'Datos Kandiko'!A9:BB145,25,0)</f>
        <v>#N/A</v>
      </c>
      <c r="Z46" s="85" t="e">
        <f>+Y46/W46</f>
        <v>#N/A</v>
      </c>
      <c r="AA46" s="85" t="e">
        <f>+Y46/X46</f>
        <v>#N/A</v>
      </c>
      <c r="AB46" s="87" t="e">
        <f>+Y46/M46</f>
        <v>#N/A</v>
      </c>
      <c r="AC46" s="80" t="e">
        <f>VLOOKUP(+BP46,'Datos Kandiko'!A9:BB145,29,0)</f>
        <v>#N/A</v>
      </c>
      <c r="AD46" s="89" t="e">
        <f>VLOOKUP(+BP46,'Datos Kandiko'!A9:BB145,30,0)</f>
        <v>#N/A</v>
      </c>
      <c r="AE46" s="84" t="e">
        <f>VLOOKUP(+BP46,'Datos Kandiko'!A9:BB145,31,0)</f>
        <v>#N/A</v>
      </c>
      <c r="AF46" s="91" t="e">
        <f>VLOOKUP(+BP46,'Datos Kandiko'!A9:BB145,32,0)</f>
        <v>#N/A</v>
      </c>
      <c r="AG46" s="81" t="e">
        <f>VLOOKUP(+BP46,'Datos Kandiko'!A9:BB145,33,0)</f>
        <v>#N/A</v>
      </c>
      <c r="AH46" s="80" t="e">
        <f>VLOOKUP(+BP46,'Datos Kandiko'!A9:BB145,34,0)</f>
        <v>#N/A</v>
      </c>
      <c r="AI46" s="84" t="e">
        <f>VLOOKUP(+BP46,'Datos Kandiko'!A9:BB145,35,0)</f>
        <v>#N/A</v>
      </c>
      <c r="AJ46" s="82" t="e">
        <f>+AI46/C46</f>
        <v>#N/A</v>
      </c>
      <c r="AK46" s="90" t="e">
        <f>VLOOKUP(+BP46,'Datos Kandiko'!A9:BB145,37,0)</f>
        <v>#N/A</v>
      </c>
      <c r="AL46" s="81" t="e">
        <f>VLOOKUP(+BP46,'Datos Kandiko'!A9:BB145,38,0)</f>
        <v>#N/A</v>
      </c>
      <c r="AM46" s="143" t="e">
        <f>+AL46/C46</f>
        <v>#N/A</v>
      </c>
      <c r="AN46" s="74" t="e">
        <f>+AN45/Resumen!D1</f>
        <v>#N/A</v>
      </c>
      <c r="AO46" s="74" t="e">
        <f>VLOOKUP(+BP46,'Datos Kandiko'!A9:BF145,40,0)</f>
        <v>#N/A</v>
      </c>
      <c r="AP46" s="82" t="e">
        <f>+AO46/AN46</f>
        <v>#N/A</v>
      </c>
      <c r="AQ46" s="87"/>
      <c r="AR46" s="87"/>
      <c r="AS46" s="87"/>
      <c r="AT46" s="87"/>
      <c r="AU46" s="87"/>
      <c r="AV46" s="80" t="e">
        <f>VLOOKUP(+BP46,'Datos Kandiko'!A9:BF145,47,0)</f>
        <v>#N/A</v>
      </c>
      <c r="AW46" s="82" t="e">
        <f>+AV46/C46</f>
        <v>#N/A</v>
      </c>
      <c r="BB46" s="61" t="s">
        <v>48</v>
      </c>
      <c r="BC46" s="61"/>
      <c r="BD46" s="61"/>
      <c r="BE46" s="62" t="e">
        <f>+AV46</f>
        <v>#N/A</v>
      </c>
      <c r="BF46" s="62" t="e">
        <f>+AD46</f>
        <v>#N/A</v>
      </c>
      <c r="BG46" s="62" t="e">
        <f>+AI46</f>
        <v>#N/A</v>
      </c>
      <c r="BH46" s="62" t="e">
        <f>+AL46</f>
        <v>#N/A</v>
      </c>
      <c r="BI46" s="62" t="e">
        <f>+AO46</f>
        <v>#N/A</v>
      </c>
      <c r="BJ46" s="63" t="e">
        <f>+BE46</f>
        <v>#N/A</v>
      </c>
      <c r="BK46" s="63" t="e">
        <f>+BF46</f>
        <v>#N/A</v>
      </c>
      <c r="BL46" s="63" t="e">
        <f>+BG46</f>
        <v>#N/A</v>
      </c>
      <c r="BM46" s="63" t="e">
        <f>+BH46</f>
        <v>#N/A</v>
      </c>
      <c r="BN46" s="63"/>
      <c r="BP46" s="39" t="s">
        <v>107</v>
      </c>
    </row>
    <row r="47" spans="1:76" ht="12" thickBot="1" x14ac:dyDescent="0.25">
      <c r="C47" s="32"/>
      <c r="D47" s="32"/>
      <c r="E47" s="32"/>
      <c r="F47" s="32"/>
      <c r="G47" s="32"/>
      <c r="H47" s="56"/>
      <c r="I47" s="33"/>
      <c r="J47" s="34"/>
      <c r="K47" s="57"/>
      <c r="L47" s="32"/>
      <c r="M47" s="32"/>
      <c r="N47" s="32"/>
      <c r="O47" s="32"/>
      <c r="P47" s="56"/>
      <c r="Q47" s="56"/>
      <c r="R47" s="34"/>
      <c r="S47" s="32"/>
      <c r="T47" s="32"/>
      <c r="U47" s="32"/>
      <c r="V47" s="32"/>
      <c r="W47" s="32"/>
      <c r="X47" s="32"/>
      <c r="Y47" s="32"/>
      <c r="Z47" s="57"/>
      <c r="AA47" s="57"/>
      <c r="AB47" s="57"/>
      <c r="AC47" s="57"/>
      <c r="AD47" s="57"/>
      <c r="AE47" s="57"/>
      <c r="AF47" s="57"/>
      <c r="AG47" s="32"/>
      <c r="AH47" s="32"/>
      <c r="AI47" s="32"/>
      <c r="AJ47" s="34"/>
      <c r="AK47" s="32"/>
      <c r="AL47" s="32"/>
      <c r="AM47" s="58"/>
      <c r="AN47" s="58"/>
      <c r="AO47" s="32"/>
      <c r="AP47" s="58"/>
      <c r="AQ47" s="58"/>
      <c r="AR47" s="58"/>
      <c r="AS47" s="58"/>
      <c r="AT47" s="58"/>
      <c r="AU47" s="58"/>
      <c r="AV47" s="59"/>
      <c r="AW47" s="34"/>
      <c r="AX47" s="34"/>
      <c r="AY47" s="34"/>
      <c r="BB47" s="60" t="s">
        <v>49</v>
      </c>
      <c r="BC47" s="60"/>
      <c r="BD47" s="60"/>
      <c r="BE47" s="64" t="e">
        <f>VLOOKUP(+BP47,'Datos Kandiko'!AY4:BG171,4,0)</f>
        <v>#N/A</v>
      </c>
      <c r="BF47" s="64" t="e">
        <f>VLOOKUP(+BP47,'Datos Kandiko'!AY4:BG171,5,0)</f>
        <v>#N/A</v>
      </c>
      <c r="BG47" s="64" t="e">
        <f>VLOOKUP(+BP47,'Datos Kandiko'!AY4:BG171,6,0)</f>
        <v>#N/A</v>
      </c>
      <c r="BH47" s="64" t="e">
        <f>VLOOKUP(+BP47,'Datos Kandiko'!AY4:BG171,7,0)</f>
        <v>#N/A</v>
      </c>
      <c r="BI47" s="64" t="e">
        <f>IF(BI45=1,+BI46,VLOOKUP(+BP47,'Datos Kandiko'!AY4:BG171,8,0))</f>
        <v>#N/A</v>
      </c>
      <c r="BJ47" s="64" t="e">
        <f>VLOOKUP(+BP47,'Datos Kandiko'!AY4:BG171,9,0)</f>
        <v>#N/A</v>
      </c>
      <c r="BK47" s="64" t="e">
        <f>VLOOKUP(+BP47,'Datos Kandiko'!AY4:BH171,10,0)</f>
        <v>#N/A</v>
      </c>
      <c r="BL47" s="64" t="e">
        <f>VLOOKUP(+BP47,'Datos Kandiko'!AY4:BG171,11,0)</f>
        <v>#N/A</v>
      </c>
      <c r="BM47" s="64" t="e">
        <f>VLOOKUP(+BP47,'Datos Kandiko'!AY4:BG171,12,0)</f>
        <v>#N/A</v>
      </c>
      <c r="BN47" s="65"/>
      <c r="BP47" s="39" t="s">
        <v>116</v>
      </c>
    </row>
    <row r="48" spans="1:76" ht="12.75" thickTop="1" thickBot="1" x14ac:dyDescent="0.25">
      <c r="A48" s="66" t="s">
        <v>82</v>
      </c>
      <c r="B48" s="67"/>
      <c r="C48" s="68" t="e">
        <f>(+C40-C46)/C46</f>
        <v>#N/A</v>
      </c>
      <c r="D48" s="66"/>
      <c r="E48" s="68" t="e">
        <f>(+E40-E46)/E46</f>
        <v>#N/A</v>
      </c>
      <c r="F48" s="68" t="e">
        <f>(+F40-F46)/F46</f>
        <v>#N/A</v>
      </c>
      <c r="G48" s="68" t="e">
        <f>(+G40-G46)/G46</f>
        <v>#N/A</v>
      </c>
      <c r="H48" s="67"/>
      <c r="I48" s="67"/>
      <c r="J48" s="67"/>
      <c r="K48" s="69" t="e">
        <f>(+K40-K46)/K46</f>
        <v>#N/A</v>
      </c>
      <c r="L48" s="67"/>
      <c r="M48" s="68" t="e">
        <f>(+M40-M46)/M46</f>
        <v>#N/A</v>
      </c>
      <c r="N48" s="68" t="e">
        <f>(+N40-N46)/N46</f>
        <v>#N/A</v>
      </c>
      <c r="O48" s="68" t="e">
        <f>(+O40-O46)/O46</f>
        <v>#N/A</v>
      </c>
      <c r="P48" s="67"/>
      <c r="Q48" s="67"/>
      <c r="R48" s="67"/>
      <c r="S48" s="68" t="e">
        <f>(+S40-S46)/S46</f>
        <v>#N/A</v>
      </c>
      <c r="T48" s="139" t="e">
        <f>(+T40-T46)/T46</f>
        <v>#DIV/0!</v>
      </c>
      <c r="U48" s="70" t="e">
        <f>(+U40-U46)/U46</f>
        <v>#DIV/0!</v>
      </c>
      <c r="V48" s="66"/>
      <c r="W48" s="68" t="e">
        <f>(+W40-W46)/W46</f>
        <v>#N/A</v>
      </c>
      <c r="X48" s="68" t="e">
        <f>(+X40-X46)/X46</f>
        <v>#N/A</v>
      </c>
      <c r="Y48" s="68" t="e">
        <f>(+Y40-Y46)/Y46</f>
        <v>#N/A</v>
      </c>
      <c r="Z48" s="68"/>
      <c r="AA48" s="68"/>
      <c r="AB48" s="68"/>
      <c r="AC48" s="68"/>
      <c r="AD48" s="139" t="e">
        <f t="shared" ref="AD48:AI48" si="27">(+AD40-AD46)/AD46</f>
        <v>#N/A</v>
      </c>
      <c r="AE48" s="68" t="e">
        <f t="shared" si="27"/>
        <v>#N/A</v>
      </c>
      <c r="AF48" s="68" t="e">
        <f t="shared" si="27"/>
        <v>#N/A</v>
      </c>
      <c r="AG48" s="68" t="e">
        <f t="shared" si="27"/>
        <v>#N/A</v>
      </c>
      <c r="AH48" s="68" t="e">
        <f t="shared" si="27"/>
        <v>#N/A</v>
      </c>
      <c r="AI48" s="68" t="e">
        <f t="shared" si="27"/>
        <v>#N/A</v>
      </c>
      <c r="AJ48" s="67"/>
      <c r="AK48" s="70" t="e">
        <f>(+AK40-AK46)/AK46</f>
        <v>#N/A</v>
      </c>
      <c r="AL48" s="68" t="e">
        <f>(+AL40-AL46)/AL46</f>
        <v>#N/A</v>
      </c>
      <c r="AM48" s="69"/>
      <c r="AN48" s="68" t="e">
        <f>(+AN40-AN46)/AN46</f>
        <v>#DIV/0!</v>
      </c>
      <c r="AO48" s="68" t="e">
        <f>(+AO40-AO46)/AO46</f>
        <v>#N/A</v>
      </c>
      <c r="AP48" s="69"/>
      <c r="AQ48" s="68"/>
      <c r="AR48" s="68"/>
      <c r="AS48" s="68"/>
      <c r="AT48" s="68"/>
      <c r="AU48" s="68"/>
      <c r="AV48" s="68" t="e">
        <f>(+AV40-AV46)/AV46</f>
        <v>#N/A</v>
      </c>
      <c r="AW48" s="71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8" ht="12" thickBot="1" x14ac:dyDescent="0.25">
      <c r="A49" s="72" t="s">
        <v>83</v>
      </c>
      <c r="B49" s="73"/>
      <c r="C49" s="73"/>
      <c r="D49" s="72"/>
      <c r="E49" s="74" t="e">
        <f>+E40-E46</f>
        <v>#N/A</v>
      </c>
      <c r="F49" s="74" t="e">
        <f>+F40-F46</f>
        <v>#N/A</v>
      </c>
      <c r="G49" s="74" t="e">
        <f>+G40-G46</f>
        <v>#N/A</v>
      </c>
      <c r="H49" s="73"/>
      <c r="I49" s="73"/>
      <c r="J49" s="73"/>
      <c r="K49" s="75" t="e">
        <f>+K40-K46</f>
        <v>#N/A</v>
      </c>
      <c r="L49" s="73"/>
      <c r="M49" s="74" t="e">
        <f>+M40-M46</f>
        <v>#N/A</v>
      </c>
      <c r="N49" s="74" t="e">
        <f>+N40-N46</f>
        <v>#N/A</v>
      </c>
      <c r="O49" s="74" t="e">
        <f>+O40-O46</f>
        <v>#N/A</v>
      </c>
      <c r="P49" s="73"/>
      <c r="Q49" s="73"/>
      <c r="R49" s="73"/>
      <c r="S49" s="74" t="e">
        <f>+S40-S46</f>
        <v>#N/A</v>
      </c>
      <c r="T49" s="140" t="e">
        <f>+T40-T46</f>
        <v>#DIV/0!</v>
      </c>
      <c r="U49" s="76" t="e">
        <f>+U40-U46</f>
        <v>#DIV/0!</v>
      </c>
      <c r="V49" s="72"/>
      <c r="W49" s="74" t="e">
        <f>+W40-W46</f>
        <v>#N/A</v>
      </c>
      <c r="X49" s="74" t="e">
        <f>+X40-X46</f>
        <v>#N/A</v>
      </c>
      <c r="Y49" s="74" t="e">
        <f>+Y40-Y46</f>
        <v>#N/A</v>
      </c>
      <c r="Z49" s="74"/>
      <c r="AA49" s="74"/>
      <c r="AB49" s="74"/>
      <c r="AC49" s="74"/>
      <c r="AD49" s="140" t="e">
        <f t="shared" ref="AD49:AI49" si="28">+AD40-AD46</f>
        <v>#N/A</v>
      </c>
      <c r="AE49" s="74" t="e">
        <f t="shared" si="28"/>
        <v>#N/A</v>
      </c>
      <c r="AF49" s="74" t="e">
        <f t="shared" si="28"/>
        <v>#N/A</v>
      </c>
      <c r="AG49" s="74" t="e">
        <f t="shared" si="28"/>
        <v>#N/A</v>
      </c>
      <c r="AH49" s="74" t="e">
        <f t="shared" si="28"/>
        <v>#N/A</v>
      </c>
      <c r="AI49" s="74" t="e">
        <f t="shared" si="28"/>
        <v>#N/A</v>
      </c>
      <c r="AJ49" s="73"/>
      <c r="AK49" s="76" t="e">
        <f>+AK40-AK46</f>
        <v>#N/A</v>
      </c>
      <c r="AL49" s="74" t="e">
        <f>+AL40-AL46</f>
        <v>#N/A</v>
      </c>
      <c r="AM49" s="77"/>
      <c r="AN49" s="73"/>
      <c r="AO49" s="74" t="e">
        <f>+AO40-AO46</f>
        <v>#N/A</v>
      </c>
      <c r="AP49" s="77"/>
      <c r="AQ49" s="73"/>
      <c r="AR49" s="73"/>
      <c r="AS49" s="73"/>
      <c r="AT49" s="73"/>
      <c r="AU49" s="73"/>
      <c r="AV49" s="74" t="e">
        <f>+AV40-AV46</f>
        <v>#N/A</v>
      </c>
      <c r="AW49" s="77"/>
      <c r="BE49" s="3"/>
      <c r="BF49" s="3"/>
      <c r="BG49" s="3"/>
      <c r="BH49" s="237"/>
      <c r="BI49" s="237"/>
      <c r="BJ49" s="238"/>
      <c r="BK49" s="3"/>
      <c r="BL49" s="3"/>
      <c r="BM49" s="3"/>
      <c r="BN49" s="3"/>
    </row>
    <row r="50" spans="1:68" x14ac:dyDescent="0.2">
      <c r="BE50" s="3"/>
      <c r="BF50" s="3"/>
      <c r="BG50" s="3"/>
      <c r="BH50" s="3"/>
      <c r="BI50" s="3"/>
      <c r="BJ50" s="238"/>
      <c r="BK50" s="3"/>
      <c r="BL50" s="3"/>
      <c r="BM50" s="3"/>
      <c r="BN50" s="3"/>
    </row>
    <row r="51" spans="1:68" x14ac:dyDescent="0.2">
      <c r="BE51" s="3"/>
      <c r="BF51" s="3"/>
      <c r="BG51" s="3"/>
      <c r="BH51" s="237"/>
      <c r="BI51" s="237"/>
      <c r="BJ51" s="3"/>
      <c r="BK51" s="3"/>
      <c r="BL51" s="3"/>
      <c r="BM51" s="3"/>
      <c r="BN51" s="3"/>
    </row>
    <row r="52" spans="1:68" x14ac:dyDescent="0.2"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8" ht="12" thickBot="1" x14ac:dyDescent="0.25">
      <c r="A53" s="234" t="str">
        <f>+'Biyemas S.A.'!A53</f>
        <v>Reporte Flash Agosto 25</v>
      </c>
      <c r="B53" s="235"/>
      <c r="C53" s="235"/>
      <c r="D53" s="32"/>
      <c r="E53" s="115"/>
      <c r="F53" s="32"/>
      <c r="G53" s="32"/>
      <c r="H53" s="56"/>
      <c r="I53" s="33"/>
      <c r="J53" s="34"/>
      <c r="K53" s="57"/>
      <c r="L53" s="32"/>
      <c r="M53" s="116"/>
      <c r="N53" s="116"/>
      <c r="O53" s="116"/>
      <c r="P53" s="56"/>
      <c r="Q53" s="56"/>
      <c r="R53" s="34"/>
      <c r="S53" s="32"/>
      <c r="T53" s="32"/>
      <c r="U53" s="32"/>
      <c r="V53" s="32"/>
      <c r="W53" s="115"/>
      <c r="X53" s="32"/>
      <c r="Y53" s="32"/>
      <c r="Z53" s="57"/>
      <c r="AA53" s="57"/>
      <c r="AB53" s="57"/>
      <c r="AC53" s="57"/>
      <c r="AD53" s="57"/>
      <c r="AE53" s="57"/>
      <c r="AF53" s="57"/>
      <c r="AG53" s="32"/>
      <c r="AH53" s="32"/>
      <c r="AI53" s="32"/>
      <c r="AJ53" s="34"/>
      <c r="AK53" s="32"/>
      <c r="AL53" s="32"/>
      <c r="AM53" s="58"/>
      <c r="AN53" s="58"/>
      <c r="AO53" s="32"/>
      <c r="AP53" s="58"/>
      <c r="AQ53" s="58"/>
      <c r="AR53" s="58"/>
      <c r="AS53" s="58"/>
      <c r="AT53" s="58"/>
      <c r="AU53" s="58"/>
      <c r="AV53" s="59"/>
      <c r="AW53" s="34"/>
      <c r="AX53" s="34"/>
      <c r="AY53" s="34"/>
      <c r="BB53" s="60"/>
      <c r="BC53" s="60"/>
      <c r="BD53" s="60"/>
      <c r="BE53" s="60"/>
      <c r="BF53" s="60"/>
      <c r="BG53" s="60"/>
      <c r="BH53" s="60"/>
      <c r="BI53" s="60"/>
      <c r="BJ53" s="114"/>
      <c r="BK53" s="114"/>
      <c r="BL53" s="114"/>
      <c r="BM53" s="114"/>
      <c r="BN53" s="114"/>
    </row>
    <row r="54" spans="1:68" ht="13.5" customHeight="1" thickBot="1" x14ac:dyDescent="0.25">
      <c r="A54" s="92">
        <v>0</v>
      </c>
      <c r="B54" s="93" t="s">
        <v>4</v>
      </c>
      <c r="C54" s="94" t="e">
        <f>VLOOKUP(+BP54,'Datos Kandiko'!A9:BB145,3,0)</f>
        <v>#N/A</v>
      </c>
      <c r="D54" s="98"/>
      <c r="E54" s="94" t="e">
        <f>VLOOKUP(+BP54,'Datos Kandiko'!A9:BB145,5,0)</f>
        <v>#N/A</v>
      </c>
      <c r="F54" s="94" t="e">
        <f>VLOOKUP(+BP54,'Datos Kandiko'!A9:BB145,6,0)</f>
        <v>#N/A</v>
      </c>
      <c r="G54" s="94" t="e">
        <f>VLOOKUP(+BP54,'Datos Kandiko'!A9:BB145,7,0)</f>
        <v>#N/A</v>
      </c>
      <c r="H54" s="95"/>
      <c r="I54" s="96"/>
      <c r="J54" s="97"/>
      <c r="K54" s="141" t="s">
        <v>1</v>
      </c>
      <c r="L54" s="94"/>
      <c r="M54" s="94" t="e">
        <f>VLOOKUP(+BP54,'Datos Kandiko'!A9:BB145,13,0)</f>
        <v>#N/A</v>
      </c>
      <c r="N54" s="94" t="e">
        <f>VLOOKUP(+BP54,'Datos Kandiko'!A9:BB145,14,0)</f>
        <v>#N/A</v>
      </c>
      <c r="O54" s="94" t="e">
        <f>VLOOKUP(+BP54,'Datos Kandiko'!A9:BB145,15,0)</f>
        <v>#N/A</v>
      </c>
      <c r="P54" s="95"/>
      <c r="Q54" s="95"/>
      <c r="R54" s="99"/>
      <c r="S54" s="100"/>
      <c r="T54" s="101"/>
      <c r="U54" s="101"/>
      <c r="V54" s="98"/>
      <c r="W54" s="94" t="e">
        <f>VLOOKUP(+BP54,'Datos Kandiko'!A9:BB145,23,0)</f>
        <v>#N/A</v>
      </c>
      <c r="X54" s="94" t="e">
        <f>VLOOKUP(+BP54,'Datos Kandiko'!A9:BB145,24,0)</f>
        <v>#N/A</v>
      </c>
      <c r="Y54" s="94" t="e">
        <f>VLOOKUP(+BP54,'Datos Kandiko'!A9:BB145,25,0)</f>
        <v>#N/A</v>
      </c>
      <c r="Z54" s="94"/>
      <c r="AA54" s="94"/>
      <c r="AB54" s="94"/>
      <c r="AC54" s="94"/>
      <c r="AD54" s="98" t="e">
        <f>VLOOKUP(+BP54,'Datos Kandiko'!A9:BB145,30,0)</f>
        <v>#N/A</v>
      </c>
      <c r="AE54" s="94" t="e">
        <f>VLOOKUP(+BP54,'Datos Kandiko'!A9:BB145,31,0)</f>
        <v>#N/A</v>
      </c>
      <c r="AF54" s="141" t="e">
        <f>VLOOKUP(+BP54,'Datos Kandiko'!A9:BB145,32,0)</f>
        <v>#N/A</v>
      </c>
      <c r="AG54" s="94" t="e">
        <f>VLOOKUP(+BP54,'Datos Kandiko'!A9:BB145,33,0)</f>
        <v>#N/A</v>
      </c>
      <c r="AH54" s="94" t="e">
        <f>VLOOKUP(+BP54,'Datos Kandiko'!A9:BB145,34,0)</f>
        <v>#N/A</v>
      </c>
      <c r="AI54" s="94" t="e">
        <f>VLOOKUP(+BP54,'Datos Kandiko'!A9:BB145,35,0)</f>
        <v>#N/A</v>
      </c>
      <c r="AJ54" s="99"/>
      <c r="AK54" s="138" t="e">
        <f>VLOOKUP(+BP54,'Datos Kandiko'!A9:BB145,37,0)</f>
        <v>#N/A</v>
      </c>
      <c r="AL54" s="98" t="e">
        <f>VLOOKUP(+BP54,'Datos Kandiko'!A9:BB145,38,0)</f>
        <v>#N/A</v>
      </c>
      <c r="AM54" s="142"/>
      <c r="AN54" s="51" t="e">
        <f>VLOOKUP(+BP54,'Datos Kandiko'!A9:BL145,64,0)</f>
        <v>#N/A</v>
      </c>
      <c r="AO54" s="248" t="e">
        <f>VLOOKUP(+BP54,'Datos Kandiko'!A9:BF145,40,0)</f>
        <v>#N/A</v>
      </c>
      <c r="AP54" s="249"/>
      <c r="AQ54" s="282"/>
      <c r="AR54" s="282"/>
      <c r="AS54" s="282"/>
      <c r="AT54" s="282"/>
      <c r="AU54" s="282"/>
      <c r="AV54" s="94" t="e">
        <f>VLOOKUP(+BP54,'Datos Kandiko'!A9:BF145,47,0)</f>
        <v>#N/A</v>
      </c>
      <c r="AW54" s="103"/>
      <c r="BA54" s="175" t="e">
        <f>VLOOKUP(+BP54,'Datos Kandiko'!A9:BB145,47,0)</f>
        <v>#N/A</v>
      </c>
      <c r="BB54" s="171" t="e">
        <f>IF($AK54&gt;0,(C54-($BA54))/($BA$54),)</f>
        <v>#N/A</v>
      </c>
      <c r="BC54" s="175" t="e">
        <f>VLOOKUP(+BP54,'Datos Kandiko'!A9:BH145,60,0)</f>
        <v>#N/A</v>
      </c>
      <c r="BD54" s="171"/>
      <c r="BE54" s="172" t="e">
        <f>VLOOKUP(+BP54,'Datos Kandiko'!A9:BF145,54,0)</f>
        <v>#N/A</v>
      </c>
      <c r="BF54" s="173" t="e">
        <f>VLOOKUP(+BP54,'Datos Kandiko'!A9:BF145,55,0)</f>
        <v>#N/A</v>
      </c>
      <c r="BG54" s="173" t="e">
        <f>VLOOKUP(+BP54,'Datos Kandiko'!A9:BB145,51,0)</f>
        <v>#N/A</v>
      </c>
      <c r="BH54" s="223" t="e">
        <f>VLOOKUP(+BP54,'Datos Kandiko'!A9:BB145,52,0)</f>
        <v>#N/A</v>
      </c>
      <c r="BI54" s="173" t="e">
        <f>IF(VLOOKUP(+BP54,'Datos Kandiko'!A9:BB145,53,0)=0,IF(AO54&gt;1,1,VLOOKUP(+BP54,'Datos Kandiko'!A9:BB145,53,0)))</f>
        <v>#N/A</v>
      </c>
      <c r="BJ54" s="169" t="e">
        <f>BJ55/SUM(BJ55-BJ56)-1</f>
        <v>#N/A</v>
      </c>
      <c r="BK54" s="170" t="e">
        <f>BK55/SUM(BK55-BK56)-1</f>
        <v>#N/A</v>
      </c>
      <c r="BL54" s="170" t="e">
        <f>BL55/SUM(BL55-BL56)-1</f>
        <v>#N/A</v>
      </c>
      <c r="BM54" s="171" t="e">
        <f>BM55/SUM(BM55-BM56)-1</f>
        <v>#N/A</v>
      </c>
      <c r="BN54" s="272" t="e">
        <f>IF(VLOOKUP(+BP54,'Datos Kandiko'!A9:BF145,58,0)=0,IF(AO54&gt;1,1,VLOOKUP(+BP54,'Datos Kandiko'!A9:BF145,58,0)))</f>
        <v>#N/A</v>
      </c>
      <c r="BP54" s="39" t="s">
        <v>108</v>
      </c>
    </row>
    <row r="55" spans="1:68" ht="12" thickBot="1" x14ac:dyDescent="0.25">
      <c r="A55" s="88" t="s">
        <v>26</v>
      </c>
      <c r="B55" s="83"/>
      <c r="C55" s="84" t="e">
        <f>VLOOKUP(+BP55,'Datos Kandiko'!A9:BB145,3,0)</f>
        <v>#N/A</v>
      </c>
      <c r="D55" s="89" t="e">
        <f>VLOOKUP(+BP55,'Datos Kandiko'!A9:BB145,4,0)</f>
        <v>#N/A</v>
      </c>
      <c r="E55" s="84" t="e">
        <f>VLOOKUP(+BP55,'Datos Kandiko'!A9:BB145,5,0)</f>
        <v>#N/A</v>
      </c>
      <c r="F55" s="84" t="e">
        <f>VLOOKUP(+BP55,'Datos Kandiko'!A9:BB145,6,0)</f>
        <v>#N/A</v>
      </c>
      <c r="G55" s="84" t="e">
        <f>VLOOKUP(+BP55,'Datos Kandiko'!A9:BB145,7,0)</f>
        <v>#N/A</v>
      </c>
      <c r="H55" s="85" t="e">
        <f>+G55/E55</f>
        <v>#N/A</v>
      </c>
      <c r="I55" s="78" t="e">
        <f>+G55/F55</f>
        <v>#N/A</v>
      </c>
      <c r="J55" s="86" t="e">
        <f>+G55/C55</f>
        <v>#N/A</v>
      </c>
      <c r="K55" s="91" t="e">
        <f>+G55/D55</f>
        <v>#N/A</v>
      </c>
      <c r="L55" s="84" t="e">
        <f>VLOOKUP(+BP55,'Datos Kandiko'!A9:BB145,12,0)</f>
        <v>#N/A</v>
      </c>
      <c r="M55" s="84" t="e">
        <f>VLOOKUP(+BP55,'Datos Kandiko'!A9:BB145,13,0)</f>
        <v>#N/A</v>
      </c>
      <c r="N55" s="84" t="e">
        <f>VLOOKUP(+BP55,'Datos Kandiko'!A9:BB145,14,0)</f>
        <v>#N/A</v>
      </c>
      <c r="O55" s="84" t="e">
        <f>VLOOKUP(+BP55,'Datos Kandiko'!A9:BB145,15,0)</f>
        <v>#N/A</v>
      </c>
      <c r="P55" s="85" t="e">
        <f>+O55/M55</f>
        <v>#N/A</v>
      </c>
      <c r="Q55" s="85" t="e">
        <f>+O55/N55</f>
        <v>#N/A</v>
      </c>
      <c r="R55" s="87" t="e">
        <f>+O55/C55</f>
        <v>#N/A</v>
      </c>
      <c r="S55" s="102" t="e">
        <f>+O55/L55</f>
        <v>#N/A</v>
      </c>
      <c r="T55" s="90" t="e">
        <f>+SUM(O55+G55)/+SUM(D55+L55)</f>
        <v>#N/A</v>
      </c>
      <c r="U55" s="79" t="e">
        <f>+D55+L55</f>
        <v>#N/A</v>
      </c>
      <c r="V55" s="84" t="e">
        <f>VLOOKUP(+BP55,'Datos Kandiko'!A9:BB145,22,0)</f>
        <v>#N/A</v>
      </c>
      <c r="W55" s="84" t="e">
        <f>VLOOKUP(+BP55,'Datos Kandiko'!A9:BB145,23,0)</f>
        <v>#N/A</v>
      </c>
      <c r="X55" s="84" t="e">
        <f>VLOOKUP(+BP55,'Datos Kandiko'!A9:BB145,24,0)</f>
        <v>#N/A</v>
      </c>
      <c r="Y55" s="84" t="e">
        <f>VLOOKUP(+BP55,'Datos Kandiko'!A9:BB145,25,0)</f>
        <v>#N/A</v>
      </c>
      <c r="Z55" s="85" t="e">
        <f>+Y55/W55</f>
        <v>#N/A</v>
      </c>
      <c r="AA55" s="85" t="e">
        <f>+Y55/X55</f>
        <v>#N/A</v>
      </c>
      <c r="AB55" s="87" t="e">
        <f>+Y55/M55</f>
        <v>#N/A</v>
      </c>
      <c r="AC55" s="84" t="e">
        <f>VLOOKUP(+BP55,'Datos Kandiko'!A9:BB145,29,0)</f>
        <v>#N/A</v>
      </c>
      <c r="AD55" s="89" t="e">
        <f>VLOOKUP(+BP55,'Datos Kandiko'!A9:BB145,30,0)</f>
        <v>#N/A</v>
      </c>
      <c r="AE55" s="84" t="e">
        <f>VLOOKUP(+BP55,'Datos Kandiko'!A9:BB145,31,0)</f>
        <v>#N/A</v>
      </c>
      <c r="AF55" s="91" t="e">
        <f>VLOOKUP(+BP55,'Datos Kandiko'!A9:BB145,32,0)</f>
        <v>#N/A</v>
      </c>
      <c r="AG55" s="80" t="e">
        <f>VLOOKUP(+BP55,'Datos Kandiko'!A9:BB145,33,0)</f>
        <v>#N/A</v>
      </c>
      <c r="AH55" s="80" t="e">
        <f>VLOOKUP(+BP55,'Datos Kandiko'!A9:BB145,34,0)</f>
        <v>#N/A</v>
      </c>
      <c r="AI55" s="84" t="e">
        <f>VLOOKUP(+BP55,'Datos Kandiko'!A9:BB145,35,0)</f>
        <v>#N/A</v>
      </c>
      <c r="AJ55" s="87" t="e">
        <f>+AI55/C55</f>
        <v>#N/A</v>
      </c>
      <c r="AK55" s="137" t="e">
        <f>VLOOKUP(+BP55,'Datos Kandiko'!A9:BB145,37,0)</f>
        <v>#N/A</v>
      </c>
      <c r="AL55" s="81" t="e">
        <f>VLOOKUP(+BP55,'Datos Kandiko'!A9:BB145,38,0)</f>
        <v>#N/A</v>
      </c>
      <c r="AM55" s="143" t="e">
        <f>+AL55/C55</f>
        <v>#N/A</v>
      </c>
      <c r="AN55" s="245" t="e">
        <f>+AN54/Resumen!D1</f>
        <v>#N/A</v>
      </c>
      <c r="AO55" s="84" t="e">
        <f>VLOOKUP(+BP55,'Datos Kandiko'!A9:BF145,40,0)</f>
        <v>#N/A</v>
      </c>
      <c r="AP55" s="143" t="e">
        <f>+AO55/AN55</f>
        <v>#N/A</v>
      </c>
      <c r="AQ55" s="245"/>
      <c r="AR55" s="245"/>
      <c r="AS55" s="245"/>
      <c r="AT55" s="245"/>
      <c r="AU55" s="245"/>
      <c r="AV55" s="80" t="e">
        <f>VLOOKUP(+BP55,'Datos Kandiko'!A9:BF145,47,0)</f>
        <v>#N/A</v>
      </c>
      <c r="AW55" s="82" t="e">
        <f>+AV55/C55</f>
        <v>#N/A</v>
      </c>
      <c r="BB55" s="61" t="s">
        <v>48</v>
      </c>
      <c r="BC55" s="61"/>
      <c r="BD55" s="61"/>
      <c r="BE55" s="62" t="e">
        <f>+AV55</f>
        <v>#N/A</v>
      </c>
      <c r="BF55" s="62" t="e">
        <f>+AD55</f>
        <v>#N/A</v>
      </c>
      <c r="BG55" s="62" t="e">
        <f>+AI55</f>
        <v>#N/A</v>
      </c>
      <c r="BH55" s="62" t="e">
        <f>+AL55</f>
        <v>#N/A</v>
      </c>
      <c r="BI55" s="62" t="e">
        <f>+AO55</f>
        <v>#N/A</v>
      </c>
      <c r="BJ55" s="63" t="e">
        <f>+BE55</f>
        <v>#N/A</v>
      </c>
      <c r="BK55" s="63" t="e">
        <f t="shared" ref="BK55:BM55" si="29">+BF55</f>
        <v>#N/A</v>
      </c>
      <c r="BL55" s="63" t="e">
        <f t="shared" si="29"/>
        <v>#N/A</v>
      </c>
      <c r="BM55" s="63" t="e">
        <f t="shared" si="29"/>
        <v>#N/A</v>
      </c>
      <c r="BN55" s="63"/>
      <c r="BP55" s="39" t="s">
        <v>109</v>
      </c>
    </row>
    <row r="56" spans="1:68" ht="12" thickBot="1" x14ac:dyDescent="0.25">
      <c r="C56" s="32"/>
      <c r="D56" s="32"/>
      <c r="E56" s="32"/>
      <c r="F56" s="32"/>
      <c r="G56" s="32"/>
      <c r="H56" s="56"/>
      <c r="I56" s="33"/>
      <c r="J56" s="34"/>
      <c r="K56" s="57"/>
      <c r="L56" s="32"/>
      <c r="M56" s="32"/>
      <c r="N56" s="32"/>
      <c r="O56" s="32"/>
      <c r="P56" s="56"/>
      <c r="Q56" s="56"/>
      <c r="R56" s="34"/>
      <c r="S56" s="32"/>
      <c r="T56" s="32"/>
      <c r="U56" s="32"/>
      <c r="V56" s="32"/>
      <c r="W56" s="32"/>
      <c r="X56" s="32"/>
      <c r="Y56" s="32"/>
      <c r="Z56" s="57"/>
      <c r="AA56" s="57"/>
      <c r="AB56" s="57"/>
      <c r="AC56" s="57"/>
      <c r="AD56" s="32"/>
      <c r="AE56" s="32"/>
      <c r="AF56" s="32"/>
      <c r="AG56" s="32"/>
      <c r="AH56" s="32"/>
      <c r="AI56" s="32"/>
      <c r="AJ56" s="34"/>
      <c r="AK56" s="32"/>
      <c r="AL56" s="32"/>
      <c r="AM56" s="58"/>
      <c r="AN56" s="58"/>
      <c r="AO56" s="32"/>
      <c r="AP56" s="58"/>
      <c r="AQ56" s="58"/>
      <c r="AR56" s="58"/>
      <c r="AS56" s="58"/>
      <c r="AT56" s="58"/>
      <c r="AU56" s="58"/>
      <c r="AV56" s="59"/>
      <c r="AW56" s="34"/>
      <c r="AX56" s="34"/>
      <c r="AY56" s="34"/>
      <c r="BB56" s="60" t="s">
        <v>49</v>
      </c>
      <c r="BC56" s="60"/>
      <c r="BD56" s="60"/>
      <c r="BE56" s="64" t="e">
        <f>VLOOKUP(+BP56,'Datos Kandiko'!AY4:BG171,4,0)</f>
        <v>#N/A</v>
      </c>
      <c r="BF56" s="64" t="e">
        <f>VLOOKUP(+BP56,'Datos Kandiko'!AY4:BG171,5,0)</f>
        <v>#N/A</v>
      </c>
      <c r="BG56" s="64" t="e">
        <f>VLOOKUP(+BP56,'Datos Kandiko'!AY4:BG171,6,0)</f>
        <v>#N/A</v>
      </c>
      <c r="BH56" s="64" t="e">
        <f>VLOOKUP(+BP56,'Datos Kandiko'!AY4:BG171,7,0)</f>
        <v>#N/A</v>
      </c>
      <c r="BI56" s="64" t="e">
        <f>IF(BI54&gt;=0,(SUM(BI55+(BI54*BI55))*BI54),SUM(BI55-(BI55*BI54))*BI54)</f>
        <v>#N/A</v>
      </c>
      <c r="BJ56" s="65" t="e">
        <f>VLOOKUP(+BP56,'Datos Kandiko'!AY4:BG171,9,0)</f>
        <v>#N/A</v>
      </c>
      <c r="BK56" s="65" t="e">
        <f>VLOOKUP(+BP56,'Datos Kandiko'!AY4:BH171,10,0)</f>
        <v>#N/A</v>
      </c>
      <c r="BL56" s="65" t="e">
        <f>VLOOKUP(+BP56,'Datos Kandiko'!AY4:BG171,11,0)</f>
        <v>#N/A</v>
      </c>
      <c r="BM56" s="65" t="e">
        <f>VLOOKUP(+BP56,'Datos Kandiko'!AY4:BG171,12,0)</f>
        <v>#N/A</v>
      </c>
      <c r="BN56" s="64" t="e">
        <f>IF(BN54&gt;=0,(SUM(BN55+(BN54*BN55))*BN54),SUM(BN55-(BN55*BN54))*BN54)</f>
        <v>#N/A</v>
      </c>
      <c r="BP56" s="39" t="s">
        <v>117</v>
      </c>
    </row>
    <row r="57" spans="1:68" ht="12.75" thickTop="1" thickBot="1" x14ac:dyDescent="0.25">
      <c r="A57" s="66" t="s">
        <v>82</v>
      </c>
      <c r="B57" s="67"/>
      <c r="C57" s="68" t="e">
        <f>(+C40-C55)/C55</f>
        <v>#N/A</v>
      </c>
      <c r="D57" s="66"/>
      <c r="E57" s="68" t="e">
        <f>(+E40-E55)/E55</f>
        <v>#N/A</v>
      </c>
      <c r="F57" s="68" t="e">
        <f>(+F40-F55)/F55</f>
        <v>#N/A</v>
      </c>
      <c r="G57" s="68" t="e">
        <f>(+G40-G55)/G55</f>
        <v>#N/A</v>
      </c>
      <c r="H57" s="67"/>
      <c r="I57" s="67"/>
      <c r="J57" s="67"/>
      <c r="K57" s="69" t="e">
        <f>(+K40-K55)/K55</f>
        <v>#N/A</v>
      </c>
      <c r="L57" s="67"/>
      <c r="M57" s="68" t="e">
        <f>(+M40-M55)/M55</f>
        <v>#N/A</v>
      </c>
      <c r="N57" s="68" t="e">
        <f>(+N40-N55)/N55</f>
        <v>#N/A</v>
      </c>
      <c r="O57" s="68" t="e">
        <f>(+O40-O55)/O55</f>
        <v>#N/A</v>
      </c>
      <c r="P57" s="67"/>
      <c r="Q57" s="67"/>
      <c r="R57" s="67"/>
      <c r="S57" s="69" t="e">
        <f>(+S40-S55)/S55</f>
        <v>#N/A</v>
      </c>
      <c r="T57" s="69" t="e">
        <f>(+T40-T55)/T55</f>
        <v>#DIV/0!</v>
      </c>
      <c r="U57" s="69" t="e">
        <f>(+U40-U55)/U55</f>
        <v>#DIV/0!</v>
      </c>
      <c r="V57" s="66"/>
      <c r="W57" s="68" t="e">
        <f>(+W40-W55)/W55</f>
        <v>#N/A</v>
      </c>
      <c r="X57" s="68" t="e">
        <f>(+X40-X55)/X55</f>
        <v>#N/A</v>
      </c>
      <c r="Y57" s="68" t="e">
        <f>(+Y40-Y55)/Y55</f>
        <v>#N/A</v>
      </c>
      <c r="Z57" s="68"/>
      <c r="AA57" s="68"/>
      <c r="AB57" s="68"/>
      <c r="AC57" s="68"/>
      <c r="AD57" s="139" t="e">
        <f t="shared" ref="AD57:AI57" si="30">(+AD40-AD55)/AD55</f>
        <v>#N/A</v>
      </c>
      <c r="AE57" s="68" t="e">
        <f t="shared" si="30"/>
        <v>#N/A</v>
      </c>
      <c r="AF57" s="68" t="e">
        <f t="shared" si="30"/>
        <v>#N/A</v>
      </c>
      <c r="AG57" s="68" t="e">
        <f t="shared" si="30"/>
        <v>#N/A</v>
      </c>
      <c r="AH57" s="68" t="e">
        <f t="shared" si="30"/>
        <v>#N/A</v>
      </c>
      <c r="AI57" s="68" t="e">
        <f t="shared" si="30"/>
        <v>#N/A</v>
      </c>
      <c r="AJ57" s="67"/>
      <c r="AK57" s="70" t="e">
        <f>(+AK40-AK55)/AK55</f>
        <v>#N/A</v>
      </c>
      <c r="AL57" s="68" t="e">
        <f>(+AL40-AL55)/AL55</f>
        <v>#N/A</v>
      </c>
      <c r="AM57" s="69"/>
      <c r="AN57" s="68" t="e">
        <f>(+AN40-AN55)/AN55</f>
        <v>#DIV/0!</v>
      </c>
      <c r="AO57" s="68" t="e">
        <f>(+AO40-AO55)/AO55</f>
        <v>#N/A</v>
      </c>
      <c r="AP57" s="69"/>
      <c r="AQ57" s="68"/>
      <c r="AR57" s="68"/>
      <c r="AS57" s="68"/>
      <c r="AT57" s="68"/>
      <c r="AU57" s="68"/>
      <c r="AV57" s="68" t="e">
        <f>(+AV40-AV55)/AV55</f>
        <v>#N/A</v>
      </c>
      <c r="AW57" s="71"/>
      <c r="BE57" s="3"/>
      <c r="BF57" s="3"/>
      <c r="BG57" s="3"/>
      <c r="BH57" s="3"/>
      <c r="BI57" s="3"/>
      <c r="BJ57" s="3"/>
      <c r="BK57" s="3"/>
      <c r="BL57" s="3"/>
    </row>
    <row r="58" spans="1:68" ht="12" thickBot="1" x14ac:dyDescent="0.25">
      <c r="A58" s="72" t="s">
        <v>83</v>
      </c>
      <c r="B58" s="73"/>
      <c r="C58" s="73"/>
      <c r="D58" s="72"/>
      <c r="E58" s="74" t="e">
        <f>+E40-E55</f>
        <v>#N/A</v>
      </c>
      <c r="F58" s="74" t="e">
        <f>+F40-F55</f>
        <v>#N/A</v>
      </c>
      <c r="G58" s="74" t="e">
        <f>+G40-G55</f>
        <v>#N/A</v>
      </c>
      <c r="H58" s="73"/>
      <c r="I58" s="73"/>
      <c r="J58" s="73"/>
      <c r="K58" s="75" t="e">
        <f>+K40-K55</f>
        <v>#N/A</v>
      </c>
      <c r="L58" s="73"/>
      <c r="M58" s="74" t="e">
        <f>+M40-M55</f>
        <v>#N/A</v>
      </c>
      <c r="N58" s="74" t="e">
        <f>+N40-N55</f>
        <v>#N/A</v>
      </c>
      <c r="O58" s="74" t="e">
        <f>+O40-O55</f>
        <v>#N/A</v>
      </c>
      <c r="P58" s="73"/>
      <c r="Q58" s="73"/>
      <c r="R58" s="73"/>
      <c r="S58" s="75" t="e">
        <f>+S40-S55</f>
        <v>#N/A</v>
      </c>
      <c r="T58" s="75" t="e">
        <f>+T40-T55</f>
        <v>#DIV/0!</v>
      </c>
      <c r="U58" s="75" t="e">
        <f>+U40-U55</f>
        <v>#DIV/0!</v>
      </c>
      <c r="V58" s="72"/>
      <c r="W58" s="74" t="e">
        <f>+W40-W55</f>
        <v>#N/A</v>
      </c>
      <c r="X58" s="74" t="e">
        <f>+X40-X55</f>
        <v>#N/A</v>
      </c>
      <c r="Y58" s="74" t="e">
        <f>+Y40-Y55</f>
        <v>#N/A</v>
      </c>
      <c r="Z58" s="74"/>
      <c r="AA58" s="74"/>
      <c r="AB58" s="74"/>
      <c r="AC58" s="74"/>
      <c r="AD58" s="140" t="e">
        <f t="shared" ref="AD58:AI58" si="31">+AD40-AD55</f>
        <v>#N/A</v>
      </c>
      <c r="AE58" s="74" t="e">
        <f t="shared" si="31"/>
        <v>#N/A</v>
      </c>
      <c r="AF58" s="74" t="e">
        <f t="shared" si="31"/>
        <v>#N/A</v>
      </c>
      <c r="AG58" s="74" t="e">
        <f t="shared" si="31"/>
        <v>#N/A</v>
      </c>
      <c r="AH58" s="74" t="e">
        <f t="shared" si="31"/>
        <v>#N/A</v>
      </c>
      <c r="AI58" s="74" t="e">
        <f t="shared" si="31"/>
        <v>#N/A</v>
      </c>
      <c r="AJ58" s="73"/>
      <c r="AK58" s="76" t="e">
        <f>+AK40-AK55</f>
        <v>#N/A</v>
      </c>
      <c r="AL58" s="74" t="e">
        <f>+AL40-AL55</f>
        <v>#N/A</v>
      </c>
      <c r="AM58" s="77"/>
      <c r="AN58" s="73" t="e">
        <f>+AN40-AN55</f>
        <v>#DIV/0!</v>
      </c>
      <c r="AO58" s="74" t="e">
        <f>+AO40-AO55</f>
        <v>#N/A</v>
      </c>
      <c r="AP58" s="77"/>
      <c r="AQ58" s="73"/>
      <c r="AR58" s="73"/>
      <c r="AS58" s="73"/>
      <c r="AT58" s="73"/>
      <c r="AU58" s="73"/>
      <c r="AV58" s="74" t="e">
        <f>+AV40-AV55</f>
        <v>#N/A</v>
      </c>
      <c r="AW58" s="77"/>
      <c r="BK58" s="114"/>
    </row>
    <row r="59" spans="1:68" x14ac:dyDescent="0.2">
      <c r="BJ59" s="232"/>
    </row>
    <row r="60" spans="1:68" x14ac:dyDescent="0.2">
      <c r="BJ60" s="114"/>
      <c r="BK60" s="233"/>
    </row>
  </sheetData>
  <mergeCells count="23">
    <mergeCell ref="D4:K4"/>
    <mergeCell ref="L4:S4"/>
    <mergeCell ref="V4:AC4"/>
    <mergeCell ref="AG4:AJ4"/>
    <mergeCell ref="AL4:AM4"/>
    <mergeCell ref="D5:K5"/>
    <mergeCell ref="V5:AC5"/>
    <mergeCell ref="BA5:BA6"/>
    <mergeCell ref="BB5:BB6"/>
    <mergeCell ref="BE5:BE6"/>
    <mergeCell ref="BJ4:BM4"/>
    <mergeCell ref="AY4:AZ4"/>
    <mergeCell ref="BF5:BF6"/>
    <mergeCell ref="AN4:AP4"/>
    <mergeCell ref="BC4:BD4"/>
    <mergeCell ref="BC5:BC6"/>
    <mergeCell ref="BD5:BD6"/>
    <mergeCell ref="BA4:BB4"/>
    <mergeCell ref="BE4:BI4"/>
    <mergeCell ref="BG5:BG6"/>
    <mergeCell ref="BH5:BH6"/>
    <mergeCell ref="BI5:BI6"/>
    <mergeCell ref="AQ4:AU4"/>
  </mergeCells>
  <printOptions horizontalCentered="1"/>
  <pageMargins left="7.874015748031496E-2" right="0.11811023622047245" top="0.39370078740157483" bottom="0.98425196850393704" header="0" footer="0"/>
  <pageSetup paperSize="5" scale="72" orientation="landscape" r:id="rId1"/>
  <headerFooter alignWithMargins="0"/>
  <ignoredErrors>
    <ignoredError sqref="BB3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60"/>
  <sheetViews>
    <sheetView showGridLines="0" showZeros="0" workbookViewId="0">
      <pane xSplit="3" ySplit="6" topLeftCell="D7" activePane="bottomRight" state="frozen"/>
      <selection activeCell="AU7" sqref="AU7"/>
      <selection pane="topRight" activeCell="AU7" sqref="AU7"/>
      <selection pane="bottomLeft" activeCell="AU7" sqref="AU7"/>
      <selection pane="bottomRight" activeCell="B48" sqref="B48"/>
    </sheetView>
  </sheetViews>
  <sheetFormatPr defaultColWidth="11.42578125" defaultRowHeight="11.25" x14ac:dyDescent="0.2"/>
  <cols>
    <col min="1" max="1" width="11.88671875" style="39" customWidth="1"/>
    <col min="2" max="2" width="9.6640625" style="39" bestFit="1" customWidth="1"/>
    <col min="3" max="3" width="9.109375" style="39" customWidth="1"/>
    <col min="4" max="4" width="5.33203125" style="39" customWidth="1"/>
    <col min="5" max="5" width="10.88671875" style="39" bestFit="1" customWidth="1"/>
    <col min="6" max="6" width="10.109375" style="39" customWidth="1"/>
    <col min="7" max="7" width="10" style="39" customWidth="1"/>
    <col min="8" max="8" width="7.109375" style="39" customWidth="1"/>
    <col min="9" max="9" width="6.33203125" style="39" customWidth="1"/>
    <col min="10" max="10" width="6.5546875" style="39" bestFit="1" customWidth="1"/>
    <col min="11" max="11" width="8" style="39" bestFit="1" customWidth="1"/>
    <col min="12" max="12" width="6.33203125" style="39" customWidth="1"/>
    <col min="13" max="13" width="11.33203125" style="39" bestFit="1" customWidth="1"/>
    <col min="14" max="14" width="10.109375" style="39" bestFit="1" customWidth="1"/>
    <col min="15" max="15" width="10" style="39" bestFit="1" customWidth="1"/>
    <col min="16" max="16" width="7.44140625" style="39" bestFit="1" customWidth="1"/>
    <col min="17" max="17" width="6.5546875" style="39" customWidth="1"/>
    <col min="18" max="18" width="7.44140625" style="39" bestFit="1" customWidth="1"/>
    <col min="19" max="19" width="8" style="39" customWidth="1"/>
    <col min="20" max="20" width="10.44140625" style="39" bestFit="1" customWidth="1"/>
    <col min="21" max="21" width="10.44140625" style="39" customWidth="1"/>
    <col min="22" max="22" width="6.5546875" style="39" hidden="1" customWidth="1"/>
    <col min="23" max="23" width="11.109375" style="39" hidden="1" customWidth="1"/>
    <col min="24" max="25" width="10.109375" style="39" hidden="1" customWidth="1"/>
    <col min="26" max="26" width="8.88671875" style="39" hidden="1" customWidth="1"/>
    <col min="27" max="29" width="6.5546875" style="39" hidden="1" customWidth="1"/>
    <col min="30" max="32" width="10.6640625" style="39" customWidth="1"/>
    <col min="33" max="33" width="9.109375" style="39" bestFit="1" customWidth="1"/>
    <col min="34" max="34" width="9.109375" style="39" customWidth="1"/>
    <col min="35" max="35" width="9.109375" style="39" bestFit="1" customWidth="1"/>
    <col min="36" max="36" width="6.33203125" style="39" customWidth="1"/>
    <col min="37" max="37" width="10.44140625" style="39" bestFit="1" customWidth="1"/>
    <col min="38" max="39" width="9.44140625" style="39" customWidth="1"/>
    <col min="40" max="40" width="14.44140625" style="39" bestFit="1" customWidth="1"/>
    <col min="41" max="42" width="9.44140625" style="39" customWidth="1"/>
    <col min="43" max="43" width="11.109375" style="39" bestFit="1" customWidth="1"/>
    <col min="44" max="44" width="10.88671875" style="39" bestFit="1" customWidth="1"/>
    <col min="45" max="45" width="10" style="39" bestFit="1" customWidth="1"/>
    <col min="46" max="46" width="10.5546875" style="39" bestFit="1" customWidth="1"/>
    <col min="47" max="47" width="10" style="39" bestFit="1" customWidth="1"/>
    <col min="48" max="48" width="12.5546875" style="39" bestFit="1" customWidth="1"/>
    <col min="49" max="49" width="7.33203125" style="39" customWidth="1"/>
    <col min="50" max="50" width="4.5546875" style="39" customWidth="1"/>
    <col min="51" max="52" width="8.6640625" style="39" customWidth="1"/>
    <col min="53" max="53" width="10" style="39" bestFit="1" customWidth="1"/>
    <col min="54" max="56" width="8.6640625" style="39" customWidth="1"/>
    <col min="57" max="57" width="11.5546875" style="39" customWidth="1"/>
    <col min="58" max="58" width="10" style="39" bestFit="1" customWidth="1"/>
    <col min="59" max="61" width="9.44140625" style="39" customWidth="1"/>
    <col min="62" max="62" width="11.5546875" style="39" customWidth="1"/>
    <col min="63" max="63" width="10" style="39" bestFit="1" customWidth="1"/>
    <col min="64" max="66" width="9.44140625" style="39" customWidth="1"/>
    <col min="67" max="67" width="11.44140625" style="39"/>
    <col min="68" max="76" width="11.44140625" style="39" hidden="1" customWidth="1"/>
    <col min="77" max="77" width="11.44140625" style="39" customWidth="1"/>
    <col min="78" max="78" width="11.33203125" style="39" customWidth="1"/>
    <col min="79" max="79" width="11.44140625" style="39" customWidth="1"/>
    <col min="80" max="16384" width="11.44140625" style="39"/>
  </cols>
  <sheetData>
    <row r="1" spans="1:68" x14ac:dyDescent="0.2">
      <c r="A1" s="2" t="s">
        <v>34</v>
      </c>
      <c r="C1" s="191" t="s">
        <v>115</v>
      </c>
      <c r="D1" s="146">
        <f>COUNT(C7:C37)</f>
        <v>0</v>
      </c>
      <c r="F1" s="189"/>
      <c r="X1" s="57"/>
    </row>
    <row r="2" spans="1:68" ht="10.5" customHeight="1" x14ac:dyDescent="0.2">
      <c r="A2" s="2"/>
      <c r="E2" s="61"/>
      <c r="N2" s="32"/>
      <c r="W2" s="61"/>
      <c r="X2" s="32"/>
      <c r="Y2" s="32"/>
      <c r="BE2" s="104"/>
      <c r="BF2" s="104"/>
      <c r="BG2" s="104"/>
      <c r="BH2" s="104"/>
      <c r="BI2" s="104"/>
    </row>
    <row r="3" spans="1:68" ht="12" customHeight="1" thickBot="1" x14ac:dyDescent="0.25">
      <c r="A3" s="234" t="str">
        <f>+'Biyemas S.A.'!A3</f>
        <v>Reporte Flash Agosto 26</v>
      </c>
      <c r="B3" s="235"/>
      <c r="C3" s="235"/>
      <c r="D3" s="236"/>
      <c r="E3" s="144"/>
      <c r="F3" s="144"/>
      <c r="G3" s="144"/>
      <c r="H3" s="144"/>
      <c r="I3" s="144"/>
      <c r="J3" s="144"/>
      <c r="K3" s="144"/>
    </row>
    <row r="4" spans="1:68" ht="14.25" customHeight="1" thickBot="1" x14ac:dyDescent="0.25">
      <c r="A4" s="17" t="s">
        <v>1</v>
      </c>
      <c r="B4" s="44" t="s">
        <v>2</v>
      </c>
      <c r="C4" s="53" t="s">
        <v>2</v>
      </c>
      <c r="D4" s="299" t="s">
        <v>16</v>
      </c>
      <c r="E4" s="300"/>
      <c r="F4" s="300"/>
      <c r="G4" s="300"/>
      <c r="H4" s="300"/>
      <c r="I4" s="300"/>
      <c r="J4" s="300"/>
      <c r="K4" s="301"/>
      <c r="L4" s="286" t="s">
        <v>114</v>
      </c>
      <c r="M4" s="302"/>
      <c r="N4" s="302"/>
      <c r="O4" s="302"/>
      <c r="P4" s="302"/>
      <c r="Q4" s="302"/>
      <c r="R4" s="302"/>
      <c r="S4" s="303"/>
      <c r="T4" s="18" t="s">
        <v>21</v>
      </c>
      <c r="U4" s="18" t="s">
        <v>39</v>
      </c>
      <c r="V4" s="299" t="s">
        <v>86</v>
      </c>
      <c r="W4" s="300"/>
      <c r="X4" s="300"/>
      <c r="Y4" s="300"/>
      <c r="Z4" s="300"/>
      <c r="AA4" s="300"/>
      <c r="AB4" s="300"/>
      <c r="AC4" s="301"/>
      <c r="AD4" s="147" t="s">
        <v>94</v>
      </c>
      <c r="AE4" s="148" t="s">
        <v>21</v>
      </c>
      <c r="AF4" s="148"/>
      <c r="AG4" s="286" t="s">
        <v>18</v>
      </c>
      <c r="AH4" s="302"/>
      <c r="AI4" s="302"/>
      <c r="AJ4" s="303"/>
      <c r="AK4" s="2"/>
      <c r="AL4" s="286" t="s">
        <v>85</v>
      </c>
      <c r="AM4" s="303"/>
      <c r="AN4" s="286" t="s">
        <v>121</v>
      </c>
      <c r="AO4" s="302"/>
      <c r="AP4" s="303"/>
      <c r="AQ4" s="286" t="s">
        <v>131</v>
      </c>
      <c r="AR4" s="287"/>
      <c r="AS4" s="287"/>
      <c r="AT4" s="287"/>
      <c r="AU4" s="288"/>
      <c r="AV4" s="2"/>
      <c r="AW4" s="2"/>
      <c r="AY4" s="316" t="s">
        <v>41</v>
      </c>
      <c r="AZ4" s="315"/>
      <c r="BA4" s="316" t="s">
        <v>47</v>
      </c>
      <c r="BB4" s="315"/>
      <c r="BC4" s="316" t="s">
        <v>123</v>
      </c>
      <c r="BD4" s="315"/>
      <c r="BE4" s="296" t="s">
        <v>110</v>
      </c>
      <c r="BF4" s="297"/>
      <c r="BG4" s="297"/>
      <c r="BH4" s="297"/>
      <c r="BI4" s="298"/>
      <c r="BJ4" s="328" t="s">
        <v>81</v>
      </c>
      <c r="BK4" s="329"/>
      <c r="BL4" s="329"/>
      <c r="BM4" s="330"/>
      <c r="BN4" s="268"/>
    </row>
    <row r="5" spans="1:68" ht="14.25" customHeight="1" x14ac:dyDescent="0.2">
      <c r="A5" s="20" t="s">
        <v>1</v>
      </c>
      <c r="B5" s="21" t="s">
        <v>2</v>
      </c>
      <c r="C5" s="54" t="s">
        <v>2</v>
      </c>
      <c r="D5" s="304" t="s">
        <v>113</v>
      </c>
      <c r="E5" s="305"/>
      <c r="F5" s="305"/>
      <c r="G5" s="305"/>
      <c r="H5" s="305"/>
      <c r="I5" s="305"/>
      <c r="J5" s="305"/>
      <c r="K5" s="306"/>
      <c r="L5" s="45"/>
      <c r="M5" s="46"/>
      <c r="N5" s="46"/>
      <c r="O5" s="146" t="s">
        <v>84</v>
      </c>
      <c r="P5" s="21" t="s">
        <v>31</v>
      </c>
      <c r="Q5" s="21" t="s">
        <v>31</v>
      </c>
      <c r="R5" s="21" t="s">
        <v>5</v>
      </c>
      <c r="S5" s="22" t="s">
        <v>5</v>
      </c>
      <c r="T5" s="165" t="s">
        <v>35</v>
      </c>
      <c r="U5" s="19" t="s">
        <v>37</v>
      </c>
      <c r="V5" s="307" t="s">
        <v>113</v>
      </c>
      <c r="W5" s="308"/>
      <c r="X5" s="308"/>
      <c r="Y5" s="308"/>
      <c r="Z5" s="308"/>
      <c r="AA5" s="308"/>
      <c r="AB5" s="308"/>
      <c r="AC5" s="309"/>
      <c r="AD5" s="152" t="s">
        <v>42</v>
      </c>
      <c r="AE5" s="153" t="s">
        <v>95</v>
      </c>
      <c r="AF5" s="153" t="s">
        <v>96</v>
      </c>
      <c r="AG5" s="20" t="s">
        <v>20</v>
      </c>
      <c r="AH5" s="21"/>
      <c r="AI5" s="21" t="s">
        <v>22</v>
      </c>
      <c r="AJ5" s="22"/>
      <c r="AK5" s="44" t="s">
        <v>6</v>
      </c>
      <c r="AL5" s="20" t="s">
        <v>3</v>
      </c>
      <c r="AM5" s="22"/>
      <c r="AN5" s="20"/>
      <c r="AO5" s="21"/>
      <c r="AP5" s="22"/>
      <c r="AQ5" s="20"/>
      <c r="AR5" s="21"/>
      <c r="AS5" s="21"/>
      <c r="AT5" s="21"/>
      <c r="AU5" s="22"/>
      <c r="AV5" s="44" t="s">
        <v>45</v>
      </c>
      <c r="AW5" s="105" t="s">
        <v>5</v>
      </c>
      <c r="AY5" s="217" t="s">
        <v>84</v>
      </c>
      <c r="AZ5" s="240" t="s">
        <v>40</v>
      </c>
      <c r="BA5" s="310" t="s">
        <v>50</v>
      </c>
      <c r="BB5" s="312" t="s">
        <v>46</v>
      </c>
      <c r="BC5" s="317" t="s">
        <v>50</v>
      </c>
      <c r="BD5" s="312" t="s">
        <v>46</v>
      </c>
      <c r="BE5" s="289" t="s">
        <v>39</v>
      </c>
      <c r="BF5" s="289" t="s">
        <v>42</v>
      </c>
      <c r="BG5" s="289" t="s">
        <v>43</v>
      </c>
      <c r="BH5" s="289" t="s">
        <v>44</v>
      </c>
      <c r="BI5" s="294" t="s">
        <v>122</v>
      </c>
      <c r="BJ5" s="218" t="s">
        <v>39</v>
      </c>
      <c r="BK5" s="219" t="s">
        <v>42</v>
      </c>
      <c r="BL5" s="220" t="s">
        <v>43</v>
      </c>
      <c r="BM5" s="221" t="s">
        <v>44</v>
      </c>
      <c r="BN5" s="264" t="s">
        <v>122</v>
      </c>
    </row>
    <row r="6" spans="1:68" ht="14.25" customHeight="1" thickBot="1" x14ac:dyDescent="0.25">
      <c r="A6" s="187" t="s">
        <v>7</v>
      </c>
      <c r="B6" s="23" t="s">
        <v>8</v>
      </c>
      <c r="C6" s="26" t="s">
        <v>28</v>
      </c>
      <c r="D6" s="24" t="s">
        <v>11</v>
      </c>
      <c r="E6" s="23" t="s">
        <v>17</v>
      </c>
      <c r="F6" s="23" t="s">
        <v>29</v>
      </c>
      <c r="G6" s="23" t="s">
        <v>10</v>
      </c>
      <c r="H6" s="23" t="s">
        <v>30</v>
      </c>
      <c r="I6" s="23" t="s">
        <v>29</v>
      </c>
      <c r="J6" s="23" t="s">
        <v>9</v>
      </c>
      <c r="K6" s="26" t="s">
        <v>12</v>
      </c>
      <c r="L6" s="24" t="s">
        <v>27</v>
      </c>
      <c r="M6" s="23" t="s">
        <v>17</v>
      </c>
      <c r="N6" s="23" t="s">
        <v>29</v>
      </c>
      <c r="O6" s="23" t="s">
        <v>21</v>
      </c>
      <c r="P6" s="23" t="s">
        <v>30</v>
      </c>
      <c r="Q6" s="23" t="s">
        <v>29</v>
      </c>
      <c r="R6" s="23" t="s">
        <v>9</v>
      </c>
      <c r="S6" s="26" t="s">
        <v>13</v>
      </c>
      <c r="T6" s="25" t="s">
        <v>36</v>
      </c>
      <c r="U6" s="25" t="s">
        <v>38</v>
      </c>
      <c r="V6" s="24" t="s">
        <v>11</v>
      </c>
      <c r="W6" s="23" t="s">
        <v>17</v>
      </c>
      <c r="X6" s="23" t="s">
        <v>29</v>
      </c>
      <c r="Y6" s="23" t="s">
        <v>10</v>
      </c>
      <c r="Z6" s="23" t="s">
        <v>30</v>
      </c>
      <c r="AA6" s="23" t="s">
        <v>29</v>
      </c>
      <c r="AB6" s="23" t="s">
        <v>9</v>
      </c>
      <c r="AC6" s="26" t="s">
        <v>12</v>
      </c>
      <c r="AD6" s="149" t="s">
        <v>21</v>
      </c>
      <c r="AE6" s="150" t="s">
        <v>21</v>
      </c>
      <c r="AF6" s="151"/>
      <c r="AG6" s="24" t="s">
        <v>19</v>
      </c>
      <c r="AH6" s="23" t="s">
        <v>24</v>
      </c>
      <c r="AI6" s="23" t="s">
        <v>23</v>
      </c>
      <c r="AJ6" s="26" t="s">
        <v>9</v>
      </c>
      <c r="AK6" s="23" t="s">
        <v>14</v>
      </c>
      <c r="AL6" s="24" t="s">
        <v>24</v>
      </c>
      <c r="AM6" s="26" t="s">
        <v>9</v>
      </c>
      <c r="AN6" s="20" t="s">
        <v>123</v>
      </c>
      <c r="AO6" s="21" t="s">
        <v>24</v>
      </c>
      <c r="AP6" s="22" t="s">
        <v>124</v>
      </c>
      <c r="AQ6" s="24" t="s">
        <v>126</v>
      </c>
      <c r="AR6" s="23" t="s">
        <v>127</v>
      </c>
      <c r="AS6" s="23" t="s">
        <v>128</v>
      </c>
      <c r="AT6" s="23" t="s">
        <v>129</v>
      </c>
      <c r="AU6" s="26" t="s">
        <v>130</v>
      </c>
      <c r="AV6" s="23" t="s">
        <v>25</v>
      </c>
      <c r="AW6" s="26" t="s">
        <v>9</v>
      </c>
      <c r="AY6" s="182"/>
      <c r="AZ6" s="257">
        <f>+'Datos Rebisco'!AT8</f>
        <v>0</v>
      </c>
      <c r="BA6" s="311"/>
      <c r="BB6" s="313"/>
      <c r="BC6" s="311"/>
      <c r="BD6" s="313"/>
      <c r="BE6" s="290"/>
      <c r="BF6" s="290"/>
      <c r="BG6" s="290"/>
      <c r="BH6" s="290"/>
      <c r="BI6" s="295"/>
      <c r="BJ6" s="216">
        <f>+BK6+BL6+BM6+BN6</f>
        <v>0</v>
      </c>
      <c r="BK6" s="183">
        <f>+'Datos Rebisco'!BH8</f>
        <v>0</v>
      </c>
      <c r="BL6" s="183">
        <f>+'Datos Rebisco'!BD8</f>
        <v>0</v>
      </c>
      <c r="BM6" s="184">
        <f>+'Datos Rebisco'!BE8</f>
        <v>0</v>
      </c>
      <c r="BN6" s="265">
        <v>0</v>
      </c>
    </row>
    <row r="7" spans="1:68" ht="11.25" customHeight="1" x14ac:dyDescent="0.2">
      <c r="A7" s="201" t="str">
        <f>IF(BP7='Datos Rebisco'!A9,'Datos Rebisco'!A9,"")</f>
        <v/>
      </c>
      <c r="B7" s="202" t="str">
        <f>IF(BP7=A7,'Datos Rebisco'!B9,"")</f>
        <v/>
      </c>
      <c r="C7" s="203" t="str">
        <f>IF(BP7=A7,'Datos Rebisco'!C9,"")</f>
        <v/>
      </c>
      <c r="D7" s="111" t="str">
        <f>IF(BP7=A7,VLOOKUP(B7,'Datos Rebisco'!B9:BB46,3,0),"")</f>
        <v/>
      </c>
      <c r="E7" s="107" t="str">
        <f>IF(BP7=A7,VLOOKUP(B7,'Datos Rebisco'!B9:BB46,4,0),"")</f>
        <v/>
      </c>
      <c r="F7" s="107" t="str">
        <f>IF(BP7=A7,VLOOKUP(B7,'Datos Rebisco'!B9:BB46,5,0),"")</f>
        <v/>
      </c>
      <c r="G7" s="107" t="str">
        <f>IF(BP7=A7,VLOOKUP(B7,'Datos Rebisco'!B9:BB46,6,0),"")</f>
        <v/>
      </c>
      <c r="H7" s="108" t="str">
        <f t="shared" ref="H7:H37" si="0">IF(BP7=A7,IF(E7&gt;0,+G7/E7,0),"")</f>
        <v/>
      </c>
      <c r="I7" s="108" t="str">
        <f t="shared" ref="I7:I37" si="1">IF(A7="","",IF(F7&gt;0,+G7/F7,0))</f>
        <v/>
      </c>
      <c r="J7" s="109" t="str">
        <f t="shared" ref="J7:J37" si="2">IF(A7="","",IF(G7&gt;0,+G7/C7,0))</f>
        <v/>
      </c>
      <c r="K7" s="106" t="str">
        <f t="shared" ref="K7:K37" si="3">IF(A7="","",IF(G7&gt;0,+G7/D7,0))</f>
        <v/>
      </c>
      <c r="L7" s="111" t="str">
        <f>IF(A7="","",VLOOKUP(B7,'Datos Rebisco'!B9:BB46,11,0))</f>
        <v/>
      </c>
      <c r="M7" s="107" t="str">
        <f>IF(A7="","",VLOOKUP(B7,'Datos Rebisco'!B9:BB46,12,0))</f>
        <v/>
      </c>
      <c r="N7" s="107" t="str">
        <f>IF(A7="","",VLOOKUP(B7,'Datos Rebisco'!B9:BB46,13,0))</f>
        <v/>
      </c>
      <c r="O7" s="107" t="str">
        <f>IF(A7="","",VLOOKUP(B7,'Datos Rebisco'!B9:BB46,14,0))</f>
        <v/>
      </c>
      <c r="P7" s="108" t="str">
        <f>IF(A7="","",IF(M7&gt;0,+O7/M7,0))</f>
        <v/>
      </c>
      <c r="Q7" s="108" t="str">
        <f>IF(A7="","",IF(N7&gt;0,+O7/N7,0))</f>
        <v/>
      </c>
      <c r="R7" s="109" t="str">
        <f t="shared" ref="R7:R37" si="4">IF(A7="","",IF(C7&gt;0,+O7/C7,0))</f>
        <v/>
      </c>
      <c r="S7" s="106" t="str">
        <f t="shared" ref="S7:S37" si="5">IF(A7="","",IF(C7&gt;0,+O7/L7,0))</f>
        <v/>
      </c>
      <c r="T7" s="110" t="str">
        <f>IF(A7="","",IF(G7&gt;0,(G7+O7)/(D7+L7),0))</f>
        <v/>
      </c>
      <c r="U7" s="110" t="str">
        <f>IF(A7="","",IF(D7&gt;0,+L7+D7,0))</f>
        <v/>
      </c>
      <c r="V7" s="111" t="str">
        <f>IF(A7="","",VLOOKUP(B7,'Datos Rebisco'!B9:BB46,21,0))</f>
        <v/>
      </c>
      <c r="W7" s="107" t="str">
        <f>IF(A7="","",VLOOKUP(B7,'Datos Rebisco'!B9:BB46,22,0))</f>
        <v/>
      </c>
      <c r="X7" s="107" t="str">
        <f>IF(A7="","",VLOOKUP(B7,'Datos Rebisco'!B9:BB46,23,0))</f>
        <v/>
      </c>
      <c r="Y7" s="107" t="str">
        <f>IF(A7="","",VLOOKUP(B7,'Datos Rebisco'!B9:BB46,24,0))</f>
        <v/>
      </c>
      <c r="Z7" s="108" t="str">
        <f>IF(A7="","",IF(W7&gt;0,+Y7/W7,0))</f>
        <v/>
      </c>
      <c r="AA7" s="108" t="str">
        <f>IF(A7="","",IF(X7&gt;0,+Y7/X7,0))</f>
        <v/>
      </c>
      <c r="AB7" s="109" t="str">
        <f>IF(A7="","",IF(Y7&gt;0,+Y7/K7,0))</f>
        <v/>
      </c>
      <c r="AC7" s="106" t="str">
        <f>IF(A7="","",IF(Y7&gt;0,+Y7/V7,0))</f>
        <v/>
      </c>
      <c r="AD7" s="111" t="str">
        <f>IF(A7="","",+G7+O7+Y7)</f>
        <v/>
      </c>
      <c r="AE7" s="107" t="str">
        <f>IF(A7="","",VLOOKUP(B7,'Datos Rebisco'!B9:BB46,30,0))</f>
        <v/>
      </c>
      <c r="AF7" s="106" t="str">
        <f>IF(A7="","",+AD7-AE7)</f>
        <v/>
      </c>
      <c r="AG7" s="107" t="str">
        <f>IF(A7="","",VLOOKUP(B7,'Datos Rebisco'!B9:BB46,32,0))</f>
        <v/>
      </c>
      <c r="AH7" s="107" t="str">
        <f>IF(A7="","",VLOOKUP(B7,'Datos Rebisco'!B9:BB46,33,0))</f>
        <v/>
      </c>
      <c r="AI7" s="107" t="str">
        <f>IF(A7="","",VLOOKUP(B7,'Datos Rebisco'!B9:BB46,34,0))</f>
        <v/>
      </c>
      <c r="AJ7" s="109" t="str">
        <f>IF(A7="","",IF(AI7&gt;0,+AI7/C7,0))</f>
        <v/>
      </c>
      <c r="AK7" s="111" t="str">
        <f>IF(A7="","",+G7+O7+AI7+Y7)</f>
        <v/>
      </c>
      <c r="AL7" s="111" t="str">
        <f>IF(A7="","",VLOOKUP(B7,'Datos Rebisco'!B9:BB46,37,0))</f>
        <v/>
      </c>
      <c r="AM7" s="112" t="str">
        <f>IF(A7="","",IF(AL7&gt;0,+AL7/C7,0))</f>
        <v/>
      </c>
      <c r="AN7" s="273" t="str">
        <f>IF(BP7=A7,'Datos Rebisco'!BL9,"")</f>
        <v/>
      </c>
      <c r="AO7" s="32" t="str">
        <f>IF(A7="","",VLOOKUP(B7,'Datos Rebisco'!B9:BF46,39,0))</f>
        <v/>
      </c>
      <c r="AP7" s="112" t="str">
        <f>IF(A7="","",IF(AN7&gt;0,+AO7/AN7,0))</f>
        <v/>
      </c>
      <c r="AQ7" s="32" t="str">
        <f>IF(A7="","",VLOOKUP(B7,'Datos Rebisco'!B9:BH46,41,0))</f>
        <v/>
      </c>
      <c r="AR7" s="32" t="str">
        <f>IF(A7="","",VLOOKUP(B7,'Datos Rebisco'!B9:BI46,42,0))</f>
        <v/>
      </c>
      <c r="AS7" s="32" t="str">
        <f>IF(A7="","",VLOOKUP(B7,'Datos Rebisco'!B9:BJ46,43,0))</f>
        <v/>
      </c>
      <c r="AT7" s="32" t="str">
        <f>IF(A7="","",VLOOKUP(B7,'Datos Rebisco'!B9:BK46,44,0))</f>
        <v/>
      </c>
      <c r="AU7" s="244" t="str">
        <f>IF(A7="","",VLOOKUP(B7,'Datos Biyemas'!B9:BL46,45,0))</f>
        <v/>
      </c>
      <c r="AV7" s="111" t="str">
        <f>IF(A7="","",+AD7+AI7+AL7+AO7)</f>
        <v/>
      </c>
      <c r="AW7" s="209" t="str">
        <f>IF(A7="","",IF(AV7&gt;0,+AV7/C7,0))</f>
        <v/>
      </c>
      <c r="AY7" s="176" t="str">
        <f>IF(A7="","",+'Datos Rebisco'!AY9)</f>
        <v/>
      </c>
      <c r="AZ7" s="258" t="str">
        <f>IF(A7="","",IF($AZ$6&gt;0,+AY7-$AZ$6,))</f>
        <v/>
      </c>
      <c r="BA7" s="254" t="str">
        <f>IF(A7="","",VLOOKUP(B7,'Datos Rebisco'!B9:BF46,51,0))</f>
        <v/>
      </c>
      <c r="BB7" s="181" t="str">
        <f>IF(A7="","",IF(BA7&gt;0,(C7-BA7)/BA7,100%))</f>
        <v/>
      </c>
      <c r="BC7" s="176" t="str">
        <f>IF(BP7=A7,'Datos Rebisco'!BL9,"")</f>
        <v/>
      </c>
      <c r="BD7" s="181" t="str">
        <f>IF(A7="","",IF(AN7=BC7,0,IF(BC7&gt;0,(AN7-BC7)/BC7,1)))</f>
        <v/>
      </c>
      <c r="BE7" s="29" t="str">
        <f>IF(A7="","",VLOOKUP(B7,'Datos Rebisco'!B9:BF46,53,0))</f>
        <v/>
      </c>
      <c r="BF7" s="28" t="str">
        <f>IF(A7="","",VLOOKUP(B7,'Datos Rebisco'!B9:BF46,54,0))</f>
        <v/>
      </c>
      <c r="BG7" s="28" t="str">
        <f>IF(A7="","",VLOOKUP(B7,'Datos Rebisco'!B9:BF46,55,0))</f>
        <v/>
      </c>
      <c r="BH7" s="28" t="str">
        <f>IF(A7="","",VLOOKUP(B7,'Datos Rebisco'!B9:BF46,51,0))</f>
        <v/>
      </c>
      <c r="BI7" s="28" t="str">
        <f>IF(A7="","",IF(VLOOKUP(B7,'Datos Rebisco'!B9:BF46,52,0)=0%,IF(AO7&gt;1,1,VLOOKUP(B7,'Datos Rebisco'!B9:BF46,52,0))))</f>
        <v/>
      </c>
      <c r="BJ7" s="210" t="str">
        <f>IF(A7="","",VLOOKUP(B7,'Datos Rebisco'!B9:BH46,58,0))</f>
        <v/>
      </c>
      <c r="BK7" s="177" t="str">
        <f>IF(A7="","",VLOOKUP(B7,'Datos Rebisco'!B9:BH46,59,0))</f>
        <v/>
      </c>
      <c r="BL7" s="178" t="str">
        <f>IF(A7="","",VLOOKUP(B7,'Datos Rebisco'!B9:BF46,55,0))</f>
        <v/>
      </c>
      <c r="BM7" s="179" t="str">
        <f>IF(A7="","",VLOOKUP(B7,'Datos Rebisco'!B9:BF46,56,0))</f>
        <v/>
      </c>
      <c r="BN7" s="266" t="str">
        <f>IF(A7="","",IF(VLOOKUP(B7,'Datos Rebisco'!B9:BF46,57,0)=0,IF(AO7&gt;1,1,VLOOKUP(B7,'Datos Rebisco'!B9:BF46,57,0))))</f>
        <v/>
      </c>
      <c r="BO7" s="59"/>
      <c r="BP7" s="190" t="str">
        <f>+'Biyemas S.A.'!BP7</f>
        <v xml:space="preserve">Sab/Sat    </v>
      </c>
    </row>
    <row r="8" spans="1:68" ht="11.25" customHeight="1" x14ac:dyDescent="0.2">
      <c r="A8" s="188" t="str">
        <f>IF(BP8='Datos Rebisco'!A10,'Datos Rebisco'!A10,"")</f>
        <v/>
      </c>
      <c r="B8" s="185" t="str">
        <f>IF(BP8=A8,'Datos Rebisco'!B10,"")</f>
        <v/>
      </c>
      <c r="C8" s="186" t="str">
        <f>IF(BP8=A8,'Datos Rebisco'!C10,"")</f>
        <v/>
      </c>
      <c r="D8" s="37" t="str">
        <f>IF(BP8=A8,VLOOKUP(B8,'Datos Rebisco'!B10:BB47,3,0),"")</f>
        <v/>
      </c>
      <c r="E8" s="32" t="str">
        <f>IF(BP8=A8,VLOOKUP(B8,'Datos Rebisco'!B10:BB47,4,0),"")</f>
        <v/>
      </c>
      <c r="F8" s="32" t="str">
        <f>IF(BP8=A8,VLOOKUP(B8,'Datos Rebisco'!B10:BB47,5,0),"")</f>
        <v/>
      </c>
      <c r="G8" s="32" t="str">
        <f>IF(BP8=A8,VLOOKUP(B8,'Datos Rebisco'!B10:BB47,6,0),"")</f>
        <v/>
      </c>
      <c r="H8" s="33" t="str">
        <f t="shared" si="0"/>
        <v/>
      </c>
      <c r="I8" s="33" t="str">
        <f t="shared" si="1"/>
        <v/>
      </c>
      <c r="J8" s="34" t="str">
        <f t="shared" si="2"/>
        <v/>
      </c>
      <c r="K8" s="31" t="str">
        <f t="shared" si="3"/>
        <v/>
      </c>
      <c r="L8" s="37" t="str">
        <f>IF(A8="","",VLOOKUP(B8,'Datos Rebisco'!B10:BB47,11,0))</f>
        <v/>
      </c>
      <c r="M8" s="32" t="str">
        <f>IF(A8="","",VLOOKUP(B8,'Datos Rebisco'!B10:BB47,12,0))</f>
        <v/>
      </c>
      <c r="N8" s="32" t="str">
        <f>IF(A8="","",VLOOKUP(B8,'Datos Rebisco'!B10:BB47,13,0))</f>
        <v/>
      </c>
      <c r="O8" s="32" t="str">
        <f>IF(A8="","",VLOOKUP(B8,'Datos Rebisco'!B10:BB47,14,0))</f>
        <v/>
      </c>
      <c r="P8" s="33" t="str">
        <f t="shared" ref="P8:P37" si="6">IF(A8="","",IF(M8&gt;0,+O8/M8,0))</f>
        <v/>
      </c>
      <c r="Q8" s="33" t="str">
        <f t="shared" ref="Q8:Q36" si="7">IF(A8="","",IF(N8&gt;0,+O8/N8,0))</f>
        <v/>
      </c>
      <c r="R8" s="34" t="str">
        <f t="shared" si="4"/>
        <v/>
      </c>
      <c r="S8" s="31" t="str">
        <f t="shared" si="5"/>
        <v/>
      </c>
      <c r="T8" s="35" t="str">
        <f t="shared" ref="T8:T37" si="8">IF(A8="","",IF(G8&gt;0,(G8+O8)/(D8+L8),0))</f>
        <v/>
      </c>
      <c r="U8" s="35" t="str">
        <f t="shared" ref="U8:U37" si="9">IF(A8="","",IF(D8&gt;0,+L8+D8,0))</f>
        <v/>
      </c>
      <c r="V8" s="37" t="str">
        <f>IF(A8="","",VLOOKUP(B8,'Datos Rebisco'!B10:BB47,21,0))</f>
        <v/>
      </c>
      <c r="W8" s="32" t="str">
        <f>IF(A8="","",VLOOKUP(B8,'Datos Rebisco'!B10:BB47,22,0))</f>
        <v/>
      </c>
      <c r="X8" s="32" t="str">
        <f>IF(A8="","",VLOOKUP(B8,'Datos Rebisco'!B10:BB47,23,0))</f>
        <v/>
      </c>
      <c r="Y8" s="32" t="str">
        <f>IF(A8="","",VLOOKUP(B8,'Datos Rebisco'!B10:BB47,24,0))</f>
        <v/>
      </c>
      <c r="Z8" s="33" t="str">
        <f t="shared" ref="Z8:Z37" si="10">IF(A8="","",IF(W8&gt;0,+Y8/W8,0))</f>
        <v/>
      </c>
      <c r="AA8" s="33" t="str">
        <f t="shared" ref="AA8:AA37" si="11">IF(A8="","",IF(X8&gt;0,+Y8/X8,0))</f>
        <v/>
      </c>
      <c r="AB8" s="34" t="str">
        <f t="shared" ref="AB8:AB37" si="12">IF(A8="","",IF(Y8&gt;0,+Y8/K8,0))</f>
        <v/>
      </c>
      <c r="AC8" s="31" t="str">
        <f t="shared" ref="AC8:AC37" si="13">IF(A8="","",IF(Y8&gt;0,+Y8/V8,0))</f>
        <v/>
      </c>
      <c r="AD8" s="37" t="str">
        <f t="shared" ref="AD8:AD37" si="14">IF(A8="","",+G8+O8+Y8)</f>
        <v/>
      </c>
      <c r="AE8" s="32" t="str">
        <f>IF(A8="","",VLOOKUP(B8,'Datos Rebisco'!B10:BB47,30,0))</f>
        <v/>
      </c>
      <c r="AF8" s="31" t="str">
        <f t="shared" ref="AF8:AF37" si="15">IF(A8="","",+AD8-AE8)</f>
        <v/>
      </c>
      <c r="AG8" s="32" t="str">
        <f>IF(A8="","",VLOOKUP(B8,'Datos Rebisco'!B10:BB47,32,0))</f>
        <v/>
      </c>
      <c r="AH8" s="32" t="str">
        <f>IF(A8="","",VLOOKUP(B8,'Datos Rebisco'!B10:BB47,33,0))</f>
        <v/>
      </c>
      <c r="AI8" s="32" t="str">
        <f>IF(A8="","",VLOOKUP(B8,'Datos Rebisco'!B10:BB47,34,0))</f>
        <v/>
      </c>
      <c r="AJ8" s="34" t="str">
        <f t="shared" ref="AJ8:AJ37" si="16">IF(A8="","",IF(AI8&gt;0,+AI8/C8,0))</f>
        <v/>
      </c>
      <c r="AK8" s="37" t="str">
        <f t="shared" ref="AK8:AK37" si="17">IF(A8="","",+G8+O8+AI8+Y8)</f>
        <v/>
      </c>
      <c r="AL8" s="37" t="str">
        <f>IF(A8="","",VLOOKUP(B8,'Datos Rebisco'!B10:BB47,37,0))</f>
        <v/>
      </c>
      <c r="AM8" s="36" t="str">
        <f t="shared" ref="AM8:AM37" si="18">IF(A8="","",IF(AL8&gt;0,+AL8/C8,0))</f>
        <v/>
      </c>
      <c r="AN8" s="274" t="str">
        <f>IF(BP8=A8,'Datos Rebisco'!BL10,"")</f>
        <v/>
      </c>
      <c r="AO8" s="32" t="str">
        <f>IF(A8="","",VLOOKUP(B8,'Datos Rebisco'!B10:BF47,39,0))</f>
        <v/>
      </c>
      <c r="AP8" s="36" t="str">
        <f>IF(A8="","",IF(AN8&gt;0,+AO8/AN8,0))</f>
        <v/>
      </c>
      <c r="AQ8" s="32" t="str">
        <f>IF(A8="","",VLOOKUP(B8,'Datos Rebisco'!B10:BH47,41,0))</f>
        <v/>
      </c>
      <c r="AR8" s="32" t="str">
        <f>IF(A8="","",VLOOKUP(B8,'Datos Rebisco'!B10:BI47,42,0))</f>
        <v/>
      </c>
      <c r="AS8" s="32" t="str">
        <f>IF(A8="","",VLOOKUP(B8,'Datos Rebisco'!B10:BJ47,43,0))</f>
        <v/>
      </c>
      <c r="AT8" s="32" t="str">
        <f>IF(A8="","",VLOOKUP(B8,'Datos Rebisco'!B10:BK47,44,0))</f>
        <v/>
      </c>
      <c r="AU8" s="58"/>
      <c r="AV8" s="37" t="str">
        <f>IF(A8="","",+AD8+AI8+AL8+AO8)</f>
        <v/>
      </c>
      <c r="AW8" s="38" t="str">
        <f t="shared" ref="AW8:AW37" si="19">IF(A8="","",IF(AV8&gt;0,+AV8/C8,0))</f>
        <v/>
      </c>
      <c r="AY8" s="180" t="str">
        <f>IF(A8="","",+'Datos Rebisco'!AY10)</f>
        <v/>
      </c>
      <c r="AZ8" s="258" t="str">
        <f t="shared" ref="AZ8:AZ38" si="20">IF(A8="","",IF($AZ$6&gt;0,+AY8-$AZ$6,))</f>
        <v/>
      </c>
      <c r="BA8" s="255" t="str">
        <f>IF(A8="","",VLOOKUP(B8,'Datos Rebisco'!B10:BF47,51,0))</f>
        <v/>
      </c>
      <c r="BB8" s="181" t="str">
        <f t="shared" ref="BB8:BB38" si="21">IF(A8="","",IF(BA8&gt;0,(C8-BA8)/BA8,100%))</f>
        <v/>
      </c>
      <c r="BC8" s="180" t="str">
        <f>IF(BP8=A8,'Datos Rebisco'!BL10,"")</f>
        <v/>
      </c>
      <c r="BD8" s="181" t="str">
        <f t="shared" ref="BD8:BD29" si="22">IF(A8="","",IF(AN8=BC8,0,IF(BC8&gt;0,(AN8-BC8)/BC8,1)))</f>
        <v/>
      </c>
      <c r="BE8" s="29" t="str">
        <f>IF(A8="","",VLOOKUP(B8,'Datos Rebisco'!B10:BF47,53,0))</f>
        <v/>
      </c>
      <c r="BF8" s="28" t="str">
        <f>IF(A8="","",VLOOKUP(B8,'Datos Rebisco'!B10:BF47,54,0))</f>
        <v/>
      </c>
      <c r="BG8" s="28" t="str">
        <f>IF(A8="","",VLOOKUP(B8,'Datos Rebisco'!B10:BF47,55,0))</f>
        <v/>
      </c>
      <c r="BH8" s="28" t="str">
        <f>IF(A8="","",VLOOKUP(B8,'Datos Rebisco'!B10:BF47,51,0))</f>
        <v/>
      </c>
      <c r="BI8" s="28" t="str">
        <f>IF(A8="","",IF(VLOOKUP(B8,'Datos Rebisco'!B10:BF47,52,0)=0%,IF(AO8&gt;1,1,VLOOKUP(B8,'Datos Rebisco'!B10:BF47,52,0))))</f>
        <v/>
      </c>
      <c r="BJ8" s="211" t="str">
        <f>IF(A8="","",VLOOKUP(B8,'Datos Rebisco'!B10:BH47,58,0))</f>
        <v/>
      </c>
      <c r="BK8" s="27" t="str">
        <f>IF(A8="","",VLOOKUP(B8,'Datos Rebisco'!B10:BH47,59,0))</f>
        <v/>
      </c>
      <c r="BL8" s="29" t="str">
        <f>IF(A8="","",VLOOKUP(B8,'Datos Rebisco'!B10:BF47,55,0))</f>
        <v/>
      </c>
      <c r="BM8" s="181" t="str">
        <f>IF(A8="","",VLOOKUP(B8,'Datos Rebisco'!B10:BF47,56,0))</f>
        <v/>
      </c>
      <c r="BN8" s="266" t="str">
        <f>IF(A8="","",IF(VLOOKUP(B8,'Datos Rebisco'!B10:BF47,57,0)=0,IF(AO8&gt;1,1,VLOOKUP(B8,'Datos Rebisco'!B10:BF47,57,0))))</f>
        <v/>
      </c>
      <c r="BO8" s="59"/>
      <c r="BP8" s="190" t="str">
        <f>+'Biyemas S.A.'!BP8</f>
        <v xml:space="preserve">Dom/Sun    </v>
      </c>
    </row>
    <row r="9" spans="1:68" s="30" customFormat="1" ht="11.25" customHeight="1" x14ac:dyDescent="0.2">
      <c r="A9" s="188" t="str">
        <f>IF(BP9='Datos Rebisco'!A11,'Datos Rebisco'!A11,"")</f>
        <v/>
      </c>
      <c r="B9" s="185" t="str">
        <f>IF(BP9=A9,'Datos Rebisco'!B11,"")</f>
        <v/>
      </c>
      <c r="C9" s="186" t="str">
        <f>IF(BP9=A9,'Datos Rebisco'!C11,"")</f>
        <v/>
      </c>
      <c r="D9" s="37" t="str">
        <f>IF(BP9=A9,VLOOKUP(B9,'Datos Rebisco'!B11:BB48,3,0),"")</f>
        <v/>
      </c>
      <c r="E9" s="32" t="str">
        <f>IF(BP9=A9,VLOOKUP(B9,'Datos Rebisco'!B11:BB48,4,0),"")</f>
        <v/>
      </c>
      <c r="F9" s="32" t="str">
        <f>IF(BP9=A9,VLOOKUP(B9,'Datos Rebisco'!B11:BB48,5,0),"")</f>
        <v/>
      </c>
      <c r="G9" s="32" t="str">
        <f>IF(BP9=A9,VLOOKUP(B9,'Datos Rebisco'!B11:BB48,6,0),"")</f>
        <v/>
      </c>
      <c r="H9" s="33" t="str">
        <f t="shared" si="0"/>
        <v/>
      </c>
      <c r="I9" s="33" t="str">
        <f t="shared" si="1"/>
        <v/>
      </c>
      <c r="J9" s="34" t="str">
        <f t="shared" si="2"/>
        <v/>
      </c>
      <c r="K9" s="31" t="str">
        <f t="shared" si="3"/>
        <v/>
      </c>
      <c r="L9" s="37" t="str">
        <f>IF(A9="","",VLOOKUP(B9,'Datos Rebisco'!B11:BB48,11,0))</f>
        <v/>
      </c>
      <c r="M9" s="32" t="str">
        <f>IF(A9="","",VLOOKUP(B9,'Datos Rebisco'!B11:BB48,12,0))</f>
        <v/>
      </c>
      <c r="N9" s="32" t="str">
        <f>IF(A9="","",VLOOKUP(B9,'Datos Rebisco'!B11:BB48,13,0))</f>
        <v/>
      </c>
      <c r="O9" s="32" t="str">
        <f>IF(A9="","",VLOOKUP(B9,'Datos Rebisco'!B11:BB48,14,0))</f>
        <v/>
      </c>
      <c r="P9" s="33" t="str">
        <f t="shared" si="6"/>
        <v/>
      </c>
      <c r="Q9" s="33" t="str">
        <f t="shared" si="7"/>
        <v/>
      </c>
      <c r="R9" s="34" t="str">
        <f t="shared" si="4"/>
        <v/>
      </c>
      <c r="S9" s="31" t="str">
        <f t="shared" si="5"/>
        <v/>
      </c>
      <c r="T9" s="35" t="str">
        <f t="shared" si="8"/>
        <v/>
      </c>
      <c r="U9" s="35" t="str">
        <f t="shared" si="9"/>
        <v/>
      </c>
      <c r="V9" s="37" t="str">
        <f>IF(A9="","",VLOOKUP(B9,'Datos Rebisco'!B11:BB48,21,0))</f>
        <v/>
      </c>
      <c r="W9" s="32" t="str">
        <f>IF(A9="","",VLOOKUP(B9,'Datos Rebisco'!B11:BB48,22,0))</f>
        <v/>
      </c>
      <c r="X9" s="32" t="str">
        <f>IF(A9="","",VLOOKUP(B9,'Datos Rebisco'!B11:BB48,23,0))</f>
        <v/>
      </c>
      <c r="Y9" s="32" t="str">
        <f>IF(A9="","",VLOOKUP(B9,'Datos Rebisco'!B11:BB48,24,0))</f>
        <v/>
      </c>
      <c r="Z9" s="33" t="str">
        <f t="shared" si="10"/>
        <v/>
      </c>
      <c r="AA9" s="33" t="str">
        <f t="shared" si="11"/>
        <v/>
      </c>
      <c r="AB9" s="34" t="str">
        <f t="shared" si="12"/>
        <v/>
      </c>
      <c r="AC9" s="31" t="str">
        <f t="shared" si="13"/>
        <v/>
      </c>
      <c r="AD9" s="37" t="str">
        <f t="shared" si="14"/>
        <v/>
      </c>
      <c r="AE9" s="32" t="str">
        <f>IF(A9="","",VLOOKUP(B9,'Datos Rebisco'!B11:BB48,30,0))</f>
        <v/>
      </c>
      <c r="AF9" s="31" t="str">
        <f t="shared" si="15"/>
        <v/>
      </c>
      <c r="AG9" s="32" t="str">
        <f>IF(A9="","",VLOOKUP(B9,'Datos Rebisco'!B11:BB48,32,0))</f>
        <v/>
      </c>
      <c r="AH9" s="32" t="str">
        <f>IF(A9="","",VLOOKUP(B9,'Datos Rebisco'!B11:BB48,33,0))</f>
        <v/>
      </c>
      <c r="AI9" s="32" t="str">
        <f>IF(A9="","",VLOOKUP(B9,'Datos Rebisco'!B11:BB48,34,0))</f>
        <v/>
      </c>
      <c r="AJ9" s="34" t="str">
        <f t="shared" si="16"/>
        <v/>
      </c>
      <c r="AK9" s="37" t="str">
        <f t="shared" si="17"/>
        <v/>
      </c>
      <c r="AL9" s="37" t="str">
        <f>IF(A9="","",VLOOKUP(B9,'Datos Rebisco'!B11:BB48,37,0))</f>
        <v/>
      </c>
      <c r="AM9" s="36" t="str">
        <f t="shared" si="18"/>
        <v/>
      </c>
      <c r="AN9" s="274" t="str">
        <f>IF(BP9=A9,'Datos Rebisco'!BL11,"")</f>
        <v/>
      </c>
      <c r="AO9" s="32" t="str">
        <f>IF(A9="","",VLOOKUP(B9,'Datos Rebisco'!B11:BF48,39,0))</f>
        <v/>
      </c>
      <c r="AP9" s="36" t="str">
        <f t="shared" ref="AP9:AP37" si="23">IF(A9="","",IF(AN9&gt;0,+AO9/AN9,0))</f>
        <v/>
      </c>
      <c r="AQ9" s="32" t="str">
        <f>IF(A9="","",VLOOKUP(B9,'Datos Rebisco'!B11:BH48,41,0))</f>
        <v/>
      </c>
      <c r="AR9" s="32" t="str">
        <f>IF(A9="","",VLOOKUP(B9,'Datos Rebisco'!B11:BI48,42,0))</f>
        <v/>
      </c>
      <c r="AS9" s="32" t="str">
        <f>IF(A9="","",VLOOKUP(B9,'Datos Rebisco'!B11:BJ48,43,0))</f>
        <v/>
      </c>
      <c r="AT9" s="32" t="str">
        <f>IF(A9="","",VLOOKUP(B9,'Datos Rebisco'!B11:BK48,44,0))</f>
        <v/>
      </c>
      <c r="AU9" s="58"/>
      <c r="AV9" s="37" t="str">
        <f t="shared" ref="AV9:AV37" si="24">IF(A9="","",+AD9+AI9+AL9+AO9)</f>
        <v/>
      </c>
      <c r="AW9" s="38" t="str">
        <f>IF(A9="","",IF(AV9&gt;0,+AV9/C9,0))</f>
        <v/>
      </c>
      <c r="AY9" s="180" t="str">
        <f>IF(A9="","",+'Datos Rebisco'!AY11)</f>
        <v/>
      </c>
      <c r="AZ9" s="258" t="str">
        <f t="shared" si="20"/>
        <v/>
      </c>
      <c r="BA9" s="255" t="str">
        <f>IF(A9="","",VLOOKUP(B9,'Datos Rebisco'!B11:BF48,51,0))</f>
        <v/>
      </c>
      <c r="BB9" s="181" t="str">
        <f t="shared" si="21"/>
        <v/>
      </c>
      <c r="BC9" s="180" t="str">
        <f>IF(BP9=A9,'Datos Rebisco'!BL11,"")</f>
        <v/>
      </c>
      <c r="BD9" s="181" t="str">
        <f t="shared" si="22"/>
        <v/>
      </c>
      <c r="BE9" s="29" t="str">
        <f>IF(A9="","",VLOOKUP(B9,'Datos Rebisco'!B11:BF48,53,0))</f>
        <v/>
      </c>
      <c r="BF9" s="28" t="str">
        <f>IF(A9="","",VLOOKUP(B9,'Datos Rebisco'!B11:BF48,54,0))</f>
        <v/>
      </c>
      <c r="BG9" s="28" t="str">
        <f>IF(A9="","",VLOOKUP(B9,'Datos Rebisco'!B11:BF48,55,0))</f>
        <v/>
      </c>
      <c r="BH9" s="28" t="str">
        <f>IF(A9="","",VLOOKUP(B9,'Datos Rebisco'!B11:BF48,51,0))</f>
        <v/>
      </c>
      <c r="BI9" s="28" t="str">
        <f>IF(A9="","",IF(VLOOKUP(B9,'Datos Rebisco'!B11:BF48,52,0)=0%,IF(AO9&gt;1,1,VLOOKUP(B9,'Datos Rebisco'!B11:BF48,52,0))))</f>
        <v/>
      </c>
      <c r="BJ9" s="211" t="str">
        <f>IF(A9="","",VLOOKUP(B9,'Datos Rebisco'!B11:BH48,58,0))</f>
        <v/>
      </c>
      <c r="BK9" s="27" t="str">
        <f>IF(A9="","",VLOOKUP(B9,'Datos Rebisco'!B11:BH48,59,0))</f>
        <v/>
      </c>
      <c r="BL9" s="29" t="str">
        <f>IF(A9="","",VLOOKUP(B9,'Datos Rebisco'!B11:BF48,55,0))</f>
        <v/>
      </c>
      <c r="BM9" s="181" t="str">
        <f>IF(A9="","",VLOOKUP(B9,'Datos Rebisco'!B11:BF48,56,0))</f>
        <v/>
      </c>
      <c r="BN9" s="266" t="str">
        <f>IF(A9="","",IF(VLOOKUP(B9,'Datos Rebisco'!B11:BF48,57,0)=0,IF(AO9&gt;1,1,VLOOKUP(B9,'Datos Rebisco'!B11:BF48,57,0))))</f>
        <v/>
      </c>
      <c r="BO9" s="59"/>
      <c r="BP9" s="190" t="str">
        <f>+'Biyemas S.A.'!BP9</f>
        <v xml:space="preserve">Lun/Mon    </v>
      </c>
    </row>
    <row r="10" spans="1:68" s="30" customFormat="1" x14ac:dyDescent="0.2">
      <c r="A10" s="188" t="str">
        <f>IF(BP10='Datos Rebisco'!A12,'Datos Rebisco'!A12,"")</f>
        <v/>
      </c>
      <c r="B10" s="185" t="str">
        <f>IF(BP10=A10,'Datos Rebisco'!B12,"")</f>
        <v/>
      </c>
      <c r="C10" s="186" t="str">
        <f>IF(BP10=A10,'Datos Rebisco'!C12,"")</f>
        <v/>
      </c>
      <c r="D10" s="37" t="str">
        <f>IF(BP10=A10,VLOOKUP(B10,'Datos Rebisco'!B12:BB49,3,0),"")</f>
        <v/>
      </c>
      <c r="E10" s="32" t="str">
        <f>IF(BP10=A10,VLOOKUP(B10,'Datos Rebisco'!B12:BB49,4,0),"")</f>
        <v/>
      </c>
      <c r="F10" s="32" t="str">
        <f>IF(BP10=A10,VLOOKUP(B10,'Datos Rebisco'!B12:BB49,5,0),"")</f>
        <v/>
      </c>
      <c r="G10" s="32" t="str">
        <f>IF(BP10=A10,VLOOKUP(B10,'Datos Rebisco'!B12:BB49,6,0),"")</f>
        <v/>
      </c>
      <c r="H10" s="33" t="str">
        <f t="shared" si="0"/>
        <v/>
      </c>
      <c r="I10" s="33" t="str">
        <f t="shared" si="1"/>
        <v/>
      </c>
      <c r="J10" s="34" t="str">
        <f t="shared" si="2"/>
        <v/>
      </c>
      <c r="K10" s="31" t="str">
        <f t="shared" si="3"/>
        <v/>
      </c>
      <c r="L10" s="37" t="str">
        <f>IF(A10="","",VLOOKUP(B10,'Datos Rebisco'!B12:BB49,11,0))</f>
        <v/>
      </c>
      <c r="M10" s="32" t="str">
        <f>IF(A10="","",VLOOKUP(B10,'Datos Rebisco'!B12:BB49,12,0))</f>
        <v/>
      </c>
      <c r="N10" s="32" t="str">
        <f>IF(A10="","",VLOOKUP(B10,'Datos Rebisco'!B12:BB49,13,0))</f>
        <v/>
      </c>
      <c r="O10" s="32" t="str">
        <f>IF(A10="","",VLOOKUP(B10,'Datos Rebisco'!B12:BB49,14,0))</f>
        <v/>
      </c>
      <c r="P10" s="33" t="str">
        <f t="shared" si="6"/>
        <v/>
      </c>
      <c r="Q10" s="33" t="str">
        <f t="shared" si="7"/>
        <v/>
      </c>
      <c r="R10" s="34" t="str">
        <f t="shared" si="4"/>
        <v/>
      </c>
      <c r="S10" s="31" t="str">
        <f t="shared" si="5"/>
        <v/>
      </c>
      <c r="T10" s="35" t="str">
        <f t="shared" si="8"/>
        <v/>
      </c>
      <c r="U10" s="35" t="str">
        <f t="shared" si="9"/>
        <v/>
      </c>
      <c r="V10" s="37" t="str">
        <f>IF(A10="","",VLOOKUP(B10,'Datos Rebisco'!B12:BB49,21,0))</f>
        <v/>
      </c>
      <c r="W10" s="32" t="str">
        <f>IF(A10="","",VLOOKUP(B10,'Datos Rebisco'!B12:BB49,22,0))</f>
        <v/>
      </c>
      <c r="X10" s="32" t="str">
        <f>IF(A10="","",VLOOKUP(B10,'Datos Rebisco'!B12:BB49,23,0))</f>
        <v/>
      </c>
      <c r="Y10" s="32" t="str">
        <f>IF(A10="","",VLOOKUP(B10,'Datos Rebisco'!B12:BB49,24,0))</f>
        <v/>
      </c>
      <c r="Z10" s="33" t="str">
        <f t="shared" si="10"/>
        <v/>
      </c>
      <c r="AA10" s="33" t="str">
        <f t="shared" si="11"/>
        <v/>
      </c>
      <c r="AB10" s="34" t="str">
        <f t="shared" si="12"/>
        <v/>
      </c>
      <c r="AC10" s="31" t="str">
        <f t="shared" si="13"/>
        <v/>
      </c>
      <c r="AD10" s="37" t="str">
        <f t="shared" si="14"/>
        <v/>
      </c>
      <c r="AE10" s="32" t="str">
        <f>IF(A10="","",VLOOKUP(B10,'Datos Rebisco'!B12:BB49,30,0))</f>
        <v/>
      </c>
      <c r="AF10" s="31" t="str">
        <f t="shared" si="15"/>
        <v/>
      </c>
      <c r="AG10" s="32" t="str">
        <f>IF(A10="","",VLOOKUP(B10,'Datos Rebisco'!B12:BB49,32,0))</f>
        <v/>
      </c>
      <c r="AH10" s="32" t="str">
        <f>IF(A10="","",VLOOKUP(B10,'Datos Rebisco'!B12:BB49,33,0))</f>
        <v/>
      </c>
      <c r="AI10" s="32" t="str">
        <f>IF(A10="","",VLOOKUP(B10,'Datos Rebisco'!B12:BB49,34,0))</f>
        <v/>
      </c>
      <c r="AJ10" s="34" t="str">
        <f t="shared" si="16"/>
        <v/>
      </c>
      <c r="AK10" s="37" t="str">
        <f t="shared" si="17"/>
        <v/>
      </c>
      <c r="AL10" s="37" t="str">
        <f>IF(A10="","",VLOOKUP(B10,'Datos Rebisco'!B12:BB49,37,0))</f>
        <v/>
      </c>
      <c r="AM10" s="36" t="str">
        <f t="shared" si="18"/>
        <v/>
      </c>
      <c r="AN10" s="274" t="str">
        <f>IF(BP10=A10,'Datos Rebisco'!BL12,"")</f>
        <v/>
      </c>
      <c r="AO10" s="32" t="str">
        <f>IF(A10="","",VLOOKUP(B10,'Datos Rebisco'!B12:BF49,39,0))</f>
        <v/>
      </c>
      <c r="AP10" s="36" t="str">
        <f>IF(A10="","",IF(AN10&gt;0,+AO10/AN10,0))</f>
        <v/>
      </c>
      <c r="AQ10" s="32" t="str">
        <f>IF(A10="","",VLOOKUP(B10,'Datos Rebisco'!B12:BH49,41,0))</f>
        <v/>
      </c>
      <c r="AR10" s="32" t="str">
        <f>IF(A10="","",VLOOKUP(B10,'Datos Rebisco'!B12:BI49,42,0))</f>
        <v/>
      </c>
      <c r="AS10" s="32" t="str">
        <f>IF(A10="","",VLOOKUP(B10,'Datos Rebisco'!B12:BJ49,43,0))</f>
        <v/>
      </c>
      <c r="AT10" s="32" t="str">
        <f>IF(A10="","",VLOOKUP(B10,'Datos Rebisco'!B12:BK49,44,0))</f>
        <v/>
      </c>
      <c r="AU10" s="58"/>
      <c r="AV10" s="37" t="str">
        <f t="shared" si="24"/>
        <v/>
      </c>
      <c r="AW10" s="38" t="str">
        <f t="shared" si="19"/>
        <v/>
      </c>
      <c r="AY10" s="180" t="str">
        <f>IF(A10="","",+'Datos Rebisco'!AY12)</f>
        <v/>
      </c>
      <c r="AZ10" s="258" t="str">
        <f t="shared" si="20"/>
        <v/>
      </c>
      <c r="BA10" s="255" t="str">
        <f>IF(A10="","",VLOOKUP(B10,'Datos Rebisco'!B12:BF49,51,0))</f>
        <v/>
      </c>
      <c r="BB10" s="181" t="str">
        <f t="shared" si="21"/>
        <v/>
      </c>
      <c r="BC10" s="180" t="str">
        <f>IF(BP10=A10,'Datos Rebisco'!BL12,"")</f>
        <v/>
      </c>
      <c r="BD10" s="181" t="str">
        <f t="shared" si="22"/>
        <v/>
      </c>
      <c r="BE10" s="29" t="str">
        <f>IF(A10="","",VLOOKUP(B10,'Datos Rebisco'!B12:BF49,53,0))</f>
        <v/>
      </c>
      <c r="BF10" s="28" t="str">
        <f>IF(A10="","",VLOOKUP(B10,'Datos Rebisco'!B12:BF49,54,0))</f>
        <v/>
      </c>
      <c r="BG10" s="28" t="str">
        <f>IF(A10="","",VLOOKUP(B10,'Datos Rebisco'!B12:BF49,55,0))</f>
        <v/>
      </c>
      <c r="BH10" s="28" t="str">
        <f>IF(A10="","",VLOOKUP(B10,'Datos Rebisco'!B12:BF49,51,0))</f>
        <v/>
      </c>
      <c r="BI10" s="28" t="str">
        <f>IF(A10="","",IF(VLOOKUP(B10,'Datos Rebisco'!B12:BF49,52,0)=0%,IF(AO10&gt;1,1,VLOOKUP(B10,'Datos Rebisco'!B12:BF49,52,0))))</f>
        <v/>
      </c>
      <c r="BJ10" s="211" t="str">
        <f>IF(A10="","",VLOOKUP(B10,'Datos Rebisco'!B12:BH49,58,0))</f>
        <v/>
      </c>
      <c r="BK10" s="27" t="str">
        <f>IF(A10="","",VLOOKUP(B10,'Datos Rebisco'!B12:BH49,59,0))</f>
        <v/>
      </c>
      <c r="BL10" s="29" t="str">
        <f>IF(A10="","",VLOOKUP(B10,'Datos Rebisco'!B12:BF49,55,0))</f>
        <v/>
      </c>
      <c r="BM10" s="181" t="str">
        <f>IF(A10="","",VLOOKUP(B10,'Datos Rebisco'!B12:BF49,56,0))</f>
        <v/>
      </c>
      <c r="BN10" s="266" t="str">
        <f>IF(A10="","",IF(VLOOKUP(B10,'Datos Rebisco'!B12:BF49,57,0)=0,IF(AO10&gt;1,1,VLOOKUP(B10,'Datos Rebisco'!B12:BF49,57,0))))</f>
        <v/>
      </c>
      <c r="BO10" s="59"/>
      <c r="BP10" s="190" t="str">
        <f>+'Biyemas S.A.'!BP10</f>
        <v xml:space="preserve">Mar/Tue    </v>
      </c>
    </row>
    <row r="11" spans="1:68" s="30" customFormat="1" x14ac:dyDescent="0.2">
      <c r="A11" s="188" t="str">
        <f>IF(BP11='Datos Rebisco'!A13,'Datos Rebisco'!A13,"")</f>
        <v/>
      </c>
      <c r="B11" s="185" t="str">
        <f>IF(BP11=A11,'Datos Rebisco'!B13,"")</f>
        <v/>
      </c>
      <c r="C11" s="186" t="str">
        <f>IF(BP11=A11,'Datos Rebisco'!C13,"")</f>
        <v/>
      </c>
      <c r="D11" s="37" t="str">
        <f>IF(BP11=A11,VLOOKUP(B11,'Datos Rebisco'!B13:BB50,3,0),"")</f>
        <v/>
      </c>
      <c r="E11" s="32" t="str">
        <f>IF(BP11=A11,VLOOKUP(B11,'Datos Rebisco'!B13:BB50,4,0),"")</f>
        <v/>
      </c>
      <c r="F11" s="32" t="str">
        <f>IF(BP11=A11,VLOOKUP(B11,'Datos Rebisco'!B13:BB50,5,0),"")</f>
        <v/>
      </c>
      <c r="G11" s="32" t="str">
        <f>IF(BP11=A11,VLOOKUP(B11,'Datos Rebisco'!B13:BB50,6,0),"")</f>
        <v/>
      </c>
      <c r="H11" s="33" t="str">
        <f t="shared" si="0"/>
        <v/>
      </c>
      <c r="I11" s="33" t="str">
        <f t="shared" si="1"/>
        <v/>
      </c>
      <c r="J11" s="34" t="str">
        <f t="shared" si="2"/>
        <v/>
      </c>
      <c r="K11" s="31" t="str">
        <f t="shared" si="3"/>
        <v/>
      </c>
      <c r="L11" s="37" t="str">
        <f>IF(A11="","",VLOOKUP(B11,'Datos Rebisco'!B13:BB50,11,0))</f>
        <v/>
      </c>
      <c r="M11" s="32" t="str">
        <f>IF(A11="","",VLOOKUP(B11,'Datos Rebisco'!B13:BB50,12,0))</f>
        <v/>
      </c>
      <c r="N11" s="32" t="str">
        <f>IF(A11="","",VLOOKUP(B11,'Datos Rebisco'!B13:BB50,13,0))</f>
        <v/>
      </c>
      <c r="O11" s="32" t="str">
        <f>IF(A11="","",VLOOKUP(B11,'Datos Rebisco'!B13:BB50,14,0))</f>
        <v/>
      </c>
      <c r="P11" s="33" t="str">
        <f t="shared" si="6"/>
        <v/>
      </c>
      <c r="Q11" s="33" t="str">
        <f t="shared" si="7"/>
        <v/>
      </c>
      <c r="R11" s="34" t="str">
        <f t="shared" si="4"/>
        <v/>
      </c>
      <c r="S11" s="31" t="str">
        <f t="shared" si="5"/>
        <v/>
      </c>
      <c r="T11" s="35" t="str">
        <f t="shared" si="8"/>
        <v/>
      </c>
      <c r="U11" s="35" t="str">
        <f t="shared" si="9"/>
        <v/>
      </c>
      <c r="V11" s="37" t="str">
        <f>IF(A11="","",VLOOKUP(B11,'Datos Rebisco'!B13:BB50,21,0))</f>
        <v/>
      </c>
      <c r="W11" s="32" t="str">
        <f>IF(A11="","",VLOOKUP(B11,'Datos Rebisco'!B13:BB50,22,0))</f>
        <v/>
      </c>
      <c r="X11" s="32" t="str">
        <f>IF(A11="","",VLOOKUP(B11,'Datos Rebisco'!B13:BB50,23,0))</f>
        <v/>
      </c>
      <c r="Y11" s="32" t="str">
        <f>IF(A11="","",VLOOKUP(B11,'Datos Rebisco'!B13:BB50,24,0))</f>
        <v/>
      </c>
      <c r="Z11" s="33" t="str">
        <f t="shared" si="10"/>
        <v/>
      </c>
      <c r="AA11" s="33" t="str">
        <f t="shared" si="11"/>
        <v/>
      </c>
      <c r="AB11" s="34" t="str">
        <f t="shared" si="12"/>
        <v/>
      </c>
      <c r="AC11" s="31" t="str">
        <f t="shared" si="13"/>
        <v/>
      </c>
      <c r="AD11" s="37" t="str">
        <f t="shared" si="14"/>
        <v/>
      </c>
      <c r="AE11" s="32" t="str">
        <f>IF(A11="","",VLOOKUP(B11,'Datos Rebisco'!B13:BB50,30,0))</f>
        <v/>
      </c>
      <c r="AF11" s="31" t="str">
        <f t="shared" si="15"/>
        <v/>
      </c>
      <c r="AG11" s="32" t="str">
        <f>IF(A11="","",VLOOKUP(B11,'Datos Rebisco'!B13:BB50,32,0))</f>
        <v/>
      </c>
      <c r="AH11" s="32" t="str">
        <f>IF(A11="","",VLOOKUP(B11,'Datos Rebisco'!B13:BB50,33,0))</f>
        <v/>
      </c>
      <c r="AI11" s="32" t="str">
        <f>IF(A11="","",VLOOKUP(B11,'Datos Rebisco'!B13:BB50,34,0))</f>
        <v/>
      </c>
      <c r="AJ11" s="34" t="str">
        <f t="shared" si="16"/>
        <v/>
      </c>
      <c r="AK11" s="37" t="str">
        <f t="shared" si="17"/>
        <v/>
      </c>
      <c r="AL11" s="37" t="str">
        <f>IF(A11="","",VLOOKUP(B11,'Datos Rebisco'!B13:BB50,37,0))</f>
        <v/>
      </c>
      <c r="AM11" s="36" t="str">
        <f t="shared" si="18"/>
        <v/>
      </c>
      <c r="AN11" s="274" t="str">
        <f>IF(BP11=A11,'Datos Rebisco'!BL13,"")</f>
        <v/>
      </c>
      <c r="AO11" s="32" t="str">
        <f>IF(A11="","",VLOOKUP(B11,'Datos Rebisco'!B13:BF50,39,0))</f>
        <v/>
      </c>
      <c r="AP11" s="36" t="str">
        <f t="shared" si="23"/>
        <v/>
      </c>
      <c r="AQ11" s="32" t="str">
        <f>IF(A11="","",VLOOKUP(B11,'Datos Rebisco'!B13:BH50,41,0))</f>
        <v/>
      </c>
      <c r="AR11" s="32" t="str">
        <f>IF(A11="","",VLOOKUP(B11,'Datos Rebisco'!B13:BI50,42,0))</f>
        <v/>
      </c>
      <c r="AS11" s="32" t="str">
        <f>IF(A11="","",VLOOKUP(B11,'Datos Rebisco'!B13:BJ50,43,0))</f>
        <v/>
      </c>
      <c r="AT11" s="32" t="str">
        <f>IF(A11="","",VLOOKUP(B11,'Datos Rebisco'!B13:BK50,44,0))</f>
        <v/>
      </c>
      <c r="AU11" s="58"/>
      <c r="AV11" s="37" t="str">
        <f t="shared" si="24"/>
        <v/>
      </c>
      <c r="AW11" s="38" t="str">
        <f t="shared" si="19"/>
        <v/>
      </c>
      <c r="AY11" s="180" t="str">
        <f>IF(A11="","",+'Datos Rebisco'!AY13)</f>
        <v/>
      </c>
      <c r="AZ11" s="258" t="str">
        <f t="shared" si="20"/>
        <v/>
      </c>
      <c r="BA11" s="255" t="str">
        <f>IF(A11="","",VLOOKUP(B11,'Datos Rebisco'!B13:BF50,51,0))</f>
        <v/>
      </c>
      <c r="BB11" s="181" t="str">
        <f t="shared" si="21"/>
        <v/>
      </c>
      <c r="BC11" s="180" t="str">
        <f>IF(BP11=A11,'Datos Rebisco'!BL13,"")</f>
        <v/>
      </c>
      <c r="BD11" s="181" t="str">
        <f t="shared" si="22"/>
        <v/>
      </c>
      <c r="BE11" s="29" t="str">
        <f>IF(A11="","",VLOOKUP(B11,'Datos Rebisco'!B13:BF50,53,0))</f>
        <v/>
      </c>
      <c r="BF11" s="28" t="str">
        <f>IF(A11="","",VLOOKUP(B11,'Datos Rebisco'!B13:BF50,54,0))</f>
        <v/>
      </c>
      <c r="BG11" s="28" t="str">
        <f>IF(A11="","",VLOOKUP(B11,'Datos Rebisco'!B13:BF50,55,0))</f>
        <v/>
      </c>
      <c r="BH11" s="28" t="str">
        <f>IF(A11="","",VLOOKUP(B11,'Datos Rebisco'!B13:BF50,51,0))</f>
        <v/>
      </c>
      <c r="BI11" s="28" t="str">
        <f>IF(A11="","",IF(VLOOKUP(B11,'Datos Rebisco'!B13:BF50,52,0)=0%,IF(AO11&gt;1,1,VLOOKUP(B11,'Datos Rebisco'!B13:BF50,52,0))))</f>
        <v/>
      </c>
      <c r="BJ11" s="211" t="str">
        <f>IF(A11="","",VLOOKUP(B11,'Datos Rebisco'!B13:BH50,58,0))</f>
        <v/>
      </c>
      <c r="BK11" s="27" t="str">
        <f>IF(A11="","",VLOOKUP(B11,'Datos Rebisco'!B13:BH50,59,0))</f>
        <v/>
      </c>
      <c r="BL11" s="29" t="str">
        <f>IF(A11="","",VLOOKUP(B11,'Datos Rebisco'!B13:BF50,55,0))</f>
        <v/>
      </c>
      <c r="BM11" s="181" t="str">
        <f>IF(A11="","",VLOOKUP(B11,'Datos Rebisco'!B13:BF50,56,0))</f>
        <v/>
      </c>
      <c r="BN11" s="266" t="str">
        <f>IF(A11="","",IF(VLOOKUP(B11,'Datos Rebisco'!B13:BF50,57,0)=0,IF(AO11&gt;1,1,VLOOKUP(B11,'Datos Rebisco'!B13:BF50,57,0))))</f>
        <v/>
      </c>
      <c r="BO11" s="59"/>
      <c r="BP11" s="190" t="str">
        <f>+'Biyemas S.A.'!BP11</f>
        <v xml:space="preserve">Mie/Wed    </v>
      </c>
    </row>
    <row r="12" spans="1:68" s="30" customFormat="1" x14ac:dyDescent="0.2">
      <c r="A12" s="188" t="str">
        <f>IF(BP12='Datos Rebisco'!A14,'Datos Rebisco'!A14,"")</f>
        <v/>
      </c>
      <c r="B12" s="185" t="str">
        <f>IF(BP12=A12,'Datos Rebisco'!B14,"")</f>
        <v/>
      </c>
      <c r="C12" s="186" t="str">
        <f>IF(BP12=A12,'Datos Rebisco'!C14,"")</f>
        <v/>
      </c>
      <c r="D12" s="37" t="str">
        <f>IF(BP12=A12,VLOOKUP(B12,'Datos Rebisco'!B14:BB51,3,0),"")</f>
        <v/>
      </c>
      <c r="E12" s="32" t="str">
        <f>IF(BP12=A12,VLOOKUP(B12,'Datos Rebisco'!B14:BB51,4,0),"")</f>
        <v/>
      </c>
      <c r="F12" s="32" t="str">
        <f>IF(BP12=A12,VLOOKUP(B12,'Datos Rebisco'!B14:BB51,5,0),"")</f>
        <v/>
      </c>
      <c r="G12" s="32" t="str">
        <f>IF(BP12=A12,VLOOKUP(B12,'Datos Rebisco'!B14:BB51,6,0),"")</f>
        <v/>
      </c>
      <c r="H12" s="33" t="str">
        <f t="shared" si="0"/>
        <v/>
      </c>
      <c r="I12" s="33" t="str">
        <f t="shared" si="1"/>
        <v/>
      </c>
      <c r="J12" s="34" t="str">
        <f t="shared" si="2"/>
        <v/>
      </c>
      <c r="K12" s="31" t="str">
        <f t="shared" si="3"/>
        <v/>
      </c>
      <c r="L12" s="37" t="str">
        <f>IF(A12="","",VLOOKUP(B12,'Datos Rebisco'!B14:BB51,11,0))</f>
        <v/>
      </c>
      <c r="M12" s="32" t="str">
        <f>IF(A12="","",VLOOKUP(B12,'Datos Rebisco'!B14:BB51,12,0))</f>
        <v/>
      </c>
      <c r="N12" s="32" t="str">
        <f>IF(A12="","",VLOOKUP(B12,'Datos Rebisco'!B14:BB51,13,0))</f>
        <v/>
      </c>
      <c r="O12" s="32" t="str">
        <f>IF(A12="","",VLOOKUP(B12,'Datos Rebisco'!B14:BB51,14,0))</f>
        <v/>
      </c>
      <c r="P12" s="33" t="str">
        <f t="shared" si="6"/>
        <v/>
      </c>
      <c r="Q12" s="33" t="str">
        <f t="shared" si="7"/>
        <v/>
      </c>
      <c r="R12" s="34" t="str">
        <f t="shared" si="4"/>
        <v/>
      </c>
      <c r="S12" s="31" t="str">
        <f t="shared" si="5"/>
        <v/>
      </c>
      <c r="T12" s="35" t="str">
        <f t="shared" si="8"/>
        <v/>
      </c>
      <c r="U12" s="35" t="str">
        <f t="shared" si="9"/>
        <v/>
      </c>
      <c r="V12" s="37" t="str">
        <f>IF(A12="","",VLOOKUP(B12,'Datos Rebisco'!B14:BB51,21,0))</f>
        <v/>
      </c>
      <c r="W12" s="32" t="str">
        <f>IF(A12="","",VLOOKUP(B12,'Datos Rebisco'!B14:BB51,22,0))</f>
        <v/>
      </c>
      <c r="X12" s="32" t="str">
        <f>IF(A12="","",VLOOKUP(B12,'Datos Rebisco'!B14:BB51,23,0))</f>
        <v/>
      </c>
      <c r="Y12" s="32" t="str">
        <f>IF(A12="","",VLOOKUP(B12,'Datos Rebisco'!B14:BB51,24,0))</f>
        <v/>
      </c>
      <c r="Z12" s="33" t="str">
        <f t="shared" si="10"/>
        <v/>
      </c>
      <c r="AA12" s="33" t="str">
        <f t="shared" si="11"/>
        <v/>
      </c>
      <c r="AB12" s="34" t="str">
        <f t="shared" si="12"/>
        <v/>
      </c>
      <c r="AC12" s="31" t="str">
        <f t="shared" si="13"/>
        <v/>
      </c>
      <c r="AD12" s="37" t="str">
        <f t="shared" si="14"/>
        <v/>
      </c>
      <c r="AE12" s="32" t="str">
        <f>IF(A12="","",VLOOKUP(B12,'Datos Rebisco'!B14:BB51,30,0))</f>
        <v/>
      </c>
      <c r="AF12" s="31" t="str">
        <f t="shared" si="15"/>
        <v/>
      </c>
      <c r="AG12" s="32" t="str">
        <f>IF(A12="","",VLOOKUP(B12,'Datos Rebisco'!B14:BB51,32,0))</f>
        <v/>
      </c>
      <c r="AH12" s="32" t="str">
        <f>IF(A12="","",VLOOKUP(B12,'Datos Rebisco'!B14:BB51,33,0))</f>
        <v/>
      </c>
      <c r="AI12" s="32" t="str">
        <f>IF(A12="","",VLOOKUP(B12,'Datos Rebisco'!B14:BB51,34,0))</f>
        <v/>
      </c>
      <c r="AJ12" s="34" t="str">
        <f t="shared" si="16"/>
        <v/>
      </c>
      <c r="AK12" s="37" t="str">
        <f t="shared" si="17"/>
        <v/>
      </c>
      <c r="AL12" s="37" t="str">
        <f>IF(A12="","",VLOOKUP(B12,'Datos Rebisco'!B14:BB51,37,0))</f>
        <v/>
      </c>
      <c r="AM12" s="36" t="str">
        <f t="shared" si="18"/>
        <v/>
      </c>
      <c r="AN12" s="274" t="str">
        <f>IF(BP12=A12,'Datos Rebisco'!BL14,"")</f>
        <v/>
      </c>
      <c r="AO12" s="32" t="str">
        <f>IF(A12="","",VLOOKUP(B12,'Datos Rebisco'!B14:BF51,39,0))</f>
        <v/>
      </c>
      <c r="AP12" s="36" t="str">
        <f t="shared" si="23"/>
        <v/>
      </c>
      <c r="AQ12" s="32" t="str">
        <f>IF(A12="","",VLOOKUP(B12,'Datos Rebisco'!B14:BH51,41,0))</f>
        <v/>
      </c>
      <c r="AR12" s="32" t="str">
        <f>IF(A12="","",VLOOKUP(B12,'Datos Rebisco'!B14:BI51,42,0))</f>
        <v/>
      </c>
      <c r="AS12" s="32" t="str">
        <f>IF(A12="","",VLOOKUP(B12,'Datos Rebisco'!B14:BJ51,43,0))</f>
        <v/>
      </c>
      <c r="AT12" s="32" t="str">
        <f>IF(A12="","",VLOOKUP(B12,'Datos Rebisco'!B14:BK51,44,0))</f>
        <v/>
      </c>
      <c r="AU12" s="58"/>
      <c r="AV12" s="37" t="str">
        <f t="shared" si="24"/>
        <v/>
      </c>
      <c r="AW12" s="38" t="str">
        <f t="shared" si="19"/>
        <v/>
      </c>
      <c r="AY12" s="180" t="str">
        <f>IF(A12="","",+'Datos Rebisco'!AY14)</f>
        <v/>
      </c>
      <c r="AZ12" s="258" t="str">
        <f t="shared" si="20"/>
        <v/>
      </c>
      <c r="BA12" s="255" t="str">
        <f>IF(A12="","",VLOOKUP(B12,'Datos Rebisco'!B14:BF51,51,0))</f>
        <v/>
      </c>
      <c r="BB12" s="181" t="str">
        <f t="shared" si="21"/>
        <v/>
      </c>
      <c r="BC12" s="180" t="str">
        <f>IF(BP12=A12,'Datos Rebisco'!BL14,"")</f>
        <v/>
      </c>
      <c r="BD12" s="181" t="str">
        <f t="shared" si="22"/>
        <v/>
      </c>
      <c r="BE12" s="29" t="str">
        <f>IF(A12="","",VLOOKUP(B12,'Datos Rebisco'!B14:BF51,53,0))</f>
        <v/>
      </c>
      <c r="BF12" s="28" t="str">
        <f>IF(A12="","",VLOOKUP(B12,'Datos Rebisco'!B14:BF51,54,0))</f>
        <v/>
      </c>
      <c r="BG12" s="28" t="str">
        <f>IF(A12="","",VLOOKUP(B12,'Datos Rebisco'!B14:BF51,55,0))</f>
        <v/>
      </c>
      <c r="BH12" s="28" t="str">
        <f>IF(A12="","",VLOOKUP(B12,'Datos Rebisco'!B14:BF51,51,0))</f>
        <v/>
      </c>
      <c r="BI12" s="28" t="str">
        <f>IF(A12="","",IF(VLOOKUP(B12,'Datos Rebisco'!B14:BF51,52,0)=0%,IF(AO12&gt;1,1,VLOOKUP(B12,'Datos Rebisco'!B14:BF51,52,0))))</f>
        <v/>
      </c>
      <c r="BJ12" s="211" t="str">
        <f>IF(A12="","",VLOOKUP(B12,'Datos Rebisco'!B14:BH51,58,0))</f>
        <v/>
      </c>
      <c r="BK12" s="27" t="str">
        <f>IF(A12="","",VLOOKUP(B12,'Datos Rebisco'!B14:BH51,59,0))</f>
        <v/>
      </c>
      <c r="BL12" s="29" t="str">
        <f>IF(A12="","",VLOOKUP(B12,'Datos Rebisco'!B14:BF51,55,0))</f>
        <v/>
      </c>
      <c r="BM12" s="181" t="str">
        <f>IF(A12="","",VLOOKUP(B12,'Datos Rebisco'!B14:BF51,56,0))</f>
        <v/>
      </c>
      <c r="BN12" s="266" t="str">
        <f>IF(A12="","",IF(VLOOKUP(B12,'Datos Rebisco'!B14:BF51,57,0)=0,IF(AO12&gt;1,1,VLOOKUP(B12,'Datos Rebisco'!B14:BF51,57,0))))</f>
        <v/>
      </c>
      <c r="BO12" s="59"/>
      <c r="BP12" s="190" t="str">
        <f>+'Biyemas S.A.'!BP12</f>
        <v xml:space="preserve">Jue/Thu    </v>
      </c>
    </row>
    <row r="13" spans="1:68" s="30" customFormat="1" ht="11.25" customHeight="1" x14ac:dyDescent="0.2">
      <c r="A13" s="188" t="str">
        <f>IF(BP13='Datos Rebisco'!A15,'Datos Rebisco'!A15,"")</f>
        <v/>
      </c>
      <c r="B13" s="185" t="str">
        <f>IF(BP13=A13,'Datos Rebisco'!B15,"")</f>
        <v/>
      </c>
      <c r="C13" s="186" t="str">
        <f>IF(BP13=A13,'Datos Rebisco'!C15,"")</f>
        <v/>
      </c>
      <c r="D13" s="37" t="str">
        <f>IF(BP13=A13,VLOOKUP(B13,'Datos Rebisco'!B15:BB52,3,0),"")</f>
        <v/>
      </c>
      <c r="E13" s="32" t="str">
        <f>IF(BP13=A13,VLOOKUP(B13,'Datos Rebisco'!B15:BB52,4,0),"")</f>
        <v/>
      </c>
      <c r="F13" s="32" t="str">
        <f>IF(BP13=A13,VLOOKUP(B13,'Datos Rebisco'!B15:BB52,5,0),"")</f>
        <v/>
      </c>
      <c r="G13" s="32" t="str">
        <f>IF(BP13=A13,VLOOKUP(B13,'Datos Rebisco'!B15:BB52,6,0),"")</f>
        <v/>
      </c>
      <c r="H13" s="33" t="str">
        <f t="shared" si="0"/>
        <v/>
      </c>
      <c r="I13" s="33" t="str">
        <f t="shared" si="1"/>
        <v/>
      </c>
      <c r="J13" s="34" t="str">
        <f t="shared" si="2"/>
        <v/>
      </c>
      <c r="K13" s="31" t="str">
        <f t="shared" si="3"/>
        <v/>
      </c>
      <c r="L13" s="37" t="str">
        <f>IF(A13="","",VLOOKUP(B13,'Datos Rebisco'!B15:BB52,11,0))</f>
        <v/>
      </c>
      <c r="M13" s="32" t="str">
        <f>IF(A13="","",VLOOKUP(B13,'Datos Rebisco'!B15:BB52,12,0))</f>
        <v/>
      </c>
      <c r="N13" s="32" t="str">
        <f>IF(A13="","",VLOOKUP(B13,'Datos Rebisco'!B15:BB52,13,0))</f>
        <v/>
      </c>
      <c r="O13" s="32" t="str">
        <f>IF(A13="","",VLOOKUP(B13,'Datos Rebisco'!B15:BB52,14,0))</f>
        <v/>
      </c>
      <c r="P13" s="33" t="str">
        <f t="shared" si="6"/>
        <v/>
      </c>
      <c r="Q13" s="33" t="str">
        <f t="shared" si="7"/>
        <v/>
      </c>
      <c r="R13" s="34" t="str">
        <f t="shared" si="4"/>
        <v/>
      </c>
      <c r="S13" s="31" t="str">
        <f t="shared" si="5"/>
        <v/>
      </c>
      <c r="T13" s="35" t="str">
        <f t="shared" si="8"/>
        <v/>
      </c>
      <c r="U13" s="35" t="str">
        <f t="shared" si="9"/>
        <v/>
      </c>
      <c r="V13" s="37" t="str">
        <f>IF(A13="","",VLOOKUP(B13,'Datos Rebisco'!B15:BB52,21,0))</f>
        <v/>
      </c>
      <c r="W13" s="32" t="str">
        <f>IF(A13="","",VLOOKUP(B13,'Datos Rebisco'!B15:BB52,22,0))</f>
        <v/>
      </c>
      <c r="X13" s="32" t="str">
        <f>IF(A13="","",VLOOKUP(B13,'Datos Rebisco'!B15:BB52,23,0))</f>
        <v/>
      </c>
      <c r="Y13" s="32" t="str">
        <f>IF(A13="","",VLOOKUP(B13,'Datos Rebisco'!B15:BB52,24,0))</f>
        <v/>
      </c>
      <c r="Z13" s="33" t="str">
        <f t="shared" si="10"/>
        <v/>
      </c>
      <c r="AA13" s="33" t="str">
        <f t="shared" si="11"/>
        <v/>
      </c>
      <c r="AB13" s="34" t="str">
        <f t="shared" si="12"/>
        <v/>
      </c>
      <c r="AC13" s="31" t="str">
        <f t="shared" si="13"/>
        <v/>
      </c>
      <c r="AD13" s="37" t="str">
        <f t="shared" si="14"/>
        <v/>
      </c>
      <c r="AE13" s="32" t="str">
        <f>IF(A13="","",VLOOKUP(B13,'Datos Rebisco'!B15:BB52,30,0))</f>
        <v/>
      </c>
      <c r="AF13" s="31" t="str">
        <f t="shared" si="15"/>
        <v/>
      </c>
      <c r="AG13" s="32" t="str">
        <f>IF(A13="","",VLOOKUP(B13,'Datos Rebisco'!B15:BB52,32,0))</f>
        <v/>
      </c>
      <c r="AH13" s="32" t="str">
        <f>IF(A13="","",VLOOKUP(B13,'Datos Rebisco'!B15:BB52,33,0))</f>
        <v/>
      </c>
      <c r="AI13" s="32" t="str">
        <f>IF(A13="","",VLOOKUP(B13,'Datos Rebisco'!B15:BB52,34,0))</f>
        <v/>
      </c>
      <c r="AJ13" s="34" t="str">
        <f t="shared" si="16"/>
        <v/>
      </c>
      <c r="AK13" s="37" t="str">
        <f t="shared" si="17"/>
        <v/>
      </c>
      <c r="AL13" s="37" t="str">
        <f>IF(A13="","",VLOOKUP(B13,'Datos Rebisco'!B15:BB52,37,0))</f>
        <v/>
      </c>
      <c r="AM13" s="36" t="str">
        <f t="shared" si="18"/>
        <v/>
      </c>
      <c r="AN13" s="274" t="str">
        <f>IF(BP13=A13,'Datos Rebisco'!BL15,"")</f>
        <v/>
      </c>
      <c r="AO13" s="32" t="str">
        <f>IF(A13="","",VLOOKUP(B13,'Datos Rebisco'!B15:BF52,39,0))</f>
        <v/>
      </c>
      <c r="AP13" s="36" t="str">
        <f t="shared" si="23"/>
        <v/>
      </c>
      <c r="AQ13" s="32" t="str">
        <f>IF(A13="","",VLOOKUP(B13,'Datos Rebisco'!B15:BH52,41,0))</f>
        <v/>
      </c>
      <c r="AR13" s="32" t="str">
        <f>IF(A13="","",VLOOKUP(B13,'Datos Rebisco'!B15:BI52,42,0))</f>
        <v/>
      </c>
      <c r="AS13" s="32" t="str">
        <f>IF(A13="","",VLOOKUP(B13,'Datos Rebisco'!B15:BJ52,43,0))</f>
        <v/>
      </c>
      <c r="AT13" s="32" t="str">
        <f>IF(A13="","",VLOOKUP(B13,'Datos Rebisco'!B15:BK52,44,0))</f>
        <v/>
      </c>
      <c r="AU13" s="58"/>
      <c r="AV13" s="37" t="str">
        <f t="shared" si="24"/>
        <v/>
      </c>
      <c r="AW13" s="38" t="str">
        <f t="shared" si="19"/>
        <v/>
      </c>
      <c r="AY13" s="180" t="str">
        <f>IF(A13="","",+'Datos Rebisco'!AY15)</f>
        <v/>
      </c>
      <c r="AZ13" s="258" t="str">
        <f t="shared" si="20"/>
        <v/>
      </c>
      <c r="BA13" s="255" t="str">
        <f>IF(A13="","",VLOOKUP(B13,'Datos Rebisco'!B15:BF52,51,0))</f>
        <v/>
      </c>
      <c r="BB13" s="181" t="str">
        <f t="shared" si="21"/>
        <v/>
      </c>
      <c r="BC13" s="180" t="str">
        <f>IF(BP13=A13,'Datos Rebisco'!BL15,"")</f>
        <v/>
      </c>
      <c r="BD13" s="181" t="str">
        <f t="shared" si="22"/>
        <v/>
      </c>
      <c r="BE13" s="29" t="str">
        <f>IF(A13="","",VLOOKUP(B13,'Datos Rebisco'!B15:BF52,53,0))</f>
        <v/>
      </c>
      <c r="BF13" s="28" t="str">
        <f>IF(A13="","",VLOOKUP(B13,'Datos Rebisco'!B15:BF52,54,0))</f>
        <v/>
      </c>
      <c r="BG13" s="28" t="str">
        <f>IF(A13="","",VLOOKUP(B13,'Datos Rebisco'!B15:BF52,55,0))</f>
        <v/>
      </c>
      <c r="BH13" s="28" t="str">
        <f>IF(A13="","",VLOOKUP(B13,'Datos Rebisco'!B15:BF52,51,0))</f>
        <v/>
      </c>
      <c r="BI13" s="28" t="str">
        <f>IF(A13="","",IF(VLOOKUP(B13,'Datos Rebisco'!B15:BF52,52,0)=0%,IF(AO13&gt;1,1,VLOOKUP(B13,'Datos Rebisco'!B15:BF52,52,0))))</f>
        <v/>
      </c>
      <c r="BJ13" s="211" t="str">
        <f>IF(A13="","",VLOOKUP(B13,'Datos Rebisco'!B15:BH52,58,0))</f>
        <v/>
      </c>
      <c r="BK13" s="27" t="str">
        <f>IF(A13="","",VLOOKUP(B13,'Datos Rebisco'!B15:BH52,59,0))</f>
        <v/>
      </c>
      <c r="BL13" s="29" t="str">
        <f>IF(A13="","",VLOOKUP(B13,'Datos Rebisco'!B15:BF52,55,0))</f>
        <v/>
      </c>
      <c r="BM13" s="181" t="str">
        <f>IF(A13="","",VLOOKUP(B13,'Datos Rebisco'!B15:BF52,56,0))</f>
        <v/>
      </c>
      <c r="BN13" s="266" t="str">
        <f>IF(A13="","",IF(VLOOKUP(B13,'Datos Rebisco'!B15:BF52,57,0)=0,IF(AO13&gt;1,1,VLOOKUP(B13,'Datos Rebisco'!B15:BF52,57,0))))</f>
        <v/>
      </c>
      <c r="BO13" s="59"/>
      <c r="BP13" s="190" t="str">
        <f>+'Biyemas S.A.'!BP13</f>
        <v xml:space="preserve">Vie/Fri    </v>
      </c>
    </row>
    <row r="14" spans="1:68" ht="11.25" customHeight="1" x14ac:dyDescent="0.2">
      <c r="A14" s="188" t="str">
        <f>IF(BP14='Datos Rebisco'!A16,'Datos Rebisco'!A16,"")</f>
        <v/>
      </c>
      <c r="B14" s="185" t="str">
        <f>IF(BP14=A14,'Datos Rebisco'!B16,"")</f>
        <v/>
      </c>
      <c r="C14" s="186" t="str">
        <f>IF(BP14=A14,'Datos Rebisco'!C16,"")</f>
        <v/>
      </c>
      <c r="D14" s="37" t="str">
        <f>IF(BP14=A14,VLOOKUP(B14,'Datos Rebisco'!B16:BB53,3,0),"")</f>
        <v/>
      </c>
      <c r="E14" s="32" t="str">
        <f>IF(BP14=A14,VLOOKUP(B14,'Datos Rebisco'!B16:BB53,4,0),"")</f>
        <v/>
      </c>
      <c r="F14" s="32" t="str">
        <f>IF(BP14=A14,VLOOKUP(B14,'Datos Rebisco'!B16:BB53,5,0),"")</f>
        <v/>
      </c>
      <c r="G14" s="32" t="str">
        <f>IF(BP14=A14,VLOOKUP(B14,'Datos Rebisco'!B16:BB53,6,0),"")</f>
        <v/>
      </c>
      <c r="H14" s="33" t="str">
        <f t="shared" si="0"/>
        <v/>
      </c>
      <c r="I14" s="33" t="str">
        <f t="shared" si="1"/>
        <v/>
      </c>
      <c r="J14" s="34" t="str">
        <f t="shared" si="2"/>
        <v/>
      </c>
      <c r="K14" s="31" t="str">
        <f t="shared" si="3"/>
        <v/>
      </c>
      <c r="L14" s="37" t="str">
        <f>IF(A14="","",VLOOKUP(B14,'Datos Rebisco'!B16:BB53,11,0))</f>
        <v/>
      </c>
      <c r="M14" s="32" t="str">
        <f>IF(A14="","",VLOOKUP(B14,'Datos Rebisco'!B16:BB53,12,0))</f>
        <v/>
      </c>
      <c r="N14" s="32" t="str">
        <f>IF(A14="","",VLOOKUP(B14,'Datos Rebisco'!B16:BB53,13,0))</f>
        <v/>
      </c>
      <c r="O14" s="32" t="str">
        <f>IF(A14="","",VLOOKUP(B14,'Datos Rebisco'!B16:BB53,14,0))</f>
        <v/>
      </c>
      <c r="P14" s="33" t="str">
        <f t="shared" si="6"/>
        <v/>
      </c>
      <c r="Q14" s="33" t="str">
        <f t="shared" si="7"/>
        <v/>
      </c>
      <c r="R14" s="34" t="str">
        <f t="shared" si="4"/>
        <v/>
      </c>
      <c r="S14" s="31" t="str">
        <f t="shared" si="5"/>
        <v/>
      </c>
      <c r="T14" s="35" t="str">
        <f t="shared" si="8"/>
        <v/>
      </c>
      <c r="U14" s="35" t="str">
        <f t="shared" si="9"/>
        <v/>
      </c>
      <c r="V14" s="37" t="str">
        <f>IF(A14="","",VLOOKUP(B14,'Datos Rebisco'!B16:BB53,21,0))</f>
        <v/>
      </c>
      <c r="W14" s="32" t="str">
        <f>IF(A14="","",VLOOKUP(B14,'Datos Rebisco'!B16:BB53,22,0))</f>
        <v/>
      </c>
      <c r="X14" s="32" t="str">
        <f>IF(A14="","",VLOOKUP(B14,'Datos Rebisco'!B16:BB53,23,0))</f>
        <v/>
      </c>
      <c r="Y14" s="32" t="str">
        <f>IF(A14="","",VLOOKUP(B14,'Datos Rebisco'!B16:BB53,24,0))</f>
        <v/>
      </c>
      <c r="Z14" s="33" t="str">
        <f t="shared" si="10"/>
        <v/>
      </c>
      <c r="AA14" s="33" t="str">
        <f t="shared" si="11"/>
        <v/>
      </c>
      <c r="AB14" s="34" t="str">
        <f t="shared" si="12"/>
        <v/>
      </c>
      <c r="AC14" s="31" t="str">
        <f t="shared" si="13"/>
        <v/>
      </c>
      <c r="AD14" s="37" t="str">
        <f t="shared" si="14"/>
        <v/>
      </c>
      <c r="AE14" s="32" t="str">
        <f>IF(A14="","",VLOOKUP(B14,'Datos Rebisco'!B16:BB53,30,0))</f>
        <v/>
      </c>
      <c r="AF14" s="31" t="str">
        <f t="shared" si="15"/>
        <v/>
      </c>
      <c r="AG14" s="32" t="str">
        <f>IF(A14="","",VLOOKUP(B14,'Datos Rebisco'!B16:BB53,32,0))</f>
        <v/>
      </c>
      <c r="AH14" s="32" t="str">
        <f>IF(A14="","",VLOOKUP(B14,'Datos Rebisco'!B16:BB53,33,0))</f>
        <v/>
      </c>
      <c r="AI14" s="32" t="str">
        <f>IF(A14="","",VLOOKUP(B14,'Datos Rebisco'!B16:BB53,34,0))</f>
        <v/>
      </c>
      <c r="AJ14" s="34" t="str">
        <f t="shared" si="16"/>
        <v/>
      </c>
      <c r="AK14" s="37" t="str">
        <f t="shared" si="17"/>
        <v/>
      </c>
      <c r="AL14" s="37" t="str">
        <f>IF(A14="","",VLOOKUP(B14,'Datos Rebisco'!B16:BB53,37,0))</f>
        <v/>
      </c>
      <c r="AM14" s="36" t="str">
        <f t="shared" si="18"/>
        <v/>
      </c>
      <c r="AN14" s="274" t="str">
        <f>IF(BP14=A14,'Datos Rebisco'!BL16,"")</f>
        <v/>
      </c>
      <c r="AO14" s="32" t="str">
        <f>IF(A14="","",VLOOKUP(B14,'Datos Rebisco'!B16:BF53,39,0))</f>
        <v/>
      </c>
      <c r="AP14" s="36" t="str">
        <f t="shared" si="23"/>
        <v/>
      </c>
      <c r="AQ14" s="32" t="str">
        <f>IF(A14="","",VLOOKUP(B14,'Datos Rebisco'!B16:BH53,41,0))</f>
        <v/>
      </c>
      <c r="AR14" s="32" t="str">
        <f>IF(A14="","",VLOOKUP(B14,'Datos Rebisco'!B16:BI53,42,0))</f>
        <v/>
      </c>
      <c r="AS14" s="32" t="str">
        <f>IF(A14="","",VLOOKUP(B14,'Datos Rebisco'!B16:BJ53,43,0))</f>
        <v/>
      </c>
      <c r="AT14" s="32" t="str">
        <f>IF(A14="","",VLOOKUP(B14,'Datos Rebisco'!B16:BK53,44,0))</f>
        <v/>
      </c>
      <c r="AU14" s="58"/>
      <c r="AV14" s="37" t="str">
        <f t="shared" si="24"/>
        <v/>
      </c>
      <c r="AW14" s="38" t="str">
        <f t="shared" si="19"/>
        <v/>
      </c>
      <c r="AY14" s="180" t="str">
        <f>IF(A14="","",+'Datos Rebisco'!AY16)</f>
        <v/>
      </c>
      <c r="AZ14" s="258" t="str">
        <f t="shared" si="20"/>
        <v/>
      </c>
      <c r="BA14" s="255" t="str">
        <f>IF(A14="","",VLOOKUP(B14,'Datos Rebisco'!B16:BF53,51,0))</f>
        <v/>
      </c>
      <c r="BB14" s="181" t="str">
        <f t="shared" si="21"/>
        <v/>
      </c>
      <c r="BC14" s="180" t="str">
        <f>IF(BP14=A14,'Datos Rebisco'!BL16,"")</f>
        <v/>
      </c>
      <c r="BD14" s="181" t="str">
        <f t="shared" si="22"/>
        <v/>
      </c>
      <c r="BE14" s="29" t="str">
        <f>IF(A14="","",VLOOKUP(B14,'Datos Rebisco'!B16:BF53,53,0))</f>
        <v/>
      </c>
      <c r="BF14" s="28" t="str">
        <f>IF(A14="","",VLOOKUP(B14,'Datos Rebisco'!B16:BF53,54,0))</f>
        <v/>
      </c>
      <c r="BG14" s="28" t="str">
        <f>IF(A14="","",VLOOKUP(B14,'Datos Rebisco'!B16:BF53,55,0))</f>
        <v/>
      </c>
      <c r="BH14" s="28" t="str">
        <f>IF(A14="","",VLOOKUP(B14,'Datos Rebisco'!B16:BF53,51,0))</f>
        <v/>
      </c>
      <c r="BI14" s="28" t="str">
        <f>IF(A14="","",IF(VLOOKUP(B14,'Datos Rebisco'!B16:BF53,52,0)=0%,IF(AO14&gt;1,1,VLOOKUP(B14,'Datos Rebisco'!B16:BF53,52,0))))</f>
        <v/>
      </c>
      <c r="BJ14" s="211" t="str">
        <f>IF(A14="","",VLOOKUP(B14,'Datos Rebisco'!B16:BH53,58,0))</f>
        <v/>
      </c>
      <c r="BK14" s="27" t="str">
        <f>IF(A14="","",VLOOKUP(B14,'Datos Rebisco'!B16:BH53,59,0))</f>
        <v/>
      </c>
      <c r="BL14" s="29" t="str">
        <f>IF(A14="","",VLOOKUP(B14,'Datos Rebisco'!B16:BF53,55,0))</f>
        <v/>
      </c>
      <c r="BM14" s="181" t="str">
        <f>IF(A14="","",VLOOKUP(B14,'Datos Rebisco'!B16:BF53,56,0))</f>
        <v/>
      </c>
      <c r="BN14" s="266" t="str">
        <f>IF(A14="","",IF(VLOOKUP(B14,'Datos Rebisco'!B16:BF53,57,0)=0,IF(AO14&gt;1,1,VLOOKUP(B14,'Datos Rebisco'!B16:BF53,57,0))))</f>
        <v/>
      </c>
      <c r="BO14" s="59"/>
      <c r="BP14" s="190" t="str">
        <f>+'Biyemas S.A.'!BP14</f>
        <v xml:space="preserve">Sab/Sat    </v>
      </c>
    </row>
    <row r="15" spans="1:68" x14ac:dyDescent="0.2">
      <c r="A15" s="188" t="str">
        <f>IF(BP15='Datos Rebisco'!A17,'Datos Rebisco'!A17,"")</f>
        <v/>
      </c>
      <c r="B15" s="185" t="str">
        <f>IF(BP15=A15,'Datos Rebisco'!B17,"")</f>
        <v/>
      </c>
      <c r="C15" s="186" t="str">
        <f>IF(BP15=A15,'Datos Rebisco'!C17,"")</f>
        <v/>
      </c>
      <c r="D15" s="37" t="str">
        <f>IF(BP15=A15,VLOOKUP(B15,'Datos Rebisco'!B17:BB54,3,0),"")</f>
        <v/>
      </c>
      <c r="E15" s="32" t="str">
        <f>IF(BP15=A15,VLOOKUP(B15,'Datos Rebisco'!B17:BB54,4,0),"")</f>
        <v/>
      </c>
      <c r="F15" s="32" t="str">
        <f>IF(BP15=A15,VLOOKUP(B15,'Datos Rebisco'!B17:BB54,5,0),"")</f>
        <v/>
      </c>
      <c r="G15" s="32" t="str">
        <f>IF(BP15=A15,VLOOKUP(B15,'Datos Rebisco'!B17:BB54,6,0),"")</f>
        <v/>
      </c>
      <c r="H15" s="33" t="str">
        <f t="shared" si="0"/>
        <v/>
      </c>
      <c r="I15" s="33" t="str">
        <f t="shared" si="1"/>
        <v/>
      </c>
      <c r="J15" s="34" t="str">
        <f t="shared" si="2"/>
        <v/>
      </c>
      <c r="K15" s="31" t="str">
        <f t="shared" si="3"/>
        <v/>
      </c>
      <c r="L15" s="37" t="str">
        <f>IF(A15="","",VLOOKUP(B15,'Datos Rebisco'!B17:BB54,11,0))</f>
        <v/>
      </c>
      <c r="M15" s="32" t="str">
        <f>IF(A15="","",VLOOKUP(B15,'Datos Rebisco'!B17:BB54,12,0))</f>
        <v/>
      </c>
      <c r="N15" s="32" t="str">
        <f>IF(A15="","",VLOOKUP(B15,'Datos Rebisco'!B17:BB54,13,0))</f>
        <v/>
      </c>
      <c r="O15" s="32" t="str">
        <f>IF(A15="","",VLOOKUP(B15,'Datos Rebisco'!B17:BB54,14,0))</f>
        <v/>
      </c>
      <c r="P15" s="33" t="str">
        <f t="shared" si="6"/>
        <v/>
      </c>
      <c r="Q15" s="33" t="str">
        <f t="shared" si="7"/>
        <v/>
      </c>
      <c r="R15" s="34" t="str">
        <f t="shared" si="4"/>
        <v/>
      </c>
      <c r="S15" s="31" t="str">
        <f t="shared" si="5"/>
        <v/>
      </c>
      <c r="T15" s="35" t="str">
        <f t="shared" si="8"/>
        <v/>
      </c>
      <c r="U15" s="35" t="str">
        <f t="shared" si="9"/>
        <v/>
      </c>
      <c r="V15" s="37" t="str">
        <f>IF(A15="","",VLOOKUP(B15,'Datos Rebisco'!B17:BB54,21,0))</f>
        <v/>
      </c>
      <c r="W15" s="32" t="str">
        <f>IF(A15="","",VLOOKUP(B15,'Datos Rebisco'!B17:BB54,22,0))</f>
        <v/>
      </c>
      <c r="X15" s="32" t="str">
        <f>IF(A15="","",VLOOKUP(B15,'Datos Rebisco'!B17:BB54,23,0))</f>
        <v/>
      </c>
      <c r="Y15" s="32" t="str">
        <f>IF(A15="","",VLOOKUP(B15,'Datos Rebisco'!B17:BB54,24,0))</f>
        <v/>
      </c>
      <c r="Z15" s="33" t="str">
        <f t="shared" si="10"/>
        <v/>
      </c>
      <c r="AA15" s="33" t="str">
        <f t="shared" si="11"/>
        <v/>
      </c>
      <c r="AB15" s="34" t="str">
        <f t="shared" si="12"/>
        <v/>
      </c>
      <c r="AC15" s="31" t="str">
        <f t="shared" si="13"/>
        <v/>
      </c>
      <c r="AD15" s="37" t="str">
        <f t="shared" si="14"/>
        <v/>
      </c>
      <c r="AE15" s="32" t="str">
        <f>IF(A15="","",VLOOKUP(B15,'Datos Rebisco'!B17:BB54,30,0))</f>
        <v/>
      </c>
      <c r="AF15" s="31" t="str">
        <f t="shared" si="15"/>
        <v/>
      </c>
      <c r="AG15" s="32" t="str">
        <f>IF(A15="","",VLOOKUP(B15,'Datos Rebisco'!B17:BB54,32,0))</f>
        <v/>
      </c>
      <c r="AH15" s="32" t="str">
        <f>IF(A15="","",VLOOKUP(B15,'Datos Rebisco'!B17:BB54,33,0))</f>
        <v/>
      </c>
      <c r="AI15" s="32" t="str">
        <f>IF(A15="","",VLOOKUP(B15,'Datos Rebisco'!B17:BB54,34,0))</f>
        <v/>
      </c>
      <c r="AJ15" s="34" t="str">
        <f t="shared" si="16"/>
        <v/>
      </c>
      <c r="AK15" s="37" t="str">
        <f t="shared" si="17"/>
        <v/>
      </c>
      <c r="AL15" s="37" t="str">
        <f>IF(A15="","",VLOOKUP(B15,'Datos Rebisco'!B17:BB54,37,0))</f>
        <v/>
      </c>
      <c r="AM15" s="36" t="str">
        <f t="shared" si="18"/>
        <v/>
      </c>
      <c r="AN15" s="274" t="str">
        <f>IF(BP15=A15,'Datos Rebisco'!BL17,"")</f>
        <v/>
      </c>
      <c r="AO15" s="32" t="str">
        <f>IF(A15="","",VLOOKUP(B15,'Datos Rebisco'!B17:BF54,39,0))</f>
        <v/>
      </c>
      <c r="AP15" s="36" t="str">
        <f t="shared" si="23"/>
        <v/>
      </c>
      <c r="AQ15" s="32" t="str">
        <f>IF(A15="","",VLOOKUP(B15,'Datos Rebisco'!B17:BH54,41,0))</f>
        <v/>
      </c>
      <c r="AR15" s="32" t="str">
        <f>IF(A15="","",VLOOKUP(B15,'Datos Rebisco'!B17:BI54,42,0))</f>
        <v/>
      </c>
      <c r="AS15" s="32" t="str">
        <f>IF(A15="","",VLOOKUP(B15,'Datos Rebisco'!B17:BJ54,43,0))</f>
        <v/>
      </c>
      <c r="AT15" s="32" t="str">
        <f>IF(A15="","",VLOOKUP(B15,'Datos Rebisco'!B17:BK54,44,0))</f>
        <v/>
      </c>
      <c r="AU15" s="58"/>
      <c r="AV15" s="37" t="str">
        <f t="shared" si="24"/>
        <v/>
      </c>
      <c r="AW15" s="38" t="str">
        <f t="shared" si="19"/>
        <v/>
      </c>
      <c r="AY15" s="180" t="str">
        <f>IF(A15="","",+'Datos Rebisco'!AY17)</f>
        <v/>
      </c>
      <c r="AZ15" s="258" t="str">
        <f t="shared" si="20"/>
        <v/>
      </c>
      <c r="BA15" s="255" t="str">
        <f>IF(A15="","",VLOOKUP(B15,'Datos Rebisco'!B17:BF54,51,0))</f>
        <v/>
      </c>
      <c r="BB15" s="181" t="str">
        <f t="shared" si="21"/>
        <v/>
      </c>
      <c r="BC15" s="180" t="str">
        <f>IF(BP15=A15,'Datos Rebisco'!BL17,"")</f>
        <v/>
      </c>
      <c r="BD15" s="181" t="str">
        <f t="shared" si="22"/>
        <v/>
      </c>
      <c r="BE15" s="29" t="str">
        <f>IF(A15="","",VLOOKUP(B15,'Datos Rebisco'!B17:BF54,53,0))</f>
        <v/>
      </c>
      <c r="BF15" s="28" t="str">
        <f>IF(A15="","",VLOOKUP(B15,'Datos Rebisco'!B17:BF54,54,0))</f>
        <v/>
      </c>
      <c r="BG15" s="28" t="str">
        <f>IF(A15="","",VLOOKUP(B15,'Datos Rebisco'!B17:BF54,55,0))</f>
        <v/>
      </c>
      <c r="BH15" s="28" t="str">
        <f>IF(A15="","",VLOOKUP(B15,'Datos Rebisco'!B17:BF54,51,0))</f>
        <v/>
      </c>
      <c r="BI15" s="28" t="str">
        <f>IF(A15="","",IF(VLOOKUP(B15,'Datos Rebisco'!B17:BF54,52,0)=0%,IF(AO15&gt;1,1,VLOOKUP(B15,'Datos Rebisco'!B17:BF54,52,0))))</f>
        <v/>
      </c>
      <c r="BJ15" s="211" t="str">
        <f>IF(A15="","",VLOOKUP(B15,'Datos Rebisco'!B17:BH54,58,0))</f>
        <v/>
      </c>
      <c r="BK15" s="27" t="str">
        <f>IF(A15="","",VLOOKUP(B15,'Datos Rebisco'!B17:BH54,59,0))</f>
        <v/>
      </c>
      <c r="BL15" s="29" t="str">
        <f>IF(A15="","",VLOOKUP(B15,'Datos Rebisco'!B17:BF54,55,0))</f>
        <v/>
      </c>
      <c r="BM15" s="181" t="str">
        <f>IF(A15="","",VLOOKUP(B15,'Datos Rebisco'!B17:BF54,56,0))</f>
        <v/>
      </c>
      <c r="BN15" s="266" t="str">
        <f>IF(A15="","",IF(VLOOKUP(B15,'Datos Rebisco'!B17:BF54,57,0)=0,IF(AO15&gt;1,1,VLOOKUP(B15,'Datos Rebisco'!B17:BF54,57,0))))</f>
        <v/>
      </c>
      <c r="BO15" s="59"/>
      <c r="BP15" s="190" t="str">
        <f>+'Biyemas S.A.'!BP15</f>
        <v xml:space="preserve">Dom/Sun    </v>
      </c>
    </row>
    <row r="16" spans="1:68" s="30" customFormat="1" ht="11.25" customHeight="1" x14ac:dyDescent="0.2">
      <c r="A16" s="188" t="str">
        <f>IF(BP16='Datos Rebisco'!A18,'Datos Rebisco'!A18,"")</f>
        <v/>
      </c>
      <c r="B16" s="185" t="str">
        <f>IF(BP16=A16,'Datos Rebisco'!B18,"")</f>
        <v/>
      </c>
      <c r="C16" s="186" t="str">
        <f>IF(BP16=A16,'Datos Rebisco'!C18,"")</f>
        <v/>
      </c>
      <c r="D16" s="37" t="str">
        <f>IF(BP16=A16,VLOOKUP(B16,'Datos Rebisco'!B18:BB55,3,0),"")</f>
        <v/>
      </c>
      <c r="E16" s="32" t="str">
        <f>IF(BP16=A16,VLOOKUP(B16,'Datos Rebisco'!B18:BB55,4,0),"")</f>
        <v/>
      </c>
      <c r="F16" s="32" t="str">
        <f>IF(BP16=A16,VLOOKUP(B16,'Datos Rebisco'!B18:BB55,5,0),"")</f>
        <v/>
      </c>
      <c r="G16" s="32" t="str">
        <f>IF(BP16=A16,VLOOKUP(B16,'Datos Rebisco'!B18:BB55,6,0),"")</f>
        <v/>
      </c>
      <c r="H16" s="33" t="str">
        <f t="shared" si="0"/>
        <v/>
      </c>
      <c r="I16" s="33" t="str">
        <f t="shared" si="1"/>
        <v/>
      </c>
      <c r="J16" s="34" t="str">
        <f t="shared" si="2"/>
        <v/>
      </c>
      <c r="K16" s="31" t="str">
        <f t="shared" si="3"/>
        <v/>
      </c>
      <c r="L16" s="37" t="str">
        <f>IF(A16="","",VLOOKUP(B16,'Datos Rebisco'!B18:BB55,11,0))</f>
        <v/>
      </c>
      <c r="M16" s="32" t="str">
        <f>IF(A16="","",VLOOKUP(B16,'Datos Rebisco'!B18:BB55,12,0))</f>
        <v/>
      </c>
      <c r="N16" s="32" t="str">
        <f>IF(A16="","",VLOOKUP(B16,'Datos Rebisco'!B18:BB55,13,0))</f>
        <v/>
      </c>
      <c r="O16" s="32" t="str">
        <f>IF(A16="","",VLOOKUP(B16,'Datos Rebisco'!B18:BB55,14,0))</f>
        <v/>
      </c>
      <c r="P16" s="33" t="str">
        <f t="shared" si="6"/>
        <v/>
      </c>
      <c r="Q16" s="33" t="str">
        <f t="shared" si="7"/>
        <v/>
      </c>
      <c r="R16" s="34" t="str">
        <f t="shared" si="4"/>
        <v/>
      </c>
      <c r="S16" s="31" t="str">
        <f t="shared" si="5"/>
        <v/>
      </c>
      <c r="T16" s="35" t="str">
        <f t="shared" si="8"/>
        <v/>
      </c>
      <c r="U16" s="35" t="str">
        <f t="shared" si="9"/>
        <v/>
      </c>
      <c r="V16" s="37" t="str">
        <f>IF(A16="","",VLOOKUP(B16,'Datos Rebisco'!B18:BB55,21,0))</f>
        <v/>
      </c>
      <c r="W16" s="32" t="str">
        <f>IF(A16="","",VLOOKUP(B16,'Datos Rebisco'!B18:BB55,22,0))</f>
        <v/>
      </c>
      <c r="X16" s="32" t="str">
        <f>IF(A16="","",VLOOKUP(B16,'Datos Rebisco'!B18:BB55,23,0))</f>
        <v/>
      </c>
      <c r="Y16" s="32" t="str">
        <f>IF(A16="","",VLOOKUP(B16,'Datos Rebisco'!B18:BB55,24,0))</f>
        <v/>
      </c>
      <c r="Z16" s="33" t="str">
        <f t="shared" si="10"/>
        <v/>
      </c>
      <c r="AA16" s="33" t="str">
        <f t="shared" si="11"/>
        <v/>
      </c>
      <c r="AB16" s="34" t="str">
        <f t="shared" si="12"/>
        <v/>
      </c>
      <c r="AC16" s="31" t="str">
        <f t="shared" si="13"/>
        <v/>
      </c>
      <c r="AD16" s="37" t="str">
        <f t="shared" si="14"/>
        <v/>
      </c>
      <c r="AE16" s="32" t="str">
        <f>IF(A16="","",VLOOKUP(B16,'Datos Rebisco'!B18:BB55,30,0))</f>
        <v/>
      </c>
      <c r="AF16" s="31" t="str">
        <f t="shared" si="15"/>
        <v/>
      </c>
      <c r="AG16" s="32" t="str">
        <f>IF(A16="","",VLOOKUP(B16,'Datos Rebisco'!B18:BB55,32,0))</f>
        <v/>
      </c>
      <c r="AH16" s="32" t="str">
        <f>IF(A16="","",VLOOKUP(B16,'Datos Rebisco'!B18:BB55,33,0))</f>
        <v/>
      </c>
      <c r="AI16" s="32" t="str">
        <f>IF(A16="","",VLOOKUP(B16,'Datos Rebisco'!B18:BB55,34,0))</f>
        <v/>
      </c>
      <c r="AJ16" s="34" t="str">
        <f t="shared" si="16"/>
        <v/>
      </c>
      <c r="AK16" s="37" t="str">
        <f t="shared" si="17"/>
        <v/>
      </c>
      <c r="AL16" s="37" t="str">
        <f>IF(A16="","",VLOOKUP(B16,'Datos Rebisco'!B18:BB55,37,0))</f>
        <v/>
      </c>
      <c r="AM16" s="36" t="str">
        <f t="shared" si="18"/>
        <v/>
      </c>
      <c r="AN16" s="274" t="str">
        <f>IF(BP16=A16,'Datos Rebisco'!BL18,"")</f>
        <v/>
      </c>
      <c r="AO16" s="32" t="str">
        <f>IF(A16="","",VLOOKUP(B16,'Datos Rebisco'!B18:BF55,39,0))</f>
        <v/>
      </c>
      <c r="AP16" s="36" t="str">
        <f t="shared" si="23"/>
        <v/>
      </c>
      <c r="AQ16" s="32" t="str">
        <f>IF(A16="","",VLOOKUP(B16,'Datos Rebisco'!B18:BH55,41,0))</f>
        <v/>
      </c>
      <c r="AR16" s="32" t="str">
        <f>IF(A16="","",VLOOKUP(B16,'Datos Rebisco'!B18:BI55,42,0))</f>
        <v/>
      </c>
      <c r="AS16" s="32" t="str">
        <f>IF(A16="","",VLOOKUP(B16,'Datos Rebisco'!B18:BJ55,43,0))</f>
        <v/>
      </c>
      <c r="AT16" s="32" t="str">
        <f>IF(A16="","",VLOOKUP(B16,'Datos Rebisco'!B18:BK55,44,0))</f>
        <v/>
      </c>
      <c r="AU16" s="58"/>
      <c r="AV16" s="37" t="str">
        <f t="shared" si="24"/>
        <v/>
      </c>
      <c r="AW16" s="38" t="str">
        <f t="shared" si="19"/>
        <v/>
      </c>
      <c r="AY16" s="180" t="str">
        <f>IF(A16="","",+'Datos Rebisco'!AY18)</f>
        <v/>
      </c>
      <c r="AZ16" s="258" t="str">
        <f t="shared" si="20"/>
        <v/>
      </c>
      <c r="BA16" s="255" t="str">
        <f>IF(A16="","",VLOOKUP(B16,'Datos Rebisco'!B18:BF55,51,0))</f>
        <v/>
      </c>
      <c r="BB16" s="181" t="str">
        <f t="shared" si="21"/>
        <v/>
      </c>
      <c r="BC16" s="180" t="str">
        <f>IF(BP16=A16,'Datos Rebisco'!BL18,"")</f>
        <v/>
      </c>
      <c r="BD16" s="181" t="str">
        <f t="shared" si="22"/>
        <v/>
      </c>
      <c r="BE16" s="29" t="str">
        <f>IF(A16="","",VLOOKUP(B16,'Datos Rebisco'!B18:BF55,53,0))</f>
        <v/>
      </c>
      <c r="BF16" s="28" t="str">
        <f>IF(A16="","",VLOOKUP(B16,'Datos Rebisco'!B18:BF55,54,0))</f>
        <v/>
      </c>
      <c r="BG16" s="28" t="str">
        <f>IF(A16="","",VLOOKUP(B16,'Datos Rebisco'!B18:BF55,55,0))</f>
        <v/>
      </c>
      <c r="BH16" s="28" t="str">
        <f>IF(A16="","",VLOOKUP(B16,'Datos Rebisco'!B18:BF55,51,0))</f>
        <v/>
      </c>
      <c r="BI16" s="28" t="str">
        <f>IF(A16="","",IF(VLOOKUP(B16,'Datos Rebisco'!B18:BF55,52,0)=0%,IF(AO16&gt;1,1,VLOOKUP(B16,'Datos Rebisco'!B18:BF55,52,0))))</f>
        <v/>
      </c>
      <c r="BJ16" s="211" t="str">
        <f>IF(A16="","",VLOOKUP(B16,'Datos Rebisco'!B18:BH55,58,0))</f>
        <v/>
      </c>
      <c r="BK16" s="27" t="str">
        <f>IF(A16="","",VLOOKUP(B16,'Datos Rebisco'!B18:BH55,59,0))</f>
        <v/>
      </c>
      <c r="BL16" s="29" t="str">
        <f>IF(A16="","",VLOOKUP(B16,'Datos Rebisco'!B18:BF55,55,0))</f>
        <v/>
      </c>
      <c r="BM16" s="181" t="str">
        <f>IF(A16="","",VLOOKUP(B16,'Datos Rebisco'!B18:BF55,56,0))</f>
        <v/>
      </c>
      <c r="BN16" s="266" t="str">
        <f>IF(A16="","",IF(VLOOKUP(B16,'Datos Rebisco'!B18:BF55,57,0)=0,IF(AO16&gt;1,1,VLOOKUP(B16,'Datos Rebisco'!B18:BF55,57,0))))</f>
        <v/>
      </c>
      <c r="BO16" s="59"/>
      <c r="BP16" s="190" t="str">
        <f>+'Biyemas S.A.'!BP16</f>
        <v xml:space="preserve">Lun/Mon    </v>
      </c>
    </row>
    <row r="17" spans="1:68" s="30" customFormat="1" ht="11.25" customHeight="1" x14ac:dyDescent="0.2">
      <c r="A17" s="188" t="str">
        <f>IF(BP17='Datos Rebisco'!A19,'Datos Rebisco'!A19,"")</f>
        <v/>
      </c>
      <c r="B17" s="185" t="str">
        <f>IF(BP17=A17,'Datos Rebisco'!B19,"")</f>
        <v/>
      </c>
      <c r="C17" s="186" t="str">
        <f>IF(BP17=A17,'Datos Rebisco'!C19,"")</f>
        <v/>
      </c>
      <c r="D17" s="37" t="str">
        <f>IF(BP17=A17,VLOOKUP(B17,'Datos Rebisco'!B19:BB56,3,0),"")</f>
        <v/>
      </c>
      <c r="E17" s="32" t="str">
        <f>IF(BP17=A17,VLOOKUP(B17,'Datos Rebisco'!B19:BB56,4,0),"")</f>
        <v/>
      </c>
      <c r="F17" s="32" t="str">
        <f>IF(BP17=A17,VLOOKUP(B17,'Datos Rebisco'!B19:BB56,5,0),"")</f>
        <v/>
      </c>
      <c r="G17" s="32" t="str">
        <f>IF(BP17=A17,VLOOKUP(B17,'Datos Rebisco'!B19:BB56,6,0),"")</f>
        <v/>
      </c>
      <c r="H17" s="33" t="str">
        <f t="shared" si="0"/>
        <v/>
      </c>
      <c r="I17" s="33" t="str">
        <f t="shared" si="1"/>
        <v/>
      </c>
      <c r="J17" s="34" t="str">
        <f t="shared" si="2"/>
        <v/>
      </c>
      <c r="K17" s="31" t="str">
        <f t="shared" si="3"/>
        <v/>
      </c>
      <c r="L17" s="37" t="str">
        <f>IF(A17="","",VLOOKUP(B17,'Datos Rebisco'!B19:BB56,11,0))</f>
        <v/>
      </c>
      <c r="M17" s="32" t="str">
        <f>IF(A17="","",VLOOKUP(B17,'Datos Rebisco'!B19:BB56,12,0))</f>
        <v/>
      </c>
      <c r="N17" s="32" t="str">
        <f>IF(A17="","",VLOOKUP(B17,'Datos Rebisco'!B19:BB56,13,0))</f>
        <v/>
      </c>
      <c r="O17" s="32" t="str">
        <f>IF(A17="","",VLOOKUP(B17,'Datos Rebisco'!B19:BB56,14,0))</f>
        <v/>
      </c>
      <c r="P17" s="33" t="str">
        <f t="shared" si="6"/>
        <v/>
      </c>
      <c r="Q17" s="33" t="str">
        <f t="shared" si="7"/>
        <v/>
      </c>
      <c r="R17" s="34" t="str">
        <f t="shared" si="4"/>
        <v/>
      </c>
      <c r="S17" s="31" t="str">
        <f t="shared" si="5"/>
        <v/>
      </c>
      <c r="T17" s="35" t="str">
        <f t="shared" si="8"/>
        <v/>
      </c>
      <c r="U17" s="35" t="str">
        <f t="shared" si="9"/>
        <v/>
      </c>
      <c r="V17" s="37" t="str">
        <f>IF(A17="","",VLOOKUP(B17,'Datos Rebisco'!B19:BB56,21,0))</f>
        <v/>
      </c>
      <c r="W17" s="32" t="str">
        <f>IF(A17="","",VLOOKUP(B17,'Datos Rebisco'!B19:BB56,22,0))</f>
        <v/>
      </c>
      <c r="X17" s="32" t="str">
        <f>IF(A17="","",VLOOKUP(B17,'Datos Rebisco'!B19:BB56,23,0))</f>
        <v/>
      </c>
      <c r="Y17" s="32" t="str">
        <f>IF(A17="","",VLOOKUP(B17,'Datos Rebisco'!B19:BB56,24,0))</f>
        <v/>
      </c>
      <c r="Z17" s="33" t="str">
        <f t="shared" si="10"/>
        <v/>
      </c>
      <c r="AA17" s="33" t="str">
        <f t="shared" si="11"/>
        <v/>
      </c>
      <c r="AB17" s="34" t="str">
        <f t="shared" si="12"/>
        <v/>
      </c>
      <c r="AC17" s="31" t="str">
        <f t="shared" si="13"/>
        <v/>
      </c>
      <c r="AD17" s="37" t="str">
        <f t="shared" si="14"/>
        <v/>
      </c>
      <c r="AE17" s="32" t="str">
        <f>IF(A17="","",VLOOKUP(B17,'Datos Rebisco'!B19:BB56,30,0))</f>
        <v/>
      </c>
      <c r="AF17" s="31" t="str">
        <f t="shared" si="15"/>
        <v/>
      </c>
      <c r="AG17" s="32" t="str">
        <f>IF(A17="","",VLOOKUP(B17,'Datos Rebisco'!B19:BB56,32,0))</f>
        <v/>
      </c>
      <c r="AH17" s="32" t="str">
        <f>IF(A17="","",VLOOKUP(B17,'Datos Rebisco'!B19:BB56,33,0))</f>
        <v/>
      </c>
      <c r="AI17" s="32" t="str">
        <f>IF(A17="","",VLOOKUP(B17,'Datos Rebisco'!B19:BB56,34,0))</f>
        <v/>
      </c>
      <c r="AJ17" s="34" t="str">
        <f t="shared" si="16"/>
        <v/>
      </c>
      <c r="AK17" s="37" t="str">
        <f t="shared" si="17"/>
        <v/>
      </c>
      <c r="AL17" s="37" t="str">
        <f>IF(A17="","",VLOOKUP(B17,'Datos Rebisco'!B19:BB56,37,0))</f>
        <v/>
      </c>
      <c r="AM17" s="36" t="str">
        <f t="shared" si="18"/>
        <v/>
      </c>
      <c r="AN17" s="274" t="str">
        <f>IF(BP17=A17,'Datos Rebisco'!BL19,"")</f>
        <v/>
      </c>
      <c r="AO17" s="32" t="str">
        <f>IF(A17="","",VLOOKUP(B17,'Datos Rebisco'!B19:BF56,39,0))</f>
        <v/>
      </c>
      <c r="AP17" s="36" t="str">
        <f t="shared" si="23"/>
        <v/>
      </c>
      <c r="AQ17" s="32" t="str">
        <f>IF(A17="","",VLOOKUP(B17,'Datos Rebisco'!B19:BH56,41,0))</f>
        <v/>
      </c>
      <c r="AR17" s="32" t="str">
        <f>IF(A17="","",VLOOKUP(B17,'Datos Rebisco'!B19:BI56,42,0))</f>
        <v/>
      </c>
      <c r="AS17" s="32" t="str">
        <f>IF(A17="","",VLOOKUP(B17,'Datos Rebisco'!B19:BJ56,43,0))</f>
        <v/>
      </c>
      <c r="AT17" s="32" t="str">
        <f>IF(A17="","",VLOOKUP(B17,'Datos Rebisco'!B19:BK56,44,0))</f>
        <v/>
      </c>
      <c r="AU17" s="58"/>
      <c r="AV17" s="37" t="str">
        <f t="shared" si="24"/>
        <v/>
      </c>
      <c r="AW17" s="38" t="str">
        <f t="shared" si="19"/>
        <v/>
      </c>
      <c r="AY17" s="180" t="str">
        <f>IF(A17="","",+'Datos Rebisco'!AY19)</f>
        <v/>
      </c>
      <c r="AZ17" s="258" t="str">
        <f t="shared" si="20"/>
        <v/>
      </c>
      <c r="BA17" s="255" t="str">
        <f>IF(A17="","",VLOOKUP(B17,'Datos Rebisco'!B19:BF56,51,0))</f>
        <v/>
      </c>
      <c r="BB17" s="181" t="str">
        <f t="shared" si="21"/>
        <v/>
      </c>
      <c r="BC17" s="180" t="str">
        <f>IF(BP17=A17,'Datos Rebisco'!BL19,"")</f>
        <v/>
      </c>
      <c r="BD17" s="181" t="str">
        <f t="shared" si="22"/>
        <v/>
      </c>
      <c r="BE17" s="29" t="str">
        <f>IF(A17="","",VLOOKUP(B17,'Datos Rebisco'!B19:BF56,53,0))</f>
        <v/>
      </c>
      <c r="BF17" s="28" t="str">
        <f>IF(A17="","",VLOOKUP(B17,'Datos Rebisco'!B19:BF56,54,0))</f>
        <v/>
      </c>
      <c r="BG17" s="28" t="str">
        <f>IF(A17="","",VLOOKUP(B17,'Datos Rebisco'!B19:BF56,55,0))</f>
        <v/>
      </c>
      <c r="BH17" s="28" t="str">
        <f>IF(A17="","",VLOOKUP(B17,'Datos Rebisco'!B19:BF56,51,0))</f>
        <v/>
      </c>
      <c r="BI17" s="28" t="str">
        <f>IF(A17="","",IF(VLOOKUP(B17,'Datos Rebisco'!B19:BF56,52,0)=0%,IF(AO17&gt;1,1,VLOOKUP(B17,'Datos Rebisco'!B19:BF56,52,0))))</f>
        <v/>
      </c>
      <c r="BJ17" s="211" t="str">
        <f>IF(A17="","",VLOOKUP(B17,'Datos Rebisco'!B19:BH56,58,0))</f>
        <v/>
      </c>
      <c r="BK17" s="27" t="str">
        <f>IF(A17="","",VLOOKUP(B17,'Datos Rebisco'!B19:BH56,59,0))</f>
        <v/>
      </c>
      <c r="BL17" s="29" t="str">
        <f>IF(A17="","",VLOOKUP(B17,'Datos Rebisco'!B19:BF56,55,0))</f>
        <v/>
      </c>
      <c r="BM17" s="181" t="str">
        <f>IF(A17="","",VLOOKUP(B17,'Datos Rebisco'!B19:BF56,56,0))</f>
        <v/>
      </c>
      <c r="BN17" s="266" t="str">
        <f>IF(A17="","",IF(VLOOKUP(B17,'Datos Rebisco'!B19:BF56,57,0)=0,IF(AO17&gt;1,1,VLOOKUP(B17,'Datos Rebisco'!B19:BF56,57,0))))</f>
        <v/>
      </c>
      <c r="BO17" s="59"/>
      <c r="BP17" s="190" t="str">
        <f>+'Biyemas S.A.'!BP17</f>
        <v xml:space="preserve">Mar/Tue    </v>
      </c>
    </row>
    <row r="18" spans="1:68" s="30" customFormat="1" x14ac:dyDescent="0.2">
      <c r="A18" s="188" t="str">
        <f>IF(BP18='Datos Rebisco'!A20,'Datos Rebisco'!A20,"")</f>
        <v/>
      </c>
      <c r="B18" s="185" t="str">
        <f>IF(BP18=A18,'Datos Rebisco'!B20,"")</f>
        <v/>
      </c>
      <c r="C18" s="186" t="str">
        <f>IF(BP18=A18,'Datos Rebisco'!C20,"")</f>
        <v/>
      </c>
      <c r="D18" s="37" t="str">
        <f>IF(BP18=A18,VLOOKUP(B18,'Datos Rebisco'!B20:BB57,3,0),"")</f>
        <v/>
      </c>
      <c r="E18" s="32" t="str">
        <f>IF(BP18=A18,VLOOKUP(B18,'Datos Rebisco'!B20:BB57,4,0),"")</f>
        <v/>
      </c>
      <c r="F18" s="32" t="str">
        <f>IF(BP18=A18,VLOOKUP(B18,'Datos Rebisco'!B20:BB57,5,0),"")</f>
        <v/>
      </c>
      <c r="G18" s="32" t="str">
        <f>IF(BP18=A18,VLOOKUP(B18,'Datos Rebisco'!B20:BB57,6,0),"")</f>
        <v/>
      </c>
      <c r="H18" s="33" t="str">
        <f t="shared" si="0"/>
        <v/>
      </c>
      <c r="I18" s="33" t="str">
        <f t="shared" si="1"/>
        <v/>
      </c>
      <c r="J18" s="34" t="str">
        <f t="shared" si="2"/>
        <v/>
      </c>
      <c r="K18" s="31" t="str">
        <f t="shared" si="3"/>
        <v/>
      </c>
      <c r="L18" s="37" t="str">
        <f>IF(A18="","",VLOOKUP(B18,'Datos Rebisco'!B20:BB57,11,0))</f>
        <v/>
      </c>
      <c r="M18" s="32" t="str">
        <f>IF(A18="","",VLOOKUP(B18,'Datos Rebisco'!B20:BB57,12,0))</f>
        <v/>
      </c>
      <c r="N18" s="32" t="str">
        <f>IF(A18="","",VLOOKUP(B18,'Datos Rebisco'!B20:BB57,13,0))</f>
        <v/>
      </c>
      <c r="O18" s="32" t="str">
        <f>IF(A18="","",VLOOKUP(B18,'Datos Rebisco'!B20:BB57,14,0))</f>
        <v/>
      </c>
      <c r="P18" s="33" t="str">
        <f t="shared" si="6"/>
        <v/>
      </c>
      <c r="Q18" s="33" t="str">
        <f t="shared" si="7"/>
        <v/>
      </c>
      <c r="R18" s="34" t="str">
        <f t="shared" si="4"/>
        <v/>
      </c>
      <c r="S18" s="31" t="str">
        <f t="shared" si="5"/>
        <v/>
      </c>
      <c r="T18" s="35" t="str">
        <f t="shared" si="8"/>
        <v/>
      </c>
      <c r="U18" s="35" t="str">
        <f t="shared" si="9"/>
        <v/>
      </c>
      <c r="V18" s="37" t="str">
        <f>IF(A18="","",VLOOKUP(B18,'Datos Rebisco'!B20:BB57,21,0))</f>
        <v/>
      </c>
      <c r="W18" s="32" t="str">
        <f>IF(A18="","",VLOOKUP(B18,'Datos Rebisco'!B20:BB57,22,0))</f>
        <v/>
      </c>
      <c r="X18" s="32" t="str">
        <f>IF(A18="","",VLOOKUP(B18,'Datos Rebisco'!B20:BB57,23,0))</f>
        <v/>
      </c>
      <c r="Y18" s="32" t="str">
        <f>IF(A18="","",VLOOKUP(B18,'Datos Rebisco'!B20:BB57,24,0))</f>
        <v/>
      </c>
      <c r="Z18" s="33" t="str">
        <f t="shared" si="10"/>
        <v/>
      </c>
      <c r="AA18" s="33" t="str">
        <f t="shared" si="11"/>
        <v/>
      </c>
      <c r="AB18" s="34" t="str">
        <f t="shared" si="12"/>
        <v/>
      </c>
      <c r="AC18" s="31" t="str">
        <f t="shared" si="13"/>
        <v/>
      </c>
      <c r="AD18" s="37" t="str">
        <f t="shared" si="14"/>
        <v/>
      </c>
      <c r="AE18" s="32" t="str">
        <f>IF(A18="","",VLOOKUP(B18,'Datos Rebisco'!B20:BB57,30,0))</f>
        <v/>
      </c>
      <c r="AF18" s="31" t="str">
        <f t="shared" si="15"/>
        <v/>
      </c>
      <c r="AG18" s="32" t="str">
        <f>IF(A18="","",VLOOKUP(B18,'Datos Rebisco'!B20:BB57,32,0))</f>
        <v/>
      </c>
      <c r="AH18" s="32" t="str">
        <f>IF(A18="","",VLOOKUP(B18,'Datos Rebisco'!B20:BB57,33,0))</f>
        <v/>
      </c>
      <c r="AI18" s="32" t="str">
        <f>IF(A18="","",VLOOKUP(B18,'Datos Rebisco'!B20:BB57,34,0))</f>
        <v/>
      </c>
      <c r="AJ18" s="34" t="str">
        <f t="shared" si="16"/>
        <v/>
      </c>
      <c r="AK18" s="37" t="str">
        <f t="shared" si="17"/>
        <v/>
      </c>
      <c r="AL18" s="37" t="str">
        <f>IF(A18="","",VLOOKUP(B18,'Datos Rebisco'!B20:BB57,37,0))</f>
        <v/>
      </c>
      <c r="AM18" s="36" t="str">
        <f t="shared" si="18"/>
        <v/>
      </c>
      <c r="AN18" s="274" t="str">
        <f>IF(BP18=A18,'Datos Rebisco'!BL20,"")</f>
        <v/>
      </c>
      <c r="AO18" s="32" t="str">
        <f>IF(A18="","",VLOOKUP(B18,'Datos Rebisco'!B20:BF57,39,0))</f>
        <v/>
      </c>
      <c r="AP18" s="36" t="str">
        <f t="shared" si="23"/>
        <v/>
      </c>
      <c r="AQ18" s="32" t="str">
        <f>IF(A18="","",VLOOKUP(B18,'Datos Rebisco'!B20:BH57,41,0))</f>
        <v/>
      </c>
      <c r="AR18" s="32" t="str">
        <f>IF(A18="","",VLOOKUP(B18,'Datos Rebisco'!B20:BI57,42,0))</f>
        <v/>
      </c>
      <c r="AS18" s="32" t="str">
        <f>IF(A18="","",VLOOKUP(B18,'Datos Rebisco'!B20:BJ57,43,0))</f>
        <v/>
      </c>
      <c r="AT18" s="32" t="str">
        <f>IF(A18="","",VLOOKUP(B18,'Datos Rebisco'!B20:BK57,44,0))</f>
        <v/>
      </c>
      <c r="AU18" s="58"/>
      <c r="AV18" s="37" t="str">
        <f t="shared" si="24"/>
        <v/>
      </c>
      <c r="AW18" s="38" t="str">
        <f t="shared" si="19"/>
        <v/>
      </c>
      <c r="AY18" s="180" t="str">
        <f>IF(A18="","",+'Datos Rebisco'!AY20)</f>
        <v/>
      </c>
      <c r="AZ18" s="258" t="str">
        <f t="shared" si="20"/>
        <v/>
      </c>
      <c r="BA18" s="255" t="str">
        <f>IF(A18="","",VLOOKUP(B18,'Datos Rebisco'!B20:BF57,51,0))</f>
        <v/>
      </c>
      <c r="BB18" s="181" t="str">
        <f t="shared" si="21"/>
        <v/>
      </c>
      <c r="BC18" s="180" t="str">
        <f>IF(BP18=A18,'Datos Rebisco'!BL20,"")</f>
        <v/>
      </c>
      <c r="BD18" s="181" t="str">
        <f t="shared" si="22"/>
        <v/>
      </c>
      <c r="BE18" s="29" t="str">
        <f>IF(A18="","",VLOOKUP(B18,'Datos Rebisco'!B20:BF57,53,0))</f>
        <v/>
      </c>
      <c r="BF18" s="28" t="str">
        <f>IF(A18="","",VLOOKUP(B18,'Datos Rebisco'!B20:BF57,54,0))</f>
        <v/>
      </c>
      <c r="BG18" s="28" t="str">
        <f>IF(A18="","",VLOOKUP(B18,'Datos Rebisco'!B20:BF57,55,0))</f>
        <v/>
      </c>
      <c r="BH18" s="28" t="str">
        <f>IF(A18="","",VLOOKUP(B18,'Datos Rebisco'!B20:BF57,51,0))</f>
        <v/>
      </c>
      <c r="BI18" s="28" t="str">
        <f>IF(A18="","",IF(VLOOKUP(B18,'Datos Rebisco'!B20:BF57,52,0)=0%,IF(AO18&gt;1,1,VLOOKUP(B18,'Datos Rebisco'!B20:BF57,52,0))))</f>
        <v/>
      </c>
      <c r="BJ18" s="211" t="str">
        <f>IF(A18="","",VLOOKUP(B18,'Datos Rebisco'!B20:BH57,58,0))</f>
        <v/>
      </c>
      <c r="BK18" s="27" t="str">
        <f>IF(A18="","",VLOOKUP(B18,'Datos Rebisco'!B20:BH57,59,0))</f>
        <v/>
      </c>
      <c r="BL18" s="29" t="str">
        <f>IF(A18="","",VLOOKUP(B18,'Datos Rebisco'!B20:BF57,55,0))</f>
        <v/>
      </c>
      <c r="BM18" s="181" t="str">
        <f>IF(A18="","",VLOOKUP(B18,'Datos Rebisco'!B20:BF57,56,0))</f>
        <v/>
      </c>
      <c r="BN18" s="266" t="str">
        <f>IF(A18="","",IF(VLOOKUP(B18,'Datos Rebisco'!B20:BF57,57,0)=0,IF(AO18&gt;1,1,VLOOKUP(B18,'Datos Rebisco'!B20:BF57,57,0))))</f>
        <v/>
      </c>
      <c r="BO18" s="59"/>
      <c r="BP18" s="190" t="str">
        <f>+'Biyemas S.A.'!BP18</f>
        <v xml:space="preserve">Mie/Wed    </v>
      </c>
    </row>
    <row r="19" spans="1:68" ht="11.25" customHeight="1" x14ac:dyDescent="0.2">
      <c r="A19" s="188" t="str">
        <f>IF(BP19='Datos Rebisco'!A21,'Datos Rebisco'!A21,"")</f>
        <v/>
      </c>
      <c r="B19" s="185" t="str">
        <f>IF(BP19=A19,'Datos Rebisco'!B21,"")</f>
        <v/>
      </c>
      <c r="C19" s="186" t="str">
        <f>IF(BP19=A19,'Datos Rebisco'!C21,"")</f>
        <v/>
      </c>
      <c r="D19" s="37" t="str">
        <f>IF(BP19=A19,VLOOKUP(B19,'Datos Rebisco'!B21:BB58,3,0),"")</f>
        <v/>
      </c>
      <c r="E19" s="32" t="str">
        <f>IF(BP19=A19,VLOOKUP(B19,'Datos Rebisco'!B21:BB58,4,0),"")</f>
        <v/>
      </c>
      <c r="F19" s="32" t="str">
        <f>IF(BP19=A19,VLOOKUP(B19,'Datos Rebisco'!B21:BB58,5,0),"")</f>
        <v/>
      </c>
      <c r="G19" s="32" t="str">
        <f>IF(BP19=A19,VLOOKUP(B19,'Datos Rebisco'!B21:BB58,6,0),"")</f>
        <v/>
      </c>
      <c r="H19" s="33" t="str">
        <f t="shared" si="0"/>
        <v/>
      </c>
      <c r="I19" s="33" t="str">
        <f t="shared" si="1"/>
        <v/>
      </c>
      <c r="J19" s="34" t="str">
        <f t="shared" si="2"/>
        <v/>
      </c>
      <c r="K19" s="31" t="str">
        <f t="shared" si="3"/>
        <v/>
      </c>
      <c r="L19" s="37" t="str">
        <f>IF(A19="","",VLOOKUP(B19,'Datos Rebisco'!B21:BB58,11,0))</f>
        <v/>
      </c>
      <c r="M19" s="32" t="str">
        <f>IF(A19="","",VLOOKUP(B19,'Datos Rebisco'!B21:BB58,12,0))</f>
        <v/>
      </c>
      <c r="N19" s="32" t="str">
        <f>IF(A19="","",VLOOKUP(B19,'Datos Rebisco'!B21:BB58,13,0))</f>
        <v/>
      </c>
      <c r="O19" s="32" t="str">
        <f>IF(A19="","",VLOOKUP(B19,'Datos Rebisco'!B21:BB58,14,0))</f>
        <v/>
      </c>
      <c r="P19" s="33" t="str">
        <f t="shared" si="6"/>
        <v/>
      </c>
      <c r="Q19" s="33" t="str">
        <f t="shared" si="7"/>
        <v/>
      </c>
      <c r="R19" s="34" t="str">
        <f t="shared" si="4"/>
        <v/>
      </c>
      <c r="S19" s="31" t="str">
        <f t="shared" si="5"/>
        <v/>
      </c>
      <c r="T19" s="35" t="str">
        <f t="shared" si="8"/>
        <v/>
      </c>
      <c r="U19" s="35" t="str">
        <f t="shared" si="9"/>
        <v/>
      </c>
      <c r="V19" s="37" t="str">
        <f>IF(A19="","",VLOOKUP(B19,'Datos Rebisco'!B21:BB58,21,0))</f>
        <v/>
      </c>
      <c r="W19" s="32" t="str">
        <f>IF(A19="","",VLOOKUP(B19,'Datos Rebisco'!B21:BB58,22,0))</f>
        <v/>
      </c>
      <c r="X19" s="32" t="str">
        <f>IF(A19="","",VLOOKUP(B19,'Datos Rebisco'!B21:BB58,23,0))</f>
        <v/>
      </c>
      <c r="Y19" s="32" t="str">
        <f>IF(A19="","",VLOOKUP(B19,'Datos Rebisco'!B21:BB58,24,0))</f>
        <v/>
      </c>
      <c r="Z19" s="33" t="str">
        <f t="shared" si="10"/>
        <v/>
      </c>
      <c r="AA19" s="33" t="str">
        <f t="shared" si="11"/>
        <v/>
      </c>
      <c r="AB19" s="34" t="str">
        <f t="shared" si="12"/>
        <v/>
      </c>
      <c r="AC19" s="31" t="str">
        <f t="shared" si="13"/>
        <v/>
      </c>
      <c r="AD19" s="37" t="str">
        <f t="shared" si="14"/>
        <v/>
      </c>
      <c r="AE19" s="32" t="str">
        <f>IF(A19="","",VLOOKUP(B19,'Datos Rebisco'!B21:BB58,30,0))</f>
        <v/>
      </c>
      <c r="AF19" s="31" t="str">
        <f t="shared" si="15"/>
        <v/>
      </c>
      <c r="AG19" s="32" t="str">
        <f>IF(A19="","",VLOOKUP(B19,'Datos Rebisco'!B21:BB58,32,0))</f>
        <v/>
      </c>
      <c r="AH19" s="32" t="str">
        <f>IF(A19="","",VLOOKUP(B19,'Datos Rebisco'!B21:BB58,33,0))</f>
        <v/>
      </c>
      <c r="AI19" s="32" t="str">
        <f>IF(A19="","",VLOOKUP(B19,'Datos Rebisco'!B21:BB58,34,0))</f>
        <v/>
      </c>
      <c r="AJ19" s="34" t="str">
        <f t="shared" si="16"/>
        <v/>
      </c>
      <c r="AK19" s="37" t="str">
        <f t="shared" si="17"/>
        <v/>
      </c>
      <c r="AL19" s="37" t="str">
        <f>IF(A19="","",VLOOKUP(B19,'Datos Rebisco'!B21:BB58,37,0))</f>
        <v/>
      </c>
      <c r="AM19" s="36" t="str">
        <f t="shared" si="18"/>
        <v/>
      </c>
      <c r="AN19" s="274" t="str">
        <f>IF(BP19=A19,'Datos Rebisco'!BL21,"")</f>
        <v/>
      </c>
      <c r="AO19" s="32" t="str">
        <f>IF(A19="","",VLOOKUP(B19,'Datos Rebisco'!B21:BF58,39,0))</f>
        <v/>
      </c>
      <c r="AP19" s="36" t="str">
        <f t="shared" si="23"/>
        <v/>
      </c>
      <c r="AQ19" s="32" t="str">
        <f>IF(A19="","",VLOOKUP(B19,'Datos Rebisco'!B21:BH58,41,0))</f>
        <v/>
      </c>
      <c r="AR19" s="32" t="str">
        <f>IF(A19="","",VLOOKUP(B19,'Datos Rebisco'!B21:BI58,42,0))</f>
        <v/>
      </c>
      <c r="AS19" s="32" t="str">
        <f>IF(A19="","",VLOOKUP(B19,'Datos Rebisco'!B21:BJ58,43,0))</f>
        <v/>
      </c>
      <c r="AT19" s="32" t="str">
        <f>IF(A19="","",VLOOKUP(B19,'Datos Rebisco'!B21:BK58,44,0))</f>
        <v/>
      </c>
      <c r="AU19" s="58"/>
      <c r="AV19" s="37" t="str">
        <f t="shared" si="24"/>
        <v/>
      </c>
      <c r="AW19" s="38" t="str">
        <f t="shared" si="19"/>
        <v/>
      </c>
      <c r="AY19" s="180" t="str">
        <f>IF(A19="","",+'Datos Rebisco'!AY21)</f>
        <v/>
      </c>
      <c r="AZ19" s="258" t="str">
        <f t="shared" si="20"/>
        <v/>
      </c>
      <c r="BA19" s="255" t="str">
        <f>IF(A19="","",VLOOKUP(B19,'Datos Rebisco'!B21:BF58,51,0))</f>
        <v/>
      </c>
      <c r="BB19" s="181" t="str">
        <f t="shared" si="21"/>
        <v/>
      </c>
      <c r="BC19" s="180" t="str">
        <f>IF(BP19=A19,'Datos Rebisco'!BL21,"")</f>
        <v/>
      </c>
      <c r="BD19" s="181" t="str">
        <f t="shared" si="22"/>
        <v/>
      </c>
      <c r="BE19" s="29" t="str">
        <f>IF(A19="","",VLOOKUP(B19,'Datos Rebisco'!B21:BF58,53,0))</f>
        <v/>
      </c>
      <c r="BF19" s="28" t="str">
        <f>IF(A19="","",VLOOKUP(B19,'Datos Rebisco'!B21:BF58,54,0))</f>
        <v/>
      </c>
      <c r="BG19" s="28" t="str">
        <f>IF(A19="","",VLOOKUP(B19,'Datos Rebisco'!B21:BF58,55,0))</f>
        <v/>
      </c>
      <c r="BH19" s="28" t="str">
        <f>IF(A19="","",VLOOKUP(B19,'Datos Rebisco'!B21:BF58,51,0))</f>
        <v/>
      </c>
      <c r="BI19" s="28" t="str">
        <f>IF(A19="","",IF(VLOOKUP(B19,'Datos Rebisco'!B21:BF58,52,0)=0%,IF(AO19&gt;1,1,VLOOKUP(B19,'Datos Rebisco'!B21:BF58,52,0))))</f>
        <v/>
      </c>
      <c r="BJ19" s="211" t="str">
        <f>IF(A19="","",VLOOKUP(B19,'Datos Rebisco'!B21:BH58,58,0))</f>
        <v/>
      </c>
      <c r="BK19" s="27" t="str">
        <f>IF(A19="","",VLOOKUP(B19,'Datos Rebisco'!B21:BH58,59,0))</f>
        <v/>
      </c>
      <c r="BL19" s="29" t="str">
        <f>IF(A19="","",VLOOKUP(B19,'Datos Rebisco'!B21:BF58,55,0))</f>
        <v/>
      </c>
      <c r="BM19" s="181" t="str">
        <f>IF(A19="","",VLOOKUP(B19,'Datos Rebisco'!B21:BF58,56,0))</f>
        <v/>
      </c>
      <c r="BN19" s="266" t="str">
        <f>IF(A19="","",IF(VLOOKUP(B19,'Datos Rebisco'!B21:BF58,57,0)=0,IF(AO19&gt;1,1,VLOOKUP(B19,'Datos Rebisco'!B21:BF58,57,0))))</f>
        <v/>
      </c>
      <c r="BO19" s="59"/>
      <c r="BP19" s="190" t="str">
        <f>+'Biyemas S.A.'!BP19</f>
        <v xml:space="preserve">Jue/Thu    </v>
      </c>
    </row>
    <row r="20" spans="1:68" ht="11.25" customHeight="1" x14ac:dyDescent="0.2">
      <c r="A20" s="188" t="str">
        <f>IF(BP20='Datos Rebisco'!A22,'Datos Rebisco'!A22,"")</f>
        <v/>
      </c>
      <c r="B20" s="185" t="str">
        <f>IF(BP20=A20,'Datos Rebisco'!B22,"")</f>
        <v/>
      </c>
      <c r="C20" s="186" t="str">
        <f>IF(BP20=A20,'Datos Rebisco'!C22,"")</f>
        <v/>
      </c>
      <c r="D20" s="37" t="str">
        <f>IF(BP20=A20,VLOOKUP(B20,'Datos Rebisco'!B22:BB59,3,0),"")</f>
        <v/>
      </c>
      <c r="E20" s="32" t="str">
        <f>IF(BP20=A20,VLOOKUP(B20,'Datos Rebisco'!B22:BB59,4,0),"")</f>
        <v/>
      </c>
      <c r="F20" s="32" t="str">
        <f>IF(BP20=A20,VLOOKUP(B20,'Datos Rebisco'!B22:BB59,5,0),"")</f>
        <v/>
      </c>
      <c r="G20" s="32" t="str">
        <f>IF(BP20=A20,VLOOKUP(B20,'Datos Rebisco'!B22:BB59,6,0),"")</f>
        <v/>
      </c>
      <c r="H20" s="33" t="str">
        <f t="shared" si="0"/>
        <v/>
      </c>
      <c r="I20" s="33" t="str">
        <f t="shared" si="1"/>
        <v/>
      </c>
      <c r="J20" s="34" t="str">
        <f t="shared" si="2"/>
        <v/>
      </c>
      <c r="K20" s="31" t="str">
        <f t="shared" si="3"/>
        <v/>
      </c>
      <c r="L20" s="37" t="str">
        <f>IF(A20="","",VLOOKUP(B20,'Datos Rebisco'!B22:BB59,11,0))</f>
        <v/>
      </c>
      <c r="M20" s="32" t="str">
        <f>IF(A20="","",VLOOKUP(B20,'Datos Rebisco'!B22:BB59,12,0))</f>
        <v/>
      </c>
      <c r="N20" s="32" t="str">
        <f>IF(A20="","",VLOOKUP(B20,'Datos Rebisco'!B22:BB59,13,0))</f>
        <v/>
      </c>
      <c r="O20" s="32" t="str">
        <f>IF(A20="","",VLOOKUP(B20,'Datos Rebisco'!B22:BB59,14,0))</f>
        <v/>
      </c>
      <c r="P20" s="33" t="str">
        <f t="shared" si="6"/>
        <v/>
      </c>
      <c r="Q20" s="33" t="str">
        <f t="shared" si="7"/>
        <v/>
      </c>
      <c r="R20" s="34" t="str">
        <f t="shared" si="4"/>
        <v/>
      </c>
      <c r="S20" s="31" t="str">
        <f t="shared" si="5"/>
        <v/>
      </c>
      <c r="T20" s="35" t="str">
        <f t="shared" si="8"/>
        <v/>
      </c>
      <c r="U20" s="35" t="str">
        <f t="shared" si="9"/>
        <v/>
      </c>
      <c r="V20" s="37" t="str">
        <f>IF(A20="","",VLOOKUP(B20,'Datos Rebisco'!B22:BB59,21,0))</f>
        <v/>
      </c>
      <c r="W20" s="32" t="str">
        <f>IF(A20="","",VLOOKUP(B20,'Datos Rebisco'!B22:BB59,22,0))</f>
        <v/>
      </c>
      <c r="X20" s="32" t="str">
        <f>IF(A20="","",VLOOKUP(B20,'Datos Rebisco'!B22:BB59,23,0))</f>
        <v/>
      </c>
      <c r="Y20" s="32" t="str">
        <f>IF(A20="","",VLOOKUP(B20,'Datos Rebisco'!B22:BB59,24,0))</f>
        <v/>
      </c>
      <c r="Z20" s="33" t="str">
        <f t="shared" si="10"/>
        <v/>
      </c>
      <c r="AA20" s="33" t="str">
        <f t="shared" si="11"/>
        <v/>
      </c>
      <c r="AB20" s="34" t="str">
        <f t="shared" si="12"/>
        <v/>
      </c>
      <c r="AC20" s="31" t="str">
        <f t="shared" si="13"/>
        <v/>
      </c>
      <c r="AD20" s="37" t="str">
        <f t="shared" si="14"/>
        <v/>
      </c>
      <c r="AE20" s="32" t="str">
        <f>IF(A20="","",VLOOKUP(B20,'Datos Rebisco'!B22:BB59,30,0))</f>
        <v/>
      </c>
      <c r="AF20" s="31" t="str">
        <f t="shared" si="15"/>
        <v/>
      </c>
      <c r="AG20" s="32" t="str">
        <f>IF(A20="","",VLOOKUP(B20,'Datos Rebisco'!B22:BB59,32,0))</f>
        <v/>
      </c>
      <c r="AH20" s="32" t="str">
        <f>IF(A20="","",VLOOKUP(B20,'Datos Rebisco'!B22:BB59,33,0))</f>
        <v/>
      </c>
      <c r="AI20" s="32" t="str">
        <f>IF(A20="","",VLOOKUP(B20,'Datos Rebisco'!B22:BB59,34,0))</f>
        <v/>
      </c>
      <c r="AJ20" s="34" t="str">
        <f t="shared" si="16"/>
        <v/>
      </c>
      <c r="AK20" s="37" t="str">
        <f t="shared" si="17"/>
        <v/>
      </c>
      <c r="AL20" s="37" t="str">
        <f>IF(A20="","",VLOOKUP(B20,'Datos Rebisco'!B22:BB59,37,0))</f>
        <v/>
      </c>
      <c r="AM20" s="36" t="str">
        <f t="shared" si="18"/>
        <v/>
      </c>
      <c r="AN20" s="274" t="str">
        <f>IF(BP20=A20,'Datos Rebisco'!BL22,"")</f>
        <v/>
      </c>
      <c r="AO20" s="32" t="str">
        <f>IF(A20="","",VLOOKUP(B20,'Datos Rebisco'!B22:BF59,39,0))</f>
        <v/>
      </c>
      <c r="AP20" s="36" t="str">
        <f t="shared" si="23"/>
        <v/>
      </c>
      <c r="AQ20" s="32" t="str">
        <f>IF(A20="","",VLOOKUP(B20,'Datos Rebisco'!B22:BH59,41,0))</f>
        <v/>
      </c>
      <c r="AR20" s="32" t="str">
        <f>IF(A20="","",VLOOKUP(B20,'Datos Rebisco'!B22:BI59,42,0))</f>
        <v/>
      </c>
      <c r="AS20" s="32" t="str">
        <f>IF(A20="","",VLOOKUP(B20,'Datos Rebisco'!B22:BJ59,43,0))</f>
        <v/>
      </c>
      <c r="AT20" s="32" t="str">
        <f>IF(A20="","",VLOOKUP(B20,'Datos Rebisco'!B22:BK59,44,0))</f>
        <v/>
      </c>
      <c r="AU20" s="58"/>
      <c r="AV20" s="37" t="str">
        <f t="shared" si="24"/>
        <v/>
      </c>
      <c r="AW20" s="38" t="str">
        <f t="shared" si="19"/>
        <v/>
      </c>
      <c r="AY20" s="180" t="str">
        <f>IF(A20="","",+'Datos Rebisco'!AY22)</f>
        <v/>
      </c>
      <c r="AZ20" s="258" t="str">
        <f t="shared" si="20"/>
        <v/>
      </c>
      <c r="BA20" s="255" t="str">
        <f>IF(A20="","",VLOOKUP(B20,'Datos Rebisco'!B22:BF59,51,0))</f>
        <v/>
      </c>
      <c r="BB20" s="181" t="str">
        <f t="shared" si="21"/>
        <v/>
      </c>
      <c r="BC20" s="180" t="str">
        <f>IF(BP20=A20,'Datos Rebisco'!BL22,"")</f>
        <v/>
      </c>
      <c r="BD20" s="181" t="str">
        <f t="shared" si="22"/>
        <v/>
      </c>
      <c r="BE20" s="29" t="str">
        <f>IF(A20="","",VLOOKUP(B20,'Datos Rebisco'!B22:BF59,53,0))</f>
        <v/>
      </c>
      <c r="BF20" s="28" t="str">
        <f>IF(A20="","",VLOOKUP(B20,'Datos Rebisco'!B22:BF59,54,0))</f>
        <v/>
      </c>
      <c r="BG20" s="28" t="str">
        <f>IF(A20="","",VLOOKUP(B20,'Datos Rebisco'!B22:BF59,55,0))</f>
        <v/>
      </c>
      <c r="BH20" s="28" t="str">
        <f>IF(A20="","",VLOOKUP(B20,'Datos Rebisco'!B22:BF59,51,0))</f>
        <v/>
      </c>
      <c r="BI20" s="28" t="str">
        <f>IF(A20="","",IF(VLOOKUP(B20,'Datos Rebisco'!B22:BF59,52,0)=0%,IF(AO20&gt;1,1,VLOOKUP(B20,'Datos Rebisco'!B22:BF59,52,0))))</f>
        <v/>
      </c>
      <c r="BJ20" s="211" t="str">
        <f>IF(A20="","",VLOOKUP(B20,'Datos Rebisco'!B22:BH59,58,0))</f>
        <v/>
      </c>
      <c r="BK20" s="27" t="str">
        <f>IF(A20="","",VLOOKUP(B20,'Datos Rebisco'!B22:BH59,59,0))</f>
        <v/>
      </c>
      <c r="BL20" s="29" t="str">
        <f>IF(A20="","",VLOOKUP(B20,'Datos Rebisco'!B22:BF59,55,0))</f>
        <v/>
      </c>
      <c r="BM20" s="181" t="str">
        <f>IF(A20="","",VLOOKUP(B20,'Datos Rebisco'!B22:BF59,56,0))</f>
        <v/>
      </c>
      <c r="BN20" s="266" t="str">
        <f>IF(A20="","",IF(VLOOKUP(B20,'Datos Rebisco'!B22:BF59,57,0)=0,IF(AO20&gt;1,1,VLOOKUP(B20,'Datos Rebisco'!B22:BF59,57,0))))</f>
        <v/>
      </c>
      <c r="BO20" s="59"/>
      <c r="BP20" s="190" t="str">
        <f>+'Biyemas S.A.'!BP20</f>
        <v xml:space="preserve">Vie/Fri    </v>
      </c>
    </row>
    <row r="21" spans="1:68" ht="11.25" customHeight="1" x14ac:dyDescent="0.2">
      <c r="A21" s="188" t="str">
        <f>IF(BP21='Datos Rebisco'!A23,'Datos Rebisco'!A23,"")</f>
        <v/>
      </c>
      <c r="B21" s="185" t="str">
        <f>IF(BP21=A21,'Datos Rebisco'!B23,"")</f>
        <v/>
      </c>
      <c r="C21" s="186" t="str">
        <f>IF(BP21=A21,'Datos Rebisco'!C23,"")</f>
        <v/>
      </c>
      <c r="D21" s="37" t="str">
        <f>IF(BP21=A21,VLOOKUP(B21,'Datos Rebisco'!B23:BB60,3,0),"")</f>
        <v/>
      </c>
      <c r="E21" s="32" t="str">
        <f>IF(BP21=A21,VLOOKUP(B21,'Datos Rebisco'!B23:BB60,4,0),"")</f>
        <v/>
      </c>
      <c r="F21" s="32" t="str">
        <f>IF(BP21=A21,VLOOKUP(B21,'Datos Rebisco'!B23:BB60,5,0),"")</f>
        <v/>
      </c>
      <c r="G21" s="32" t="str">
        <f>IF(BP21=A21,VLOOKUP(B21,'Datos Rebisco'!B23:BB60,6,0),"")</f>
        <v/>
      </c>
      <c r="H21" s="33" t="str">
        <f t="shared" si="0"/>
        <v/>
      </c>
      <c r="I21" s="33" t="str">
        <f t="shared" si="1"/>
        <v/>
      </c>
      <c r="J21" s="34" t="str">
        <f t="shared" si="2"/>
        <v/>
      </c>
      <c r="K21" s="31" t="str">
        <f t="shared" si="3"/>
        <v/>
      </c>
      <c r="L21" s="37" t="str">
        <f>IF(A21="","",VLOOKUP(B21,'Datos Rebisco'!B23:BB60,11,0))</f>
        <v/>
      </c>
      <c r="M21" s="32" t="str">
        <f>IF(A21="","",VLOOKUP(B21,'Datos Rebisco'!B23:BB60,12,0))</f>
        <v/>
      </c>
      <c r="N21" s="32" t="str">
        <f>IF(A21="","",VLOOKUP(B21,'Datos Rebisco'!B23:BB60,13,0))</f>
        <v/>
      </c>
      <c r="O21" s="32" t="str">
        <f>IF(A21="","",VLOOKUP(B21,'Datos Rebisco'!B23:BB60,14,0))</f>
        <v/>
      </c>
      <c r="P21" s="33" t="str">
        <f t="shared" si="6"/>
        <v/>
      </c>
      <c r="Q21" s="33" t="str">
        <f t="shared" si="7"/>
        <v/>
      </c>
      <c r="R21" s="34" t="str">
        <f t="shared" si="4"/>
        <v/>
      </c>
      <c r="S21" s="31" t="str">
        <f t="shared" si="5"/>
        <v/>
      </c>
      <c r="T21" s="35" t="str">
        <f t="shared" si="8"/>
        <v/>
      </c>
      <c r="U21" s="35" t="str">
        <f t="shared" si="9"/>
        <v/>
      </c>
      <c r="V21" s="37" t="str">
        <f>IF(A21="","",VLOOKUP(B21,'Datos Rebisco'!B23:BB60,21,0))</f>
        <v/>
      </c>
      <c r="W21" s="32" t="str">
        <f>IF(A21="","",VLOOKUP(B21,'Datos Rebisco'!B23:BB60,22,0))</f>
        <v/>
      </c>
      <c r="X21" s="32" t="str">
        <f>IF(A21="","",VLOOKUP(B21,'Datos Rebisco'!B23:BB60,23,0))</f>
        <v/>
      </c>
      <c r="Y21" s="32" t="str">
        <f>IF(A21="","",VLOOKUP(B21,'Datos Rebisco'!B23:BB60,24,0))</f>
        <v/>
      </c>
      <c r="Z21" s="33" t="str">
        <f t="shared" si="10"/>
        <v/>
      </c>
      <c r="AA21" s="33" t="str">
        <f t="shared" si="11"/>
        <v/>
      </c>
      <c r="AB21" s="34" t="str">
        <f t="shared" si="12"/>
        <v/>
      </c>
      <c r="AC21" s="31" t="str">
        <f t="shared" si="13"/>
        <v/>
      </c>
      <c r="AD21" s="37" t="str">
        <f t="shared" si="14"/>
        <v/>
      </c>
      <c r="AE21" s="32" t="str">
        <f>IF(A21="","",VLOOKUP(B21,'Datos Rebisco'!B23:BB60,30,0))</f>
        <v/>
      </c>
      <c r="AF21" s="31" t="str">
        <f t="shared" si="15"/>
        <v/>
      </c>
      <c r="AG21" s="32" t="str">
        <f>IF(A21="","",VLOOKUP(B21,'Datos Rebisco'!B23:BB60,32,0))</f>
        <v/>
      </c>
      <c r="AH21" s="32" t="str">
        <f>IF(A21="","",VLOOKUP(B21,'Datos Rebisco'!B23:BB60,33,0))</f>
        <v/>
      </c>
      <c r="AI21" s="32" t="str">
        <f>IF(A21="","",VLOOKUP(B21,'Datos Rebisco'!B23:BB60,34,0))</f>
        <v/>
      </c>
      <c r="AJ21" s="34" t="str">
        <f t="shared" si="16"/>
        <v/>
      </c>
      <c r="AK21" s="37" t="str">
        <f t="shared" si="17"/>
        <v/>
      </c>
      <c r="AL21" s="37" t="str">
        <f>IF(A21="","",VLOOKUP(B21,'Datos Rebisco'!B23:BB60,37,0))</f>
        <v/>
      </c>
      <c r="AM21" s="36" t="str">
        <f t="shared" si="18"/>
        <v/>
      </c>
      <c r="AN21" s="274" t="str">
        <f>IF(BP21=A21,'Datos Rebisco'!BL23,"")</f>
        <v/>
      </c>
      <c r="AO21" s="32" t="str">
        <f>IF(A21="","",VLOOKUP(B21,'Datos Rebisco'!B23:BF60,39,0))</f>
        <v/>
      </c>
      <c r="AP21" s="36" t="str">
        <f t="shared" si="23"/>
        <v/>
      </c>
      <c r="AQ21" s="32" t="str">
        <f>IF(A21="","",VLOOKUP(B21,'Datos Rebisco'!B23:BH60,41,0))</f>
        <v/>
      </c>
      <c r="AR21" s="32" t="str">
        <f>IF(A21="","",VLOOKUP(B21,'Datos Rebisco'!B23:BI60,42,0))</f>
        <v/>
      </c>
      <c r="AS21" s="32" t="str">
        <f>IF(A21="","",VLOOKUP(B21,'Datos Rebisco'!B23:BJ60,43,0))</f>
        <v/>
      </c>
      <c r="AT21" s="32" t="str">
        <f>IF(A21="","",VLOOKUP(B21,'Datos Rebisco'!B23:BK60,44,0))</f>
        <v/>
      </c>
      <c r="AU21" s="58"/>
      <c r="AV21" s="37" t="str">
        <f t="shared" si="24"/>
        <v/>
      </c>
      <c r="AW21" s="38" t="str">
        <f t="shared" si="19"/>
        <v/>
      </c>
      <c r="AY21" s="180" t="str">
        <f>IF(A21="","",+'Datos Rebisco'!AY23)</f>
        <v/>
      </c>
      <c r="AZ21" s="258" t="str">
        <f t="shared" si="20"/>
        <v/>
      </c>
      <c r="BA21" s="255" t="str">
        <f>IF(A21="","",VLOOKUP(B21,'Datos Rebisco'!B23:BF60,51,0))</f>
        <v/>
      </c>
      <c r="BB21" s="181" t="str">
        <f t="shared" si="21"/>
        <v/>
      </c>
      <c r="BC21" s="180" t="str">
        <f>IF(BP21=A21,'Datos Rebisco'!BL23,"")</f>
        <v/>
      </c>
      <c r="BD21" s="181" t="str">
        <f t="shared" si="22"/>
        <v/>
      </c>
      <c r="BE21" s="29" t="str">
        <f>IF(A21="","",VLOOKUP(B21,'Datos Rebisco'!B23:BF60,53,0))</f>
        <v/>
      </c>
      <c r="BF21" s="28" t="str">
        <f>IF(A21="","",VLOOKUP(B21,'Datos Rebisco'!B23:BF60,54,0))</f>
        <v/>
      </c>
      <c r="BG21" s="28" t="str">
        <f>IF(A21="","",VLOOKUP(B21,'Datos Rebisco'!B23:BF60,55,0))</f>
        <v/>
      </c>
      <c r="BH21" s="28" t="str">
        <f>IF(A21="","",VLOOKUP(B21,'Datos Rebisco'!B23:BF60,51,0))</f>
        <v/>
      </c>
      <c r="BI21" s="28" t="str">
        <f>IF(A21="","",IF(VLOOKUP(B21,'Datos Rebisco'!B23:BF60,52,0)=0%,IF(AO21&gt;1,1,VLOOKUP(B21,'Datos Rebisco'!B23:BF60,52,0))))</f>
        <v/>
      </c>
      <c r="BJ21" s="211" t="str">
        <f>IF(A21="","",VLOOKUP(B21,'Datos Rebisco'!B23:BH60,58,0))</f>
        <v/>
      </c>
      <c r="BK21" s="27" t="str">
        <f>IF(A21="","",VLOOKUP(B21,'Datos Rebisco'!B23:BH60,59,0))</f>
        <v/>
      </c>
      <c r="BL21" s="29" t="str">
        <f>IF(A21="","",VLOOKUP(B21,'Datos Rebisco'!B23:BF60,55,0))</f>
        <v/>
      </c>
      <c r="BM21" s="181" t="str">
        <f>IF(A21="","",VLOOKUP(B21,'Datos Rebisco'!B23:BF60,56,0))</f>
        <v/>
      </c>
      <c r="BN21" s="266" t="str">
        <f>IF(A21="","",IF(VLOOKUP(B21,'Datos Rebisco'!B23:BF60,57,0)=0,IF(AO21&gt;1,1,VLOOKUP(B21,'Datos Rebisco'!B23:BF60,57,0))))</f>
        <v/>
      </c>
      <c r="BO21" s="59"/>
      <c r="BP21" s="190" t="str">
        <f>+'Biyemas S.A.'!BP21</f>
        <v xml:space="preserve">Sab/Sat    </v>
      </c>
    </row>
    <row r="22" spans="1:68" ht="11.25" customHeight="1" x14ac:dyDescent="0.2">
      <c r="A22" s="188" t="str">
        <f>IF(BP22='Datos Rebisco'!A24,'Datos Rebisco'!A24,"")</f>
        <v/>
      </c>
      <c r="B22" s="185" t="str">
        <f>IF(BP22=A22,'Datos Rebisco'!B24,"")</f>
        <v/>
      </c>
      <c r="C22" s="186" t="str">
        <f>IF(BP22=A22,'Datos Rebisco'!C24,"")</f>
        <v/>
      </c>
      <c r="D22" s="37" t="str">
        <f>IF(BP22=A22,VLOOKUP(B22,'Datos Rebisco'!B24:BB61,3,0),"")</f>
        <v/>
      </c>
      <c r="E22" s="32" t="str">
        <f>IF(BP22=A22,VLOOKUP(B22,'Datos Rebisco'!B24:BB61,4,0),"")</f>
        <v/>
      </c>
      <c r="F22" s="32" t="str">
        <f>IF(BP22=A22,VLOOKUP(B22,'Datos Rebisco'!B24:BB61,5,0),"")</f>
        <v/>
      </c>
      <c r="G22" s="32" t="str">
        <f>IF(BP22=A22,VLOOKUP(B22,'Datos Rebisco'!B24:BB61,6,0),"")</f>
        <v/>
      </c>
      <c r="H22" s="33" t="str">
        <f t="shared" si="0"/>
        <v/>
      </c>
      <c r="I22" s="33" t="str">
        <f t="shared" si="1"/>
        <v/>
      </c>
      <c r="J22" s="34" t="str">
        <f t="shared" si="2"/>
        <v/>
      </c>
      <c r="K22" s="31" t="str">
        <f t="shared" si="3"/>
        <v/>
      </c>
      <c r="L22" s="37" t="str">
        <f>IF(A22="","",VLOOKUP(B22,'Datos Rebisco'!B24:BB61,11,0))</f>
        <v/>
      </c>
      <c r="M22" s="32" t="str">
        <f>IF(A22="","",VLOOKUP(B22,'Datos Rebisco'!B24:BB61,12,0))</f>
        <v/>
      </c>
      <c r="N22" s="32" t="str">
        <f>IF(A22="","",VLOOKUP(B22,'Datos Rebisco'!B24:BB61,13,0))</f>
        <v/>
      </c>
      <c r="O22" s="32" t="str">
        <f>IF(A22="","",VLOOKUP(B22,'Datos Rebisco'!B24:BB61,14,0))</f>
        <v/>
      </c>
      <c r="P22" s="33" t="str">
        <f t="shared" si="6"/>
        <v/>
      </c>
      <c r="Q22" s="33" t="str">
        <f t="shared" si="7"/>
        <v/>
      </c>
      <c r="R22" s="34" t="str">
        <f t="shared" si="4"/>
        <v/>
      </c>
      <c r="S22" s="31" t="str">
        <f t="shared" si="5"/>
        <v/>
      </c>
      <c r="T22" s="35" t="str">
        <f t="shared" si="8"/>
        <v/>
      </c>
      <c r="U22" s="35" t="str">
        <f t="shared" si="9"/>
        <v/>
      </c>
      <c r="V22" s="37" t="str">
        <f>IF(A22="","",VLOOKUP(B22,'Datos Rebisco'!B24:BB61,21,0))</f>
        <v/>
      </c>
      <c r="W22" s="32" t="str">
        <f>IF(A22="","",VLOOKUP(B22,'Datos Rebisco'!B24:BB61,22,0))</f>
        <v/>
      </c>
      <c r="X22" s="32" t="str">
        <f>IF(A22="","",VLOOKUP(B22,'Datos Rebisco'!B24:BB61,23,0))</f>
        <v/>
      </c>
      <c r="Y22" s="32" t="str">
        <f>IF(A22="","",VLOOKUP(B22,'Datos Rebisco'!B24:BB61,24,0))</f>
        <v/>
      </c>
      <c r="Z22" s="33" t="str">
        <f t="shared" si="10"/>
        <v/>
      </c>
      <c r="AA22" s="33" t="str">
        <f t="shared" si="11"/>
        <v/>
      </c>
      <c r="AB22" s="34" t="str">
        <f t="shared" si="12"/>
        <v/>
      </c>
      <c r="AC22" s="31" t="str">
        <f t="shared" si="13"/>
        <v/>
      </c>
      <c r="AD22" s="37" t="str">
        <f t="shared" si="14"/>
        <v/>
      </c>
      <c r="AE22" s="32" t="str">
        <f>IF(A22="","",VLOOKUP(B22,'Datos Rebisco'!B24:BB61,30,0))</f>
        <v/>
      </c>
      <c r="AF22" s="31" t="str">
        <f t="shared" si="15"/>
        <v/>
      </c>
      <c r="AG22" s="32" t="str">
        <f>IF(A22="","",VLOOKUP(B22,'Datos Rebisco'!B24:BB61,32,0))</f>
        <v/>
      </c>
      <c r="AH22" s="32" t="str">
        <f>IF(A22="","",VLOOKUP(B22,'Datos Rebisco'!B24:BB61,33,0))</f>
        <v/>
      </c>
      <c r="AI22" s="32" t="str">
        <f>IF(A22="","",VLOOKUP(B22,'Datos Rebisco'!B24:BB61,34,0))</f>
        <v/>
      </c>
      <c r="AJ22" s="34" t="str">
        <f t="shared" si="16"/>
        <v/>
      </c>
      <c r="AK22" s="37" t="str">
        <f t="shared" si="17"/>
        <v/>
      </c>
      <c r="AL22" s="37" t="str">
        <f>IF(A22="","",VLOOKUP(B22,'Datos Rebisco'!B24:BB61,37,0))</f>
        <v/>
      </c>
      <c r="AM22" s="36" t="str">
        <f t="shared" si="18"/>
        <v/>
      </c>
      <c r="AN22" s="274" t="str">
        <f>IF(BP22=A22,'Datos Rebisco'!BL24,"")</f>
        <v/>
      </c>
      <c r="AO22" s="32" t="str">
        <f>IF(A22="","",VLOOKUP(B22,'Datos Rebisco'!B24:BF61,39,0))</f>
        <v/>
      </c>
      <c r="AP22" s="36" t="str">
        <f t="shared" si="23"/>
        <v/>
      </c>
      <c r="AQ22" s="32" t="str">
        <f>IF(A22="","",VLOOKUP(B22,'Datos Rebisco'!B24:BH61,41,0))</f>
        <v/>
      </c>
      <c r="AR22" s="32" t="str">
        <f>IF(A22="","",VLOOKUP(B22,'Datos Rebisco'!B24:BI61,42,0))</f>
        <v/>
      </c>
      <c r="AS22" s="32" t="str">
        <f>IF(A22="","",VLOOKUP(B22,'Datos Rebisco'!B24:BJ61,43,0))</f>
        <v/>
      </c>
      <c r="AT22" s="32" t="str">
        <f>IF(A22="","",VLOOKUP(B22,'Datos Rebisco'!B24:BK61,44,0))</f>
        <v/>
      </c>
      <c r="AU22" s="58"/>
      <c r="AV22" s="37" t="str">
        <f t="shared" si="24"/>
        <v/>
      </c>
      <c r="AW22" s="38" t="str">
        <f t="shared" si="19"/>
        <v/>
      </c>
      <c r="AY22" s="180" t="str">
        <f>IF(A22="","",+'Datos Rebisco'!AY24)</f>
        <v/>
      </c>
      <c r="AZ22" s="258" t="str">
        <f t="shared" si="20"/>
        <v/>
      </c>
      <c r="BA22" s="255" t="str">
        <f>IF(A22="","",VLOOKUP(B22,'Datos Rebisco'!B24:BF61,51,0))</f>
        <v/>
      </c>
      <c r="BB22" s="181" t="str">
        <f t="shared" si="21"/>
        <v/>
      </c>
      <c r="BC22" s="180" t="str">
        <f>IF(BP22=A22,'Datos Rebisco'!BL24,"")</f>
        <v/>
      </c>
      <c r="BD22" s="181" t="str">
        <f t="shared" si="22"/>
        <v/>
      </c>
      <c r="BE22" s="29" t="str">
        <f>IF(A22="","",VLOOKUP(B22,'Datos Rebisco'!B24:BF61,53,0))</f>
        <v/>
      </c>
      <c r="BF22" s="28" t="str">
        <f>IF(A22="","",VLOOKUP(B22,'Datos Rebisco'!B24:BF61,54,0))</f>
        <v/>
      </c>
      <c r="BG22" s="28" t="str">
        <f>IF(A22="","",VLOOKUP(B22,'Datos Rebisco'!B24:BF61,55,0))</f>
        <v/>
      </c>
      <c r="BH22" s="28" t="str">
        <f>IF(A22="","",VLOOKUP(B22,'Datos Rebisco'!B24:BF61,51,0))</f>
        <v/>
      </c>
      <c r="BI22" s="28" t="str">
        <f>IF(A22="","",IF(VLOOKUP(B22,'Datos Rebisco'!B24:BF61,52,0)=0%,IF(AO22&gt;1,1,VLOOKUP(B22,'Datos Rebisco'!B24:BF61,52,0))))</f>
        <v/>
      </c>
      <c r="BJ22" s="211" t="str">
        <f>IF(A22="","",VLOOKUP(B22,'Datos Rebisco'!B24:BH61,58,0))</f>
        <v/>
      </c>
      <c r="BK22" s="27" t="str">
        <f>IF(A22="","",VLOOKUP(B22,'Datos Rebisco'!B24:BH61,59,0))</f>
        <v/>
      </c>
      <c r="BL22" s="29" t="str">
        <f>IF(A22="","",VLOOKUP(B22,'Datos Rebisco'!B24:BF61,55,0))</f>
        <v/>
      </c>
      <c r="BM22" s="181" t="str">
        <f>IF(A22="","",VLOOKUP(B22,'Datos Rebisco'!B24:BF61,56,0))</f>
        <v/>
      </c>
      <c r="BN22" s="266" t="str">
        <f>IF(A22="","",IF(VLOOKUP(B22,'Datos Rebisco'!B24:BF61,57,0)=0,IF(AO22&gt;1,1,VLOOKUP(B22,'Datos Rebisco'!B24:BF61,57,0))))</f>
        <v/>
      </c>
      <c r="BO22" s="59"/>
      <c r="BP22" s="190" t="str">
        <f>+'Biyemas S.A.'!BP22</f>
        <v xml:space="preserve">Dom/Sun    </v>
      </c>
    </row>
    <row r="23" spans="1:68" x14ac:dyDescent="0.2">
      <c r="A23" s="188" t="str">
        <f>IF(BP23='Datos Rebisco'!A25,'Datos Rebisco'!A25,"")</f>
        <v/>
      </c>
      <c r="B23" s="185" t="str">
        <f>IF(BP23=A23,'Datos Rebisco'!B25,"")</f>
        <v/>
      </c>
      <c r="C23" s="186" t="str">
        <f>IF(BP23=A23,'Datos Rebisco'!C25,"")</f>
        <v/>
      </c>
      <c r="D23" s="37" t="str">
        <f>IF(BP23=A23,VLOOKUP(B23,'Datos Rebisco'!B25:BB62,3,0),"")</f>
        <v/>
      </c>
      <c r="E23" s="32" t="str">
        <f>IF(BP23=A23,VLOOKUP(B23,'Datos Rebisco'!B25:BB62,4,0),"")</f>
        <v/>
      </c>
      <c r="F23" s="32" t="str">
        <f>IF(BP23=A23,VLOOKUP(B23,'Datos Rebisco'!B25:BB62,5,0),"")</f>
        <v/>
      </c>
      <c r="G23" s="32" t="str">
        <f>IF(BP23=A23,VLOOKUP(B23,'Datos Rebisco'!B25:BB62,6,0),"")</f>
        <v/>
      </c>
      <c r="H23" s="33" t="str">
        <f t="shared" si="0"/>
        <v/>
      </c>
      <c r="I23" s="33" t="str">
        <f t="shared" si="1"/>
        <v/>
      </c>
      <c r="J23" s="34" t="str">
        <f t="shared" si="2"/>
        <v/>
      </c>
      <c r="K23" s="31" t="str">
        <f t="shared" si="3"/>
        <v/>
      </c>
      <c r="L23" s="37" t="str">
        <f>IF(A23="","",VLOOKUP(B23,'Datos Rebisco'!B25:BB62,11,0))</f>
        <v/>
      </c>
      <c r="M23" s="32" t="str">
        <f>IF(A23="","",VLOOKUP(B23,'Datos Rebisco'!B25:BB62,12,0))</f>
        <v/>
      </c>
      <c r="N23" s="32" t="str">
        <f>IF(A23="","",VLOOKUP(B23,'Datos Rebisco'!B25:BB62,13,0))</f>
        <v/>
      </c>
      <c r="O23" s="32" t="str">
        <f>IF(A23="","",VLOOKUP(B23,'Datos Rebisco'!B25:BB62,14,0))</f>
        <v/>
      </c>
      <c r="P23" s="33" t="str">
        <f t="shared" si="6"/>
        <v/>
      </c>
      <c r="Q23" s="33" t="str">
        <f t="shared" si="7"/>
        <v/>
      </c>
      <c r="R23" s="34" t="str">
        <f t="shared" si="4"/>
        <v/>
      </c>
      <c r="S23" s="31" t="str">
        <f t="shared" si="5"/>
        <v/>
      </c>
      <c r="T23" s="35" t="str">
        <f t="shared" si="8"/>
        <v/>
      </c>
      <c r="U23" s="35" t="str">
        <f t="shared" si="9"/>
        <v/>
      </c>
      <c r="V23" s="37" t="str">
        <f>IF(A23="","",VLOOKUP(B23,'Datos Rebisco'!B25:BB62,21,0))</f>
        <v/>
      </c>
      <c r="W23" s="32" t="str">
        <f>IF(A23="","",VLOOKUP(B23,'Datos Rebisco'!B25:BB62,22,0))</f>
        <v/>
      </c>
      <c r="X23" s="32" t="str">
        <f>IF(A23="","",VLOOKUP(B23,'Datos Rebisco'!B25:BB62,23,0))</f>
        <v/>
      </c>
      <c r="Y23" s="32" t="str">
        <f>IF(A23="","",VLOOKUP(B23,'Datos Rebisco'!B25:BB62,24,0))</f>
        <v/>
      </c>
      <c r="Z23" s="33" t="str">
        <f t="shared" si="10"/>
        <v/>
      </c>
      <c r="AA23" s="33" t="str">
        <f t="shared" si="11"/>
        <v/>
      </c>
      <c r="AB23" s="34" t="str">
        <f t="shared" si="12"/>
        <v/>
      </c>
      <c r="AC23" s="31" t="str">
        <f t="shared" si="13"/>
        <v/>
      </c>
      <c r="AD23" s="37" t="str">
        <f t="shared" si="14"/>
        <v/>
      </c>
      <c r="AE23" s="32" t="str">
        <f>IF(A23="","",VLOOKUP(B23,'Datos Rebisco'!B25:BB62,30,0))</f>
        <v/>
      </c>
      <c r="AF23" s="31" t="str">
        <f t="shared" si="15"/>
        <v/>
      </c>
      <c r="AG23" s="32" t="str">
        <f>IF(A23="","",VLOOKUP(B23,'Datos Rebisco'!B25:BB62,32,0))</f>
        <v/>
      </c>
      <c r="AH23" s="32" t="str">
        <f>IF(A23="","",VLOOKUP(B23,'Datos Rebisco'!B25:BB62,33,0))</f>
        <v/>
      </c>
      <c r="AI23" s="32" t="str">
        <f>IF(A23="","",VLOOKUP(B23,'Datos Rebisco'!B25:BB62,34,0))</f>
        <v/>
      </c>
      <c r="AJ23" s="34" t="str">
        <f t="shared" si="16"/>
        <v/>
      </c>
      <c r="AK23" s="37" t="str">
        <f t="shared" si="17"/>
        <v/>
      </c>
      <c r="AL23" s="37" t="str">
        <f>IF(A23="","",VLOOKUP(B23,'Datos Rebisco'!B25:BB62,37,0))</f>
        <v/>
      </c>
      <c r="AM23" s="36" t="str">
        <f t="shared" si="18"/>
        <v/>
      </c>
      <c r="AN23" s="274" t="str">
        <f>IF(BP23=A23,'Datos Rebisco'!BL25,"")</f>
        <v/>
      </c>
      <c r="AO23" s="32" t="str">
        <f>IF(A23="","",VLOOKUP(B23,'Datos Rebisco'!B25:BF62,39,0))</f>
        <v/>
      </c>
      <c r="AP23" s="36" t="str">
        <f t="shared" si="23"/>
        <v/>
      </c>
      <c r="AQ23" s="32" t="str">
        <f>IF(A23="","",VLOOKUP(B23,'Datos Rebisco'!B25:BH62,41,0))</f>
        <v/>
      </c>
      <c r="AR23" s="32" t="str">
        <f>IF(A23="","",VLOOKUP(B23,'Datos Rebisco'!B25:BI62,42,0))</f>
        <v/>
      </c>
      <c r="AS23" s="32" t="str">
        <f>IF(A23="","",VLOOKUP(B23,'Datos Rebisco'!B25:BJ62,43,0))</f>
        <v/>
      </c>
      <c r="AT23" s="32" t="str">
        <f>IF(A23="","",VLOOKUP(B23,'Datos Rebisco'!B25:BK62,44,0))</f>
        <v/>
      </c>
      <c r="AU23" s="58"/>
      <c r="AV23" s="37" t="str">
        <f t="shared" si="24"/>
        <v/>
      </c>
      <c r="AW23" s="38" t="str">
        <f t="shared" si="19"/>
        <v/>
      </c>
      <c r="AY23" s="180" t="str">
        <f>IF(A23="","",+'Datos Rebisco'!AY25)</f>
        <v/>
      </c>
      <c r="AZ23" s="258" t="str">
        <f t="shared" si="20"/>
        <v/>
      </c>
      <c r="BA23" s="255" t="str">
        <f>IF(A23="","",VLOOKUP(B23,'Datos Rebisco'!B25:BF62,51,0))</f>
        <v/>
      </c>
      <c r="BB23" s="181" t="str">
        <f t="shared" si="21"/>
        <v/>
      </c>
      <c r="BC23" s="180" t="str">
        <f>IF(BP23=A23,'Datos Rebisco'!BL25,"")</f>
        <v/>
      </c>
      <c r="BD23" s="181" t="str">
        <f t="shared" si="22"/>
        <v/>
      </c>
      <c r="BE23" s="29" t="str">
        <f>IF(A23="","",VLOOKUP(B23,'Datos Rebisco'!B25:BF62,53,0))</f>
        <v/>
      </c>
      <c r="BF23" s="28" t="str">
        <f>IF(A23="","",VLOOKUP(B23,'Datos Rebisco'!B25:BF62,54,0))</f>
        <v/>
      </c>
      <c r="BG23" s="28" t="str">
        <f>IF(A23="","",VLOOKUP(B23,'Datos Rebisco'!B25:BF62,55,0))</f>
        <v/>
      </c>
      <c r="BH23" s="28" t="str">
        <f>IF(A23="","",VLOOKUP(B23,'Datos Rebisco'!B25:BF62,51,0))</f>
        <v/>
      </c>
      <c r="BI23" s="28" t="str">
        <f>IF(A23="","",IF(VLOOKUP(B23,'Datos Rebisco'!B25:BF62,52,0)=0%,IF(AO23&gt;1,1,VLOOKUP(B23,'Datos Rebisco'!B25:BF62,52,0))))</f>
        <v/>
      </c>
      <c r="BJ23" s="211" t="str">
        <f>IF(A23="","",VLOOKUP(B23,'Datos Rebisco'!B25:BH62,58,0))</f>
        <v/>
      </c>
      <c r="BK23" s="27" t="str">
        <f>IF(A23="","",VLOOKUP(B23,'Datos Rebisco'!B25:BH62,59,0))</f>
        <v/>
      </c>
      <c r="BL23" s="29" t="str">
        <f>IF(A23="","",VLOOKUP(B23,'Datos Rebisco'!B25:BF62,55,0))</f>
        <v/>
      </c>
      <c r="BM23" s="181" t="str">
        <f>IF(A23="","",VLOOKUP(B23,'Datos Rebisco'!B25:BF62,56,0))</f>
        <v/>
      </c>
      <c r="BN23" s="266" t="str">
        <f>IF(A23="","",IF(VLOOKUP(B23,'Datos Rebisco'!B25:BF62,57,0)=0,IF(AO23&gt;1,1,VLOOKUP(B23,'Datos Rebisco'!B25:BF62,57,0))))</f>
        <v/>
      </c>
      <c r="BO23" s="59"/>
      <c r="BP23" s="190" t="str">
        <f>+'Biyemas S.A.'!BP23</f>
        <v xml:space="preserve">Lun/Mon    </v>
      </c>
    </row>
    <row r="24" spans="1:68" ht="11.25" customHeight="1" x14ac:dyDescent="0.2">
      <c r="A24" s="188" t="str">
        <f>IF(BP24='Datos Rebisco'!A26,'Datos Rebisco'!A26,"")</f>
        <v/>
      </c>
      <c r="B24" s="185" t="str">
        <f>IF(BP24=A24,'Datos Rebisco'!B26,"")</f>
        <v/>
      </c>
      <c r="C24" s="186" t="str">
        <f>IF(BP24=A24,'Datos Rebisco'!C26,"")</f>
        <v/>
      </c>
      <c r="D24" s="37" t="str">
        <f>IF(BP24=A24,VLOOKUP(B24,'Datos Rebisco'!B26:BB63,3,0),"")</f>
        <v/>
      </c>
      <c r="E24" s="32" t="str">
        <f>IF(BP24=A24,VLOOKUP(B24,'Datos Rebisco'!B26:BB63,4,0),"")</f>
        <v/>
      </c>
      <c r="F24" s="32" t="str">
        <f>IF(BP24=A24,VLOOKUP(B24,'Datos Rebisco'!B26:BB63,5,0),"")</f>
        <v/>
      </c>
      <c r="G24" s="32" t="str">
        <f>IF(BP24=A24,VLOOKUP(B24,'Datos Rebisco'!B26:BB63,6,0),"")</f>
        <v/>
      </c>
      <c r="H24" s="33" t="str">
        <f t="shared" si="0"/>
        <v/>
      </c>
      <c r="I24" s="33" t="str">
        <f t="shared" si="1"/>
        <v/>
      </c>
      <c r="J24" s="34" t="str">
        <f t="shared" si="2"/>
        <v/>
      </c>
      <c r="K24" s="31" t="str">
        <f t="shared" si="3"/>
        <v/>
      </c>
      <c r="L24" s="37" t="str">
        <f>IF(A24="","",VLOOKUP(B24,'Datos Rebisco'!B26:BB63,11,0))</f>
        <v/>
      </c>
      <c r="M24" s="32" t="str">
        <f>IF(A24="","",VLOOKUP(B24,'Datos Rebisco'!B26:BB63,12,0))</f>
        <v/>
      </c>
      <c r="N24" s="32" t="str">
        <f>IF(A24="","",VLOOKUP(B24,'Datos Rebisco'!B26:BB63,13,0))</f>
        <v/>
      </c>
      <c r="O24" s="32" t="str">
        <f>IF(A24="","",VLOOKUP(B24,'Datos Rebisco'!B26:BB63,14,0))</f>
        <v/>
      </c>
      <c r="P24" s="33" t="str">
        <f t="shared" si="6"/>
        <v/>
      </c>
      <c r="Q24" s="33" t="str">
        <f t="shared" si="7"/>
        <v/>
      </c>
      <c r="R24" s="34" t="str">
        <f t="shared" si="4"/>
        <v/>
      </c>
      <c r="S24" s="31" t="str">
        <f t="shared" si="5"/>
        <v/>
      </c>
      <c r="T24" s="35" t="str">
        <f t="shared" si="8"/>
        <v/>
      </c>
      <c r="U24" s="35" t="str">
        <f t="shared" si="9"/>
        <v/>
      </c>
      <c r="V24" s="37" t="str">
        <f>IF(A24="","",VLOOKUP(B24,'Datos Rebisco'!B26:BB63,21,0))</f>
        <v/>
      </c>
      <c r="W24" s="32" t="str">
        <f>IF(A24="","",VLOOKUP(B24,'Datos Rebisco'!B26:BB63,22,0))</f>
        <v/>
      </c>
      <c r="X24" s="32" t="str">
        <f>IF(A24="","",VLOOKUP(B24,'Datos Rebisco'!B26:BB63,23,0))</f>
        <v/>
      </c>
      <c r="Y24" s="32" t="str">
        <f>IF(A24="","",VLOOKUP(B24,'Datos Rebisco'!B26:BB63,24,0))</f>
        <v/>
      </c>
      <c r="Z24" s="33" t="str">
        <f t="shared" si="10"/>
        <v/>
      </c>
      <c r="AA24" s="33" t="str">
        <f t="shared" si="11"/>
        <v/>
      </c>
      <c r="AB24" s="34" t="str">
        <f t="shared" si="12"/>
        <v/>
      </c>
      <c r="AC24" s="31" t="str">
        <f t="shared" si="13"/>
        <v/>
      </c>
      <c r="AD24" s="37" t="str">
        <f t="shared" si="14"/>
        <v/>
      </c>
      <c r="AE24" s="32" t="str">
        <f>IF(A24="","",VLOOKUP(B24,'Datos Rebisco'!B26:BB63,30,0))</f>
        <v/>
      </c>
      <c r="AF24" s="31" t="str">
        <f t="shared" si="15"/>
        <v/>
      </c>
      <c r="AG24" s="32" t="str">
        <f>IF(A24="","",VLOOKUP(B24,'Datos Rebisco'!B26:BB63,32,0))</f>
        <v/>
      </c>
      <c r="AH24" s="32" t="str">
        <f>IF(A24="","",VLOOKUP(B24,'Datos Rebisco'!B26:BB63,33,0))</f>
        <v/>
      </c>
      <c r="AI24" s="32" t="str">
        <f>IF(A24="","",VLOOKUP(B24,'Datos Rebisco'!B26:BB63,34,0))</f>
        <v/>
      </c>
      <c r="AJ24" s="34" t="str">
        <f t="shared" si="16"/>
        <v/>
      </c>
      <c r="AK24" s="37" t="str">
        <f t="shared" si="17"/>
        <v/>
      </c>
      <c r="AL24" s="37" t="str">
        <f>IF(A24="","",VLOOKUP(B24,'Datos Rebisco'!B26:BB63,37,0))</f>
        <v/>
      </c>
      <c r="AM24" s="36" t="str">
        <f t="shared" si="18"/>
        <v/>
      </c>
      <c r="AN24" s="274" t="str">
        <f>IF(BP24=A24,'Datos Rebisco'!BL26,"")</f>
        <v/>
      </c>
      <c r="AO24" s="32" t="str">
        <f>IF(A24="","",VLOOKUP(B24,'Datos Rebisco'!B26:BF63,39,0))</f>
        <v/>
      </c>
      <c r="AP24" s="36" t="str">
        <f t="shared" si="23"/>
        <v/>
      </c>
      <c r="AQ24" s="32" t="str">
        <f>IF(A24="","",VLOOKUP(B24,'Datos Rebisco'!B26:BH63,41,0))</f>
        <v/>
      </c>
      <c r="AR24" s="32" t="str">
        <f>IF(A24="","",VLOOKUP(B24,'Datos Rebisco'!B26:BI63,42,0))</f>
        <v/>
      </c>
      <c r="AS24" s="32" t="str">
        <f>IF(A24="","",VLOOKUP(B24,'Datos Rebisco'!B26:BJ63,43,0))</f>
        <v/>
      </c>
      <c r="AT24" s="32" t="str">
        <f>IF(A24="","",VLOOKUP(B24,'Datos Rebisco'!B26:BK63,44,0))</f>
        <v/>
      </c>
      <c r="AU24" s="58"/>
      <c r="AV24" s="37" t="str">
        <f t="shared" si="24"/>
        <v/>
      </c>
      <c r="AW24" s="38" t="str">
        <f t="shared" si="19"/>
        <v/>
      </c>
      <c r="AY24" s="180" t="str">
        <f>IF(A24="","",+'Datos Rebisco'!AY26)</f>
        <v/>
      </c>
      <c r="AZ24" s="258" t="str">
        <f t="shared" si="20"/>
        <v/>
      </c>
      <c r="BA24" s="255" t="str">
        <f>IF(A24="","",VLOOKUP(B24,'Datos Rebisco'!B26:BF63,51,0))</f>
        <v/>
      </c>
      <c r="BB24" s="181" t="str">
        <f t="shared" si="21"/>
        <v/>
      </c>
      <c r="BC24" s="180" t="str">
        <f>IF(BP24=A24,'Datos Rebisco'!BL26,"")</f>
        <v/>
      </c>
      <c r="BD24" s="181" t="str">
        <f t="shared" si="22"/>
        <v/>
      </c>
      <c r="BE24" s="29" t="str">
        <f>IF(A24="","",VLOOKUP(B24,'Datos Rebisco'!B26:BF63,53,0))</f>
        <v/>
      </c>
      <c r="BF24" s="28" t="str">
        <f>IF(A24="","",VLOOKUP(B24,'Datos Rebisco'!B26:BF63,54,0))</f>
        <v/>
      </c>
      <c r="BG24" s="28" t="str">
        <f>IF(A24="","",VLOOKUP(B24,'Datos Rebisco'!B26:BF63,55,0))</f>
        <v/>
      </c>
      <c r="BH24" s="28" t="str">
        <f>IF(A24="","",VLOOKUP(B24,'Datos Rebisco'!B26:BF63,51,0))</f>
        <v/>
      </c>
      <c r="BI24" s="28" t="str">
        <f>IF(A24="","",IF(VLOOKUP(B24,'Datos Rebisco'!B26:BF63,52,0)=0%,IF(AO24&gt;1,1,VLOOKUP(B24,'Datos Rebisco'!B26:BF63,52,0))))</f>
        <v/>
      </c>
      <c r="BJ24" s="211" t="str">
        <f>IF(A24="","",VLOOKUP(B24,'Datos Rebisco'!B26:BH63,58,0))</f>
        <v/>
      </c>
      <c r="BK24" s="27" t="str">
        <f>IF(A24="","",VLOOKUP(B24,'Datos Rebisco'!B26:BH63,59,0))</f>
        <v/>
      </c>
      <c r="BL24" s="29" t="str">
        <f>IF(A24="","",VLOOKUP(B24,'Datos Rebisco'!B26:BF63,55,0))</f>
        <v/>
      </c>
      <c r="BM24" s="181" t="str">
        <f>IF(A24="","",VLOOKUP(B24,'Datos Rebisco'!B26:BF63,56,0))</f>
        <v/>
      </c>
      <c r="BN24" s="266" t="str">
        <f>IF(A24="","",IF(VLOOKUP(B24,'Datos Rebisco'!B26:BF63,57,0)=0,IF(AO24&gt;1,1,VLOOKUP(B24,'Datos Rebisco'!B26:BF63,57,0))))</f>
        <v/>
      </c>
      <c r="BO24" s="59"/>
      <c r="BP24" s="190" t="str">
        <f>+'Biyemas S.A.'!BP24</f>
        <v xml:space="preserve">Mar/Tue    </v>
      </c>
    </row>
    <row r="25" spans="1:68" ht="11.25" customHeight="1" x14ac:dyDescent="0.2">
      <c r="A25" s="188" t="str">
        <f>IF(BP25='Datos Rebisco'!A27,'Datos Rebisco'!A27,"")</f>
        <v/>
      </c>
      <c r="B25" s="185" t="str">
        <f>IF(BP25=A25,'Datos Rebisco'!B27,"")</f>
        <v/>
      </c>
      <c r="C25" s="186" t="str">
        <f>IF(BP25=A25,'Datos Rebisco'!C27,"")</f>
        <v/>
      </c>
      <c r="D25" s="37" t="str">
        <f>IF(BP25=A25,VLOOKUP(B25,'Datos Rebisco'!B27:BB64,3,0),"")</f>
        <v/>
      </c>
      <c r="E25" s="32" t="str">
        <f>IF(BP25=A25,VLOOKUP(B25,'Datos Rebisco'!B27:BB64,4,0),"")</f>
        <v/>
      </c>
      <c r="F25" s="32" t="str">
        <f>IF(BP25=A25,VLOOKUP(B25,'Datos Rebisco'!B27:BB64,5,0),"")</f>
        <v/>
      </c>
      <c r="G25" s="32" t="str">
        <f>IF(BP25=A25,VLOOKUP(B25,'Datos Rebisco'!B27:BB64,6,0),"")</f>
        <v/>
      </c>
      <c r="H25" s="33" t="str">
        <f t="shared" si="0"/>
        <v/>
      </c>
      <c r="I25" s="33" t="str">
        <f t="shared" si="1"/>
        <v/>
      </c>
      <c r="J25" s="34" t="str">
        <f t="shared" si="2"/>
        <v/>
      </c>
      <c r="K25" s="31" t="str">
        <f t="shared" si="3"/>
        <v/>
      </c>
      <c r="L25" s="37" t="str">
        <f>IF(A25="","",VLOOKUP(B25,'Datos Rebisco'!B27:BB64,11,0))</f>
        <v/>
      </c>
      <c r="M25" s="32" t="str">
        <f>IF(A25="","",VLOOKUP(B25,'Datos Rebisco'!B27:BB64,12,0))</f>
        <v/>
      </c>
      <c r="N25" s="32" t="str">
        <f>IF(A25="","",VLOOKUP(B25,'Datos Rebisco'!B27:BB64,13,0))</f>
        <v/>
      </c>
      <c r="O25" s="32" t="str">
        <f>IF(A25="","",VLOOKUP(B25,'Datos Rebisco'!B27:BB64,14,0))</f>
        <v/>
      </c>
      <c r="P25" s="33" t="str">
        <f t="shared" si="6"/>
        <v/>
      </c>
      <c r="Q25" s="33" t="str">
        <f t="shared" si="7"/>
        <v/>
      </c>
      <c r="R25" s="34" t="str">
        <f t="shared" si="4"/>
        <v/>
      </c>
      <c r="S25" s="31" t="str">
        <f t="shared" si="5"/>
        <v/>
      </c>
      <c r="T25" s="35" t="str">
        <f t="shared" si="8"/>
        <v/>
      </c>
      <c r="U25" s="35" t="str">
        <f t="shared" si="9"/>
        <v/>
      </c>
      <c r="V25" s="37" t="str">
        <f>IF(A25="","",VLOOKUP(B25,'Datos Rebisco'!B27:BB64,21,0))</f>
        <v/>
      </c>
      <c r="W25" s="32" t="str">
        <f>IF(A25="","",VLOOKUP(B25,'Datos Rebisco'!B27:BB64,22,0))</f>
        <v/>
      </c>
      <c r="X25" s="32" t="str">
        <f>IF(A25="","",VLOOKUP(B25,'Datos Rebisco'!B27:BB64,23,0))</f>
        <v/>
      </c>
      <c r="Y25" s="32" t="str">
        <f>IF(A25="","",VLOOKUP(B25,'Datos Rebisco'!B27:BB64,24,0))</f>
        <v/>
      </c>
      <c r="Z25" s="33" t="str">
        <f t="shared" si="10"/>
        <v/>
      </c>
      <c r="AA25" s="33" t="str">
        <f t="shared" si="11"/>
        <v/>
      </c>
      <c r="AB25" s="34" t="str">
        <f t="shared" si="12"/>
        <v/>
      </c>
      <c r="AC25" s="31" t="str">
        <f t="shared" si="13"/>
        <v/>
      </c>
      <c r="AD25" s="37" t="str">
        <f t="shared" si="14"/>
        <v/>
      </c>
      <c r="AE25" s="32" t="str">
        <f>IF(A25="","",VLOOKUP(B25,'Datos Rebisco'!B27:BB64,30,0))</f>
        <v/>
      </c>
      <c r="AF25" s="31" t="str">
        <f t="shared" si="15"/>
        <v/>
      </c>
      <c r="AG25" s="32" t="str">
        <f>IF(A25="","",VLOOKUP(B25,'Datos Rebisco'!B27:BB64,32,0))</f>
        <v/>
      </c>
      <c r="AH25" s="32" t="str">
        <f>IF(A25="","",VLOOKUP(B25,'Datos Rebisco'!B27:BB64,33,0))</f>
        <v/>
      </c>
      <c r="AI25" s="32" t="str">
        <f>IF(A25="","",VLOOKUP(B25,'Datos Rebisco'!B27:BB64,34,0))</f>
        <v/>
      </c>
      <c r="AJ25" s="34" t="str">
        <f t="shared" si="16"/>
        <v/>
      </c>
      <c r="AK25" s="37" t="str">
        <f t="shared" si="17"/>
        <v/>
      </c>
      <c r="AL25" s="37" t="str">
        <f>IF(A25="","",VLOOKUP(B25,'Datos Rebisco'!B27:BB64,37,0))</f>
        <v/>
      </c>
      <c r="AM25" s="36" t="str">
        <f t="shared" si="18"/>
        <v/>
      </c>
      <c r="AN25" s="274" t="str">
        <f>IF(BP25=A25,'Datos Rebisco'!BL27,"")</f>
        <v/>
      </c>
      <c r="AO25" s="32" t="str">
        <f>IF(A25="","",VLOOKUP(B25,'Datos Rebisco'!B27:BF64,39,0))</f>
        <v/>
      </c>
      <c r="AP25" s="36" t="str">
        <f t="shared" si="23"/>
        <v/>
      </c>
      <c r="AQ25" s="32" t="str">
        <f>IF(A25="","",VLOOKUP(B25,'Datos Rebisco'!B27:BH64,41,0))</f>
        <v/>
      </c>
      <c r="AR25" s="32" t="str">
        <f>IF(A25="","",VLOOKUP(B25,'Datos Rebisco'!B27:BI64,42,0))</f>
        <v/>
      </c>
      <c r="AS25" s="32" t="str">
        <f>IF(A25="","",VLOOKUP(B25,'Datos Rebisco'!B27:BJ64,43,0))</f>
        <v/>
      </c>
      <c r="AT25" s="32" t="str">
        <f>IF(A25="","",VLOOKUP(B25,'Datos Rebisco'!B27:BK64,44,0))</f>
        <v/>
      </c>
      <c r="AU25" s="58"/>
      <c r="AV25" s="37" t="str">
        <f t="shared" si="24"/>
        <v/>
      </c>
      <c r="AW25" s="38" t="str">
        <f t="shared" si="19"/>
        <v/>
      </c>
      <c r="AY25" s="180" t="str">
        <f>IF(A25="","",+'Datos Rebisco'!AY27)</f>
        <v/>
      </c>
      <c r="AZ25" s="258" t="str">
        <f t="shared" si="20"/>
        <v/>
      </c>
      <c r="BA25" s="255" t="str">
        <f>IF(A25="","",VLOOKUP(B25,'Datos Rebisco'!B27:BF64,51,0))</f>
        <v/>
      </c>
      <c r="BB25" s="181" t="str">
        <f t="shared" si="21"/>
        <v/>
      </c>
      <c r="BC25" s="180" t="str">
        <f>IF(BP25=A25,'Datos Rebisco'!BL27,"")</f>
        <v/>
      </c>
      <c r="BD25" s="181" t="str">
        <f t="shared" si="22"/>
        <v/>
      </c>
      <c r="BE25" s="29" t="str">
        <f>IF(A25="","",VLOOKUP(B25,'Datos Rebisco'!B27:BF64,53,0))</f>
        <v/>
      </c>
      <c r="BF25" s="28" t="str">
        <f>IF(A25="","",VLOOKUP(B25,'Datos Rebisco'!B27:BF64,54,0))</f>
        <v/>
      </c>
      <c r="BG25" s="28" t="str">
        <f>IF(A25="","",VLOOKUP(B25,'Datos Rebisco'!B27:BF64,55,0))</f>
        <v/>
      </c>
      <c r="BH25" s="28" t="str">
        <f>IF(A25="","",VLOOKUP(B25,'Datos Rebisco'!B27:BF64,51,0))</f>
        <v/>
      </c>
      <c r="BI25" s="28" t="str">
        <f>IF(A25="","",IF(VLOOKUP(B25,'Datos Rebisco'!B27:BF64,52,0)=0%,IF(AO25&gt;1,1,VLOOKUP(B25,'Datos Rebisco'!B27:BF64,52,0))))</f>
        <v/>
      </c>
      <c r="BJ25" s="211" t="str">
        <f>IF(A25="","",VLOOKUP(B25,'Datos Rebisco'!B27:BH64,58,0))</f>
        <v/>
      </c>
      <c r="BK25" s="27" t="str">
        <f>IF(A25="","",VLOOKUP(B25,'Datos Rebisco'!B27:BH64,59,0))</f>
        <v/>
      </c>
      <c r="BL25" s="29" t="str">
        <f>IF(A25="","",VLOOKUP(B25,'Datos Rebisco'!B27:BF64,55,0))</f>
        <v/>
      </c>
      <c r="BM25" s="181" t="str">
        <f>IF(A25="","",VLOOKUP(B25,'Datos Rebisco'!B27:BF64,56,0))</f>
        <v/>
      </c>
      <c r="BN25" s="266" t="str">
        <f>IF(A25="","",IF(VLOOKUP(B25,'Datos Rebisco'!B27:BF64,57,0)=0,IF(AO25&gt;1,1,VLOOKUP(B25,'Datos Rebisco'!B27:BF64,57,0))))</f>
        <v/>
      </c>
      <c r="BO25" s="59"/>
      <c r="BP25" s="190" t="str">
        <f>+'Biyemas S.A.'!BP25</f>
        <v xml:space="preserve">Mie/Wed    </v>
      </c>
    </row>
    <row r="26" spans="1:68" ht="11.25" customHeight="1" x14ac:dyDescent="0.2">
      <c r="A26" s="188" t="str">
        <f>IF(BP26='Datos Rebisco'!A28,'Datos Rebisco'!A28,"")</f>
        <v/>
      </c>
      <c r="B26" s="185" t="str">
        <f>IF(BP26=A26,'Datos Rebisco'!B28,"")</f>
        <v/>
      </c>
      <c r="C26" s="186" t="str">
        <f>IF(BP26=A26,'Datos Rebisco'!C28,"")</f>
        <v/>
      </c>
      <c r="D26" s="37" t="str">
        <f>IF(BP26=A26,VLOOKUP(B26,'Datos Rebisco'!B28:BB65,3,0),"")</f>
        <v/>
      </c>
      <c r="E26" s="32" t="str">
        <f>IF(BP26=A26,VLOOKUP(B26,'Datos Rebisco'!B28:BB65,4,0),"")</f>
        <v/>
      </c>
      <c r="F26" s="32" t="str">
        <f>IF(BP26=A26,VLOOKUP(B26,'Datos Rebisco'!B28:BB65,5,0),"")</f>
        <v/>
      </c>
      <c r="G26" s="32" t="str">
        <f>IF(BP26=A26,VLOOKUP(B26,'Datos Rebisco'!B28:BB65,6,0),"")</f>
        <v/>
      </c>
      <c r="H26" s="33" t="str">
        <f t="shared" si="0"/>
        <v/>
      </c>
      <c r="I26" s="33" t="str">
        <f t="shared" si="1"/>
        <v/>
      </c>
      <c r="J26" s="34" t="str">
        <f t="shared" si="2"/>
        <v/>
      </c>
      <c r="K26" s="31" t="str">
        <f t="shared" si="3"/>
        <v/>
      </c>
      <c r="L26" s="37" t="str">
        <f>IF(A26="","",VLOOKUP(B26,'Datos Rebisco'!B28:BB65,11,0))</f>
        <v/>
      </c>
      <c r="M26" s="32" t="str">
        <f>IF(A26="","",VLOOKUP(B26,'Datos Rebisco'!B28:BB65,12,0))</f>
        <v/>
      </c>
      <c r="N26" s="32" t="str">
        <f>IF(A26="","",VLOOKUP(B26,'Datos Rebisco'!B28:BB65,13,0))</f>
        <v/>
      </c>
      <c r="O26" s="32" t="str">
        <f>IF(A26="","",VLOOKUP(B26,'Datos Rebisco'!B28:BB65,14,0))</f>
        <v/>
      </c>
      <c r="P26" s="33" t="str">
        <f t="shared" si="6"/>
        <v/>
      </c>
      <c r="Q26" s="33" t="str">
        <f t="shared" si="7"/>
        <v/>
      </c>
      <c r="R26" s="34" t="str">
        <f t="shared" si="4"/>
        <v/>
      </c>
      <c r="S26" s="31" t="str">
        <f t="shared" si="5"/>
        <v/>
      </c>
      <c r="T26" s="35" t="str">
        <f t="shared" si="8"/>
        <v/>
      </c>
      <c r="U26" s="35" t="str">
        <f t="shared" si="9"/>
        <v/>
      </c>
      <c r="V26" s="37" t="str">
        <f>IF(A26="","",VLOOKUP(B26,'Datos Rebisco'!B28:BB65,21,0))</f>
        <v/>
      </c>
      <c r="W26" s="32" t="str">
        <f>IF(A26="","",VLOOKUP(B26,'Datos Rebisco'!B28:BB65,22,0))</f>
        <v/>
      </c>
      <c r="X26" s="32" t="str">
        <f>IF(A26="","",VLOOKUP(B26,'Datos Rebisco'!B28:BB65,23,0))</f>
        <v/>
      </c>
      <c r="Y26" s="32" t="str">
        <f>IF(A26="","",VLOOKUP(B26,'Datos Rebisco'!B28:BB65,24,0))</f>
        <v/>
      </c>
      <c r="Z26" s="33" t="str">
        <f t="shared" si="10"/>
        <v/>
      </c>
      <c r="AA26" s="33" t="str">
        <f t="shared" si="11"/>
        <v/>
      </c>
      <c r="AB26" s="34" t="str">
        <f t="shared" si="12"/>
        <v/>
      </c>
      <c r="AC26" s="31" t="str">
        <f t="shared" si="13"/>
        <v/>
      </c>
      <c r="AD26" s="37" t="str">
        <f t="shared" si="14"/>
        <v/>
      </c>
      <c r="AE26" s="32" t="str">
        <f>IF(A26="","",VLOOKUP(B26,'Datos Rebisco'!B28:BB65,30,0))</f>
        <v/>
      </c>
      <c r="AF26" s="31" t="str">
        <f t="shared" si="15"/>
        <v/>
      </c>
      <c r="AG26" s="32" t="str">
        <f>IF(A26="","",VLOOKUP(B26,'Datos Rebisco'!B28:BB65,32,0))</f>
        <v/>
      </c>
      <c r="AH26" s="32" t="str">
        <f>IF(A26="","",VLOOKUP(B26,'Datos Rebisco'!B28:BB65,33,0))</f>
        <v/>
      </c>
      <c r="AI26" s="32" t="str">
        <f>IF(A26="","",VLOOKUP(B26,'Datos Rebisco'!B28:BB65,34,0))</f>
        <v/>
      </c>
      <c r="AJ26" s="34" t="str">
        <f t="shared" si="16"/>
        <v/>
      </c>
      <c r="AK26" s="37" t="str">
        <f t="shared" si="17"/>
        <v/>
      </c>
      <c r="AL26" s="37" t="str">
        <f>IF(A26="","",VLOOKUP(B26,'Datos Rebisco'!B28:BB65,37,0))</f>
        <v/>
      </c>
      <c r="AM26" s="36" t="str">
        <f t="shared" si="18"/>
        <v/>
      </c>
      <c r="AN26" s="274" t="str">
        <f>IF(BP26=A26,'Datos Rebisco'!BL28,"")</f>
        <v/>
      </c>
      <c r="AO26" s="32" t="str">
        <f>IF(A26="","",VLOOKUP(B26,'Datos Rebisco'!B28:BF65,39,0))</f>
        <v/>
      </c>
      <c r="AP26" s="36" t="str">
        <f t="shared" si="23"/>
        <v/>
      </c>
      <c r="AQ26" s="32" t="str">
        <f>IF(A26="","",VLOOKUP(B26,'Datos Rebisco'!B28:BH65,41,0))</f>
        <v/>
      </c>
      <c r="AR26" s="32" t="str">
        <f>IF(A26="","",VLOOKUP(B26,'Datos Rebisco'!B28:BI65,42,0))</f>
        <v/>
      </c>
      <c r="AS26" s="32" t="str">
        <f>IF(A26="","",VLOOKUP(B26,'Datos Rebisco'!B28:BJ65,43,0))</f>
        <v/>
      </c>
      <c r="AT26" s="32" t="str">
        <f>IF(A26="","",VLOOKUP(B26,'Datos Rebisco'!B28:BK65,44,0))</f>
        <v/>
      </c>
      <c r="AU26" s="58"/>
      <c r="AV26" s="37" t="str">
        <f t="shared" si="24"/>
        <v/>
      </c>
      <c r="AW26" s="38" t="str">
        <f t="shared" si="19"/>
        <v/>
      </c>
      <c r="AY26" s="180" t="str">
        <f>IF(A26="","",+'Datos Rebisco'!AY28)</f>
        <v/>
      </c>
      <c r="AZ26" s="258" t="str">
        <f t="shared" si="20"/>
        <v/>
      </c>
      <c r="BA26" s="255" t="str">
        <f>IF(A26="","",VLOOKUP(B26,'Datos Rebisco'!B28:BF65,51,0))</f>
        <v/>
      </c>
      <c r="BB26" s="181" t="str">
        <f t="shared" si="21"/>
        <v/>
      </c>
      <c r="BC26" s="180" t="str">
        <f>IF(BP26=A26,'Datos Rebisco'!BL28,"")</f>
        <v/>
      </c>
      <c r="BD26" s="181" t="str">
        <f t="shared" si="22"/>
        <v/>
      </c>
      <c r="BE26" s="29" t="str">
        <f>IF(A26="","",VLOOKUP(B26,'Datos Rebisco'!B28:BF65,53,0))</f>
        <v/>
      </c>
      <c r="BF26" s="28" t="str">
        <f>IF(A26="","",VLOOKUP(B26,'Datos Rebisco'!B28:BF65,54,0))</f>
        <v/>
      </c>
      <c r="BG26" s="28" t="str">
        <f>IF(A26="","",VLOOKUP(B26,'Datos Rebisco'!B28:BF65,55,0))</f>
        <v/>
      </c>
      <c r="BH26" s="28" t="str">
        <f>IF(A26="","",VLOOKUP(B26,'Datos Rebisco'!B28:BF65,51,0))</f>
        <v/>
      </c>
      <c r="BI26" s="28" t="str">
        <f>IF(A26="","",IF(VLOOKUP(B26,'Datos Rebisco'!B28:BF65,52,0)=0%,IF(AO26&gt;1,1,VLOOKUP(B26,'Datos Rebisco'!B28:BF65,52,0))))</f>
        <v/>
      </c>
      <c r="BJ26" s="211" t="str">
        <f>IF(A26="","",VLOOKUP(B26,'Datos Rebisco'!B28:BH65,58,0))</f>
        <v/>
      </c>
      <c r="BK26" s="27" t="str">
        <f>IF(A26="","",VLOOKUP(B26,'Datos Rebisco'!B28:BH65,59,0))</f>
        <v/>
      </c>
      <c r="BL26" s="29" t="str">
        <f>IF(A26="","",VLOOKUP(B26,'Datos Rebisco'!B28:BF65,55,0))</f>
        <v/>
      </c>
      <c r="BM26" s="181" t="str">
        <f>IF(A26="","",VLOOKUP(B26,'Datos Rebisco'!B28:BF65,56,0))</f>
        <v/>
      </c>
      <c r="BN26" s="266" t="str">
        <f>IF(A26="","",IF(VLOOKUP(B26,'Datos Rebisco'!B28:BF65,57,0)=0,IF(AO26&gt;1,1,VLOOKUP(B26,'Datos Rebisco'!B28:BF65,57,0))))</f>
        <v/>
      </c>
      <c r="BO26" s="59"/>
      <c r="BP26" s="190" t="str">
        <f>+'Biyemas S.A.'!BP26</f>
        <v xml:space="preserve">Jue/Thu    </v>
      </c>
    </row>
    <row r="27" spans="1:68" ht="11.25" customHeight="1" x14ac:dyDescent="0.2">
      <c r="A27" s="188" t="str">
        <f>IF(BP27='Datos Rebisco'!A29,'Datos Rebisco'!A29,"")</f>
        <v/>
      </c>
      <c r="B27" s="185" t="str">
        <f>IF(BP27=A27,'Datos Rebisco'!B29,"")</f>
        <v/>
      </c>
      <c r="C27" s="186" t="str">
        <f>IF(BP27=A27,'Datos Rebisco'!C29,"")</f>
        <v/>
      </c>
      <c r="D27" s="37" t="str">
        <f>IF(BP27=A27,VLOOKUP(B27,'Datos Rebisco'!B29:BB66,3,0),"")</f>
        <v/>
      </c>
      <c r="E27" s="32" t="str">
        <f>IF(BP27=A27,VLOOKUP(B27,'Datos Rebisco'!B29:BB66,4,0),"")</f>
        <v/>
      </c>
      <c r="F27" s="32" t="str">
        <f>IF(BP27=A27,VLOOKUP(B27,'Datos Rebisco'!B29:BB66,5,0),"")</f>
        <v/>
      </c>
      <c r="G27" s="32" t="str">
        <f>IF(BP27=A27,VLOOKUP(B27,'Datos Rebisco'!B29:BB66,6,0),"")</f>
        <v/>
      </c>
      <c r="H27" s="33" t="str">
        <f t="shared" si="0"/>
        <v/>
      </c>
      <c r="I27" s="33" t="str">
        <f t="shared" si="1"/>
        <v/>
      </c>
      <c r="J27" s="34" t="str">
        <f t="shared" si="2"/>
        <v/>
      </c>
      <c r="K27" s="31" t="str">
        <f t="shared" si="3"/>
        <v/>
      </c>
      <c r="L27" s="37" t="str">
        <f>IF(A27="","",VLOOKUP(B27,'Datos Rebisco'!B29:BB66,11,0))</f>
        <v/>
      </c>
      <c r="M27" s="32" t="str">
        <f>IF(A27="","",VLOOKUP(B27,'Datos Rebisco'!B29:BB66,12,0))</f>
        <v/>
      </c>
      <c r="N27" s="32" t="str">
        <f>IF(A27="","",VLOOKUP(B27,'Datos Rebisco'!B29:BB66,13,0))</f>
        <v/>
      </c>
      <c r="O27" s="32" t="str">
        <f>IF(A27="","",VLOOKUP(B27,'Datos Rebisco'!B29:BB66,14,0))</f>
        <v/>
      </c>
      <c r="P27" s="33" t="str">
        <f t="shared" si="6"/>
        <v/>
      </c>
      <c r="Q27" s="33" t="str">
        <f t="shared" si="7"/>
        <v/>
      </c>
      <c r="R27" s="34" t="str">
        <f t="shared" si="4"/>
        <v/>
      </c>
      <c r="S27" s="31" t="str">
        <f t="shared" si="5"/>
        <v/>
      </c>
      <c r="T27" s="35" t="str">
        <f t="shared" si="8"/>
        <v/>
      </c>
      <c r="U27" s="35" t="str">
        <f t="shared" si="9"/>
        <v/>
      </c>
      <c r="V27" s="37" t="str">
        <f>IF(A27="","",VLOOKUP(B27,'Datos Rebisco'!B29:BB66,21,0))</f>
        <v/>
      </c>
      <c r="W27" s="32" t="str">
        <f>IF(A27="","",VLOOKUP(B27,'Datos Rebisco'!B29:BB66,22,0))</f>
        <v/>
      </c>
      <c r="X27" s="32" t="str">
        <f>IF(A27="","",VLOOKUP(B27,'Datos Rebisco'!B29:BB66,23,0))</f>
        <v/>
      </c>
      <c r="Y27" s="32" t="str">
        <f>IF(A27="","",VLOOKUP(B27,'Datos Rebisco'!B29:BB66,24,0))</f>
        <v/>
      </c>
      <c r="Z27" s="33" t="str">
        <f t="shared" si="10"/>
        <v/>
      </c>
      <c r="AA27" s="33" t="str">
        <f t="shared" si="11"/>
        <v/>
      </c>
      <c r="AB27" s="34" t="str">
        <f t="shared" si="12"/>
        <v/>
      </c>
      <c r="AC27" s="31" t="str">
        <f t="shared" si="13"/>
        <v/>
      </c>
      <c r="AD27" s="37" t="str">
        <f t="shared" si="14"/>
        <v/>
      </c>
      <c r="AE27" s="32" t="str">
        <f>IF(A27="","",VLOOKUP(B27,'Datos Rebisco'!B29:BB66,30,0))</f>
        <v/>
      </c>
      <c r="AF27" s="31" t="str">
        <f t="shared" si="15"/>
        <v/>
      </c>
      <c r="AG27" s="32" t="str">
        <f>IF(A27="","",VLOOKUP(B27,'Datos Rebisco'!B29:BB66,32,0))</f>
        <v/>
      </c>
      <c r="AH27" s="32" t="str">
        <f>IF(A27="","",VLOOKUP(B27,'Datos Rebisco'!B29:BB66,33,0))</f>
        <v/>
      </c>
      <c r="AI27" s="32" t="str">
        <f>IF(A27="","",VLOOKUP(B27,'Datos Rebisco'!B29:BB66,34,0))</f>
        <v/>
      </c>
      <c r="AJ27" s="34" t="str">
        <f t="shared" si="16"/>
        <v/>
      </c>
      <c r="AK27" s="37" t="str">
        <f t="shared" si="17"/>
        <v/>
      </c>
      <c r="AL27" s="37" t="str">
        <f>IF(A27="","",VLOOKUP(B27,'Datos Rebisco'!B29:BB66,37,0))</f>
        <v/>
      </c>
      <c r="AM27" s="36" t="str">
        <f t="shared" si="18"/>
        <v/>
      </c>
      <c r="AN27" s="274" t="str">
        <f>IF(BP27=A27,'Datos Rebisco'!BL29,"")</f>
        <v/>
      </c>
      <c r="AO27" s="32" t="str">
        <f>IF(A27="","",VLOOKUP(B27,'Datos Rebisco'!B29:BF66,39,0))</f>
        <v/>
      </c>
      <c r="AP27" s="36" t="str">
        <f t="shared" si="23"/>
        <v/>
      </c>
      <c r="AQ27" s="32" t="str">
        <f>IF(A27="","",VLOOKUP(B27,'Datos Rebisco'!B29:BH66,41,0))</f>
        <v/>
      </c>
      <c r="AR27" s="32" t="str">
        <f>IF(A27="","",VLOOKUP(B27,'Datos Rebisco'!B29:BI66,42,0))</f>
        <v/>
      </c>
      <c r="AS27" s="32" t="str">
        <f>IF(A27="","",VLOOKUP(B27,'Datos Rebisco'!B29:BJ66,43,0))</f>
        <v/>
      </c>
      <c r="AT27" s="32" t="str">
        <f>IF(A27="","",VLOOKUP(B27,'Datos Rebisco'!B29:BK66,44,0))</f>
        <v/>
      </c>
      <c r="AU27" s="58"/>
      <c r="AV27" s="37" t="str">
        <f t="shared" si="24"/>
        <v/>
      </c>
      <c r="AW27" s="38" t="str">
        <f t="shared" si="19"/>
        <v/>
      </c>
      <c r="AY27" s="180" t="str">
        <f>IF(A27="","",+'Datos Rebisco'!AY29)</f>
        <v/>
      </c>
      <c r="AZ27" s="258" t="str">
        <f t="shared" si="20"/>
        <v/>
      </c>
      <c r="BA27" s="255" t="str">
        <f>IF(A27="","",VLOOKUP(B27,'Datos Rebisco'!B29:BF66,51,0))</f>
        <v/>
      </c>
      <c r="BB27" s="181" t="str">
        <f t="shared" si="21"/>
        <v/>
      </c>
      <c r="BC27" s="180" t="str">
        <f>IF(BP27=A27,'Datos Rebisco'!BL29,"")</f>
        <v/>
      </c>
      <c r="BD27" s="181" t="str">
        <f t="shared" si="22"/>
        <v/>
      </c>
      <c r="BE27" s="29" t="str">
        <f>IF(A27="","",VLOOKUP(B27,'Datos Rebisco'!B29:BF66,53,0))</f>
        <v/>
      </c>
      <c r="BF27" s="28" t="str">
        <f>IF(A27="","",VLOOKUP(B27,'Datos Rebisco'!B29:BF66,54,0))</f>
        <v/>
      </c>
      <c r="BG27" s="28" t="str">
        <f>IF(A27="","",VLOOKUP(B27,'Datos Rebisco'!B29:BF66,55,0))</f>
        <v/>
      </c>
      <c r="BH27" s="28" t="str">
        <f>IF(A27="","",VLOOKUP(B27,'Datos Rebisco'!B29:BF66,51,0))</f>
        <v/>
      </c>
      <c r="BI27" s="28" t="str">
        <f>IF(A27="","",IF(VLOOKUP(B27,'Datos Rebisco'!B29:BF66,52,0)=0%,IF(AO27&gt;1,1,VLOOKUP(B27,'Datos Rebisco'!B29:BF66,52,0))))</f>
        <v/>
      </c>
      <c r="BJ27" s="211" t="str">
        <f>IF(A27="","",VLOOKUP(B27,'Datos Rebisco'!B29:BH66,58,0))</f>
        <v/>
      </c>
      <c r="BK27" s="27" t="str">
        <f>IF(A27="","",VLOOKUP(B27,'Datos Rebisco'!B29:BH66,59,0))</f>
        <v/>
      </c>
      <c r="BL27" s="29" t="str">
        <f>IF(A27="","",VLOOKUP(B27,'Datos Rebisco'!B29:BF66,55,0))</f>
        <v/>
      </c>
      <c r="BM27" s="181" t="str">
        <f>IF(A27="","",VLOOKUP(B27,'Datos Rebisco'!B29:BF66,56,0))</f>
        <v/>
      </c>
      <c r="BN27" s="266" t="str">
        <f>IF(A27="","",IF(VLOOKUP(B27,'Datos Rebisco'!B29:BF66,57,0)=0,IF(AO27&gt;1,1,VLOOKUP(B27,'Datos Rebisco'!B29:BF66,57,0))))</f>
        <v/>
      </c>
      <c r="BO27" s="59"/>
      <c r="BP27" s="190" t="str">
        <f>+'Biyemas S.A.'!BP27</f>
        <v xml:space="preserve">Vie/Fri    </v>
      </c>
    </row>
    <row r="28" spans="1:68" ht="11.25" customHeight="1" x14ac:dyDescent="0.2">
      <c r="A28" s="188" t="str">
        <f>IF(BP28='Datos Rebisco'!A30,'Datos Rebisco'!A30,"")</f>
        <v/>
      </c>
      <c r="B28" s="185" t="str">
        <f>IF(BP28=A28,'Datos Rebisco'!B30,"")</f>
        <v/>
      </c>
      <c r="C28" s="186" t="str">
        <f>IF(BP28=A28,'Datos Rebisco'!C30,"")</f>
        <v/>
      </c>
      <c r="D28" s="37" t="str">
        <f>IF(BP28=A28,VLOOKUP(B28,'Datos Rebisco'!B30:BB67,3,0),"")</f>
        <v/>
      </c>
      <c r="E28" s="32" t="str">
        <f>IF(BP28=A28,VLOOKUP(B28,'Datos Rebisco'!B30:BB67,4,0),"")</f>
        <v/>
      </c>
      <c r="F28" s="32" t="str">
        <f>IF(BP28=A28,VLOOKUP(B28,'Datos Rebisco'!B30:BB67,5,0),"")</f>
        <v/>
      </c>
      <c r="G28" s="32" t="str">
        <f>IF(BP28=A28,VLOOKUP(B28,'Datos Rebisco'!B30:BB67,6,0),"")</f>
        <v/>
      </c>
      <c r="H28" s="33" t="str">
        <f t="shared" si="0"/>
        <v/>
      </c>
      <c r="I28" s="33" t="str">
        <f t="shared" si="1"/>
        <v/>
      </c>
      <c r="J28" s="34" t="str">
        <f t="shared" si="2"/>
        <v/>
      </c>
      <c r="K28" s="31" t="str">
        <f t="shared" si="3"/>
        <v/>
      </c>
      <c r="L28" s="37" t="str">
        <f>IF(A28="","",VLOOKUP(B28,'Datos Rebisco'!B30:BB67,11,0))</f>
        <v/>
      </c>
      <c r="M28" s="32" t="str">
        <f>IF(A28="","",VLOOKUP(B28,'Datos Rebisco'!B30:BB67,12,0))</f>
        <v/>
      </c>
      <c r="N28" s="32" t="str">
        <f>IF(A28="","",VLOOKUP(B28,'Datos Rebisco'!B30:BB67,13,0))</f>
        <v/>
      </c>
      <c r="O28" s="32" t="str">
        <f>IF(A28="","",VLOOKUP(B28,'Datos Rebisco'!B30:BB67,14,0))</f>
        <v/>
      </c>
      <c r="P28" s="33" t="str">
        <f t="shared" si="6"/>
        <v/>
      </c>
      <c r="Q28" s="33" t="str">
        <f t="shared" si="7"/>
        <v/>
      </c>
      <c r="R28" s="34" t="str">
        <f t="shared" si="4"/>
        <v/>
      </c>
      <c r="S28" s="31" t="str">
        <f t="shared" si="5"/>
        <v/>
      </c>
      <c r="T28" s="35" t="str">
        <f t="shared" si="8"/>
        <v/>
      </c>
      <c r="U28" s="35" t="str">
        <f t="shared" si="9"/>
        <v/>
      </c>
      <c r="V28" s="37" t="str">
        <f>IF(A28="","",VLOOKUP(B28,'Datos Rebisco'!B30:BB67,21,0))</f>
        <v/>
      </c>
      <c r="W28" s="32" t="str">
        <f>IF(A28="","",VLOOKUP(B28,'Datos Rebisco'!B30:BB67,22,0))</f>
        <v/>
      </c>
      <c r="X28" s="32" t="str">
        <f>IF(A28="","",VLOOKUP(B28,'Datos Rebisco'!B30:BB67,23,0))</f>
        <v/>
      </c>
      <c r="Y28" s="32" t="str">
        <f>IF(A28="","",VLOOKUP(B28,'Datos Rebisco'!B30:BB67,24,0))</f>
        <v/>
      </c>
      <c r="Z28" s="33" t="str">
        <f t="shared" si="10"/>
        <v/>
      </c>
      <c r="AA28" s="33" t="str">
        <f t="shared" si="11"/>
        <v/>
      </c>
      <c r="AB28" s="34" t="str">
        <f t="shared" si="12"/>
        <v/>
      </c>
      <c r="AC28" s="31" t="str">
        <f t="shared" si="13"/>
        <v/>
      </c>
      <c r="AD28" s="37" t="str">
        <f t="shared" si="14"/>
        <v/>
      </c>
      <c r="AE28" s="32" t="str">
        <f>IF(A28="","",VLOOKUP(B28,'Datos Rebisco'!B30:BB67,30,0))</f>
        <v/>
      </c>
      <c r="AF28" s="31" t="str">
        <f t="shared" si="15"/>
        <v/>
      </c>
      <c r="AG28" s="32" t="str">
        <f>IF(A28="","",VLOOKUP(B28,'Datos Rebisco'!B30:BB67,32,0))</f>
        <v/>
      </c>
      <c r="AH28" s="32" t="str">
        <f>IF(A28="","",VLOOKUP(B28,'Datos Rebisco'!B30:BB67,33,0))</f>
        <v/>
      </c>
      <c r="AI28" s="32" t="str">
        <f>IF(A28="","",VLOOKUP(B28,'Datos Rebisco'!B30:BB67,34,0))</f>
        <v/>
      </c>
      <c r="AJ28" s="34" t="str">
        <f t="shared" si="16"/>
        <v/>
      </c>
      <c r="AK28" s="37" t="str">
        <f t="shared" si="17"/>
        <v/>
      </c>
      <c r="AL28" s="37" t="str">
        <f>IF(A28="","",VLOOKUP(B28,'Datos Rebisco'!B30:BB67,37,0))</f>
        <v/>
      </c>
      <c r="AM28" s="36" t="str">
        <f t="shared" si="18"/>
        <v/>
      </c>
      <c r="AN28" s="274" t="str">
        <f>IF(BP28=A28,'Datos Rebisco'!BL30,"")</f>
        <v/>
      </c>
      <c r="AO28" s="32" t="str">
        <f>IF(A28="","",VLOOKUP(B28,'Datos Rebisco'!B30:BF67,39,0))</f>
        <v/>
      </c>
      <c r="AP28" s="36" t="str">
        <f t="shared" si="23"/>
        <v/>
      </c>
      <c r="AQ28" s="32" t="str">
        <f>IF(A28="","",VLOOKUP(B28,'Datos Rebisco'!B30:BH67,41,0))</f>
        <v/>
      </c>
      <c r="AR28" s="32" t="str">
        <f>IF(A28="","",VLOOKUP(B28,'Datos Rebisco'!B30:BI67,42,0))</f>
        <v/>
      </c>
      <c r="AS28" s="32" t="str">
        <f>IF(A28="","",VLOOKUP(B28,'Datos Rebisco'!B30:BJ67,43,0))</f>
        <v/>
      </c>
      <c r="AT28" s="32" t="str">
        <f>IF(A28="","",VLOOKUP(B28,'Datos Rebisco'!B30:BK67,44,0))</f>
        <v/>
      </c>
      <c r="AU28" s="58"/>
      <c r="AV28" s="37" t="str">
        <f t="shared" si="24"/>
        <v/>
      </c>
      <c r="AW28" s="38" t="str">
        <f t="shared" si="19"/>
        <v/>
      </c>
      <c r="AY28" s="180" t="str">
        <f>IF(A28="","",+'Datos Rebisco'!AY30)</f>
        <v/>
      </c>
      <c r="AZ28" s="258" t="str">
        <f t="shared" si="20"/>
        <v/>
      </c>
      <c r="BA28" s="255" t="str">
        <f>IF(A28="","",VLOOKUP(B28,'Datos Rebisco'!B30:BF67,51,0))</f>
        <v/>
      </c>
      <c r="BB28" s="181" t="str">
        <f t="shared" si="21"/>
        <v/>
      </c>
      <c r="BC28" s="180" t="str">
        <f>IF(BP28=A28,'Datos Rebisco'!BL30,"")</f>
        <v/>
      </c>
      <c r="BD28" s="181" t="str">
        <f t="shared" si="22"/>
        <v/>
      </c>
      <c r="BE28" s="29" t="str">
        <f>IF(A28="","",VLOOKUP(B28,'Datos Rebisco'!B30:BF67,53,0))</f>
        <v/>
      </c>
      <c r="BF28" s="28" t="str">
        <f>IF(A28="","",VLOOKUP(B28,'Datos Rebisco'!B30:BF67,54,0))</f>
        <v/>
      </c>
      <c r="BG28" s="28" t="str">
        <f>IF(A28="","",VLOOKUP(B28,'Datos Rebisco'!B30:BF67,55,0))</f>
        <v/>
      </c>
      <c r="BH28" s="28" t="str">
        <f>IF(A28="","",VLOOKUP(B28,'Datos Rebisco'!B30:BF67,51,0))</f>
        <v/>
      </c>
      <c r="BI28" s="28" t="str">
        <f>IF(A28="","",IF(VLOOKUP(B28,'Datos Rebisco'!B30:BF67,52,0)=0%,IF(AO28&gt;1,1,VLOOKUP(B28,'Datos Rebisco'!B30:BF67,52,0))))</f>
        <v/>
      </c>
      <c r="BJ28" s="211" t="str">
        <f>IF(A28="","",VLOOKUP(B28,'Datos Rebisco'!B30:BH67,58,0))</f>
        <v/>
      </c>
      <c r="BK28" s="27" t="str">
        <f>IF(A28="","",VLOOKUP(B28,'Datos Rebisco'!B30:BH67,59,0))</f>
        <v/>
      </c>
      <c r="BL28" s="29" t="str">
        <f>IF(A28="","",VLOOKUP(B28,'Datos Rebisco'!B30:BF67,55,0))</f>
        <v/>
      </c>
      <c r="BM28" s="181" t="str">
        <f>IF(A28="","",VLOOKUP(B28,'Datos Rebisco'!B30:BF67,56,0))</f>
        <v/>
      </c>
      <c r="BN28" s="266" t="str">
        <f>IF(A28="","",IF(VLOOKUP(B28,'Datos Rebisco'!B30:BF67,57,0)=0,IF(AO28&gt;1,1,VLOOKUP(B28,'Datos Rebisco'!B30:BF67,57,0))))</f>
        <v/>
      </c>
      <c r="BO28" s="59"/>
      <c r="BP28" s="190" t="str">
        <f>+'Biyemas S.A.'!BP28</f>
        <v xml:space="preserve">Sab/Sat    </v>
      </c>
    </row>
    <row r="29" spans="1:68" ht="11.25" customHeight="1" x14ac:dyDescent="0.2">
      <c r="A29" s="188" t="str">
        <f>IF(BP29='Datos Rebisco'!A31,'Datos Rebisco'!A31,"")</f>
        <v/>
      </c>
      <c r="B29" s="185" t="str">
        <f>IF(BP29=A29,'Datos Rebisco'!B31,"")</f>
        <v/>
      </c>
      <c r="C29" s="186" t="str">
        <f>IF(BP29=A29,'Datos Rebisco'!C31,"")</f>
        <v/>
      </c>
      <c r="D29" s="37" t="str">
        <f>IF(BP29=A29,VLOOKUP(B29,'Datos Rebisco'!B31:BB68,3,0),"")</f>
        <v/>
      </c>
      <c r="E29" s="32" t="str">
        <f>IF(BP29=A29,VLOOKUP(B29,'Datos Rebisco'!B31:BB68,4,0),"")</f>
        <v/>
      </c>
      <c r="F29" s="32" t="str">
        <f>IF(BP29=A29,VLOOKUP(B29,'Datos Rebisco'!B31:BB68,5,0),"")</f>
        <v/>
      </c>
      <c r="G29" s="32" t="str">
        <f>IF(BP29=A29,VLOOKUP(B29,'Datos Rebisco'!B31:BB68,6,0),"")</f>
        <v/>
      </c>
      <c r="H29" s="33" t="str">
        <f t="shared" si="0"/>
        <v/>
      </c>
      <c r="I29" s="33" t="str">
        <f t="shared" si="1"/>
        <v/>
      </c>
      <c r="J29" s="34" t="str">
        <f t="shared" si="2"/>
        <v/>
      </c>
      <c r="K29" s="31" t="str">
        <f t="shared" si="3"/>
        <v/>
      </c>
      <c r="L29" s="37" t="str">
        <f>IF(A29="","",VLOOKUP(B29,'Datos Rebisco'!B31:BB68,11,0))</f>
        <v/>
      </c>
      <c r="M29" s="32" t="str">
        <f>IF(A29="","",VLOOKUP(B29,'Datos Rebisco'!B31:BB68,12,0))</f>
        <v/>
      </c>
      <c r="N29" s="32" t="str">
        <f>IF(A29="","",VLOOKUP(B29,'Datos Rebisco'!B31:BB68,13,0))</f>
        <v/>
      </c>
      <c r="O29" s="32" t="str">
        <f>IF(A29="","",VLOOKUP(B29,'Datos Rebisco'!B31:BB68,14,0))</f>
        <v/>
      </c>
      <c r="P29" s="33" t="str">
        <f t="shared" si="6"/>
        <v/>
      </c>
      <c r="Q29" s="33" t="str">
        <f t="shared" si="7"/>
        <v/>
      </c>
      <c r="R29" s="34" t="str">
        <f t="shared" si="4"/>
        <v/>
      </c>
      <c r="S29" s="31" t="str">
        <f t="shared" si="5"/>
        <v/>
      </c>
      <c r="T29" s="35" t="str">
        <f t="shared" si="8"/>
        <v/>
      </c>
      <c r="U29" s="35" t="str">
        <f t="shared" si="9"/>
        <v/>
      </c>
      <c r="V29" s="37" t="str">
        <f>IF(A29="","",VLOOKUP(B29,'Datos Rebisco'!B31:BB68,21,0))</f>
        <v/>
      </c>
      <c r="W29" s="32" t="str">
        <f>IF(A29="","",VLOOKUP(B29,'Datos Rebisco'!B31:BB68,22,0))</f>
        <v/>
      </c>
      <c r="X29" s="32" t="str">
        <f>IF(A29="","",VLOOKUP(B29,'Datos Rebisco'!B31:BB68,23,0))</f>
        <v/>
      </c>
      <c r="Y29" s="32" t="str">
        <f>IF(A29="","",VLOOKUP(B29,'Datos Rebisco'!B31:BB68,24,0))</f>
        <v/>
      </c>
      <c r="Z29" s="33" t="str">
        <f t="shared" si="10"/>
        <v/>
      </c>
      <c r="AA29" s="33" t="str">
        <f t="shared" si="11"/>
        <v/>
      </c>
      <c r="AB29" s="34" t="str">
        <f t="shared" si="12"/>
        <v/>
      </c>
      <c r="AC29" s="31" t="str">
        <f t="shared" si="13"/>
        <v/>
      </c>
      <c r="AD29" s="37" t="str">
        <f t="shared" si="14"/>
        <v/>
      </c>
      <c r="AE29" s="32" t="str">
        <f>IF(A29="","",VLOOKUP(B29,'Datos Rebisco'!B31:BB68,30,0))</f>
        <v/>
      </c>
      <c r="AF29" s="31" t="str">
        <f t="shared" si="15"/>
        <v/>
      </c>
      <c r="AG29" s="32" t="str">
        <f>IF(A29="","",VLOOKUP(B29,'Datos Rebisco'!B31:BB68,32,0))</f>
        <v/>
      </c>
      <c r="AH29" s="32" t="str">
        <f>IF(A29="","",VLOOKUP(B29,'Datos Rebisco'!B31:BB68,33,0))</f>
        <v/>
      </c>
      <c r="AI29" s="32" t="str">
        <f>IF(A29="","",VLOOKUP(B29,'Datos Rebisco'!B31:BB68,34,0))</f>
        <v/>
      </c>
      <c r="AJ29" s="34" t="str">
        <f t="shared" si="16"/>
        <v/>
      </c>
      <c r="AK29" s="37" t="str">
        <f t="shared" si="17"/>
        <v/>
      </c>
      <c r="AL29" s="37" t="str">
        <f>IF(A29="","",VLOOKUP(B29,'Datos Rebisco'!B31:BB68,37,0))</f>
        <v/>
      </c>
      <c r="AM29" s="36" t="str">
        <f t="shared" si="18"/>
        <v/>
      </c>
      <c r="AN29" s="274" t="str">
        <f>IF(BP29=A29,'Datos Rebisco'!BL31,"")</f>
        <v/>
      </c>
      <c r="AO29" s="32" t="str">
        <f>IF(A29="","",VLOOKUP(B29,'Datos Rebisco'!B31:BF68,39,0))</f>
        <v/>
      </c>
      <c r="AP29" s="36" t="str">
        <f t="shared" si="23"/>
        <v/>
      </c>
      <c r="AQ29" s="32" t="str">
        <f>IF(A29="","",VLOOKUP(B29,'Datos Rebisco'!B31:BH68,41,0))</f>
        <v/>
      </c>
      <c r="AR29" s="32" t="str">
        <f>IF(A29="","",VLOOKUP(B29,'Datos Rebisco'!B31:BI68,42,0))</f>
        <v/>
      </c>
      <c r="AS29" s="32" t="str">
        <f>IF(A29="","",VLOOKUP(B29,'Datos Rebisco'!B31:BJ68,43,0))</f>
        <v/>
      </c>
      <c r="AT29" s="32" t="str">
        <f>IF(A29="","",VLOOKUP(B29,'Datos Rebisco'!B31:BK68,44,0))</f>
        <v/>
      </c>
      <c r="AU29" s="58"/>
      <c r="AV29" s="37" t="str">
        <f t="shared" si="24"/>
        <v/>
      </c>
      <c r="AW29" s="38" t="str">
        <f t="shared" si="19"/>
        <v/>
      </c>
      <c r="AY29" s="180" t="str">
        <f>IF(A29="","",+'Datos Rebisco'!AY31)</f>
        <v/>
      </c>
      <c r="AZ29" s="258" t="str">
        <f t="shared" si="20"/>
        <v/>
      </c>
      <c r="BA29" s="255" t="str">
        <f>IF(A29="","",VLOOKUP(B29,'Datos Rebisco'!B31:BF68,51,0))</f>
        <v/>
      </c>
      <c r="BB29" s="181" t="str">
        <f t="shared" si="21"/>
        <v/>
      </c>
      <c r="BC29" s="180" t="str">
        <f>IF(BP29=A29,'Datos Rebisco'!BL31,"")</f>
        <v/>
      </c>
      <c r="BD29" s="181" t="str">
        <f t="shared" si="22"/>
        <v/>
      </c>
      <c r="BE29" s="29" t="str">
        <f>IF(A29="","",VLOOKUP(B29,'Datos Rebisco'!B31:BF68,53,0))</f>
        <v/>
      </c>
      <c r="BF29" s="28" t="str">
        <f>IF(A29="","",VLOOKUP(B29,'Datos Rebisco'!B31:BF68,54,0))</f>
        <v/>
      </c>
      <c r="BG29" s="28" t="str">
        <f>IF(A29="","",VLOOKUP(B29,'Datos Rebisco'!B31:BF68,55,0))</f>
        <v/>
      </c>
      <c r="BH29" s="28" t="str">
        <f>IF(A29="","",VLOOKUP(B29,'Datos Rebisco'!B31:BF68,51,0))</f>
        <v/>
      </c>
      <c r="BI29" s="28" t="str">
        <f>IF(A29="","",IF(VLOOKUP(B29,'Datos Rebisco'!B31:BF68,52,0)=0%,IF(AO29&gt;1,1,VLOOKUP(B29,'Datos Rebisco'!B31:BF68,52,0))))</f>
        <v/>
      </c>
      <c r="BJ29" s="211" t="str">
        <f>IF(A29="","",VLOOKUP(B29,'Datos Rebisco'!B31:BH68,58,0))</f>
        <v/>
      </c>
      <c r="BK29" s="27" t="str">
        <f>IF(A29="","",VLOOKUP(B29,'Datos Rebisco'!B31:BH68,59,0))</f>
        <v/>
      </c>
      <c r="BL29" s="29" t="str">
        <f>IF(A29="","",VLOOKUP(B29,'Datos Rebisco'!B31:BF68,55,0))</f>
        <v/>
      </c>
      <c r="BM29" s="181" t="str">
        <f>IF(A29="","",VLOOKUP(B29,'Datos Rebisco'!B31:BF68,56,0))</f>
        <v/>
      </c>
      <c r="BN29" s="266" t="str">
        <f>IF(A29="","",IF(VLOOKUP(B29,'Datos Rebisco'!B31:BF68,57,0)=0,IF(AO29&gt;1,1,VLOOKUP(B29,'Datos Rebisco'!B31:BF68,57,0))))</f>
        <v/>
      </c>
      <c r="BO29" s="59"/>
      <c r="BP29" s="190" t="str">
        <f>+'Biyemas S.A.'!BP29</f>
        <v xml:space="preserve">Dom/Sun    </v>
      </c>
    </row>
    <row r="30" spans="1:68" ht="11.25" customHeight="1" x14ac:dyDescent="0.2">
      <c r="A30" s="188" t="str">
        <f>IF(BP30='Datos Rebisco'!A32,'Datos Rebisco'!A32,"")</f>
        <v/>
      </c>
      <c r="B30" s="185" t="str">
        <f>IF(BP30=A30,'Datos Rebisco'!B32,"")</f>
        <v/>
      </c>
      <c r="C30" s="186" t="str">
        <f>IF(BP30=A30,'Datos Rebisco'!C32,"")</f>
        <v/>
      </c>
      <c r="D30" s="37" t="str">
        <f>IF(BP30=A30,VLOOKUP(B30,'Datos Rebisco'!B32:BB69,3,0),"")</f>
        <v/>
      </c>
      <c r="E30" s="32" t="str">
        <f>IF(BP30=A30,VLOOKUP(B30,'Datos Rebisco'!B32:BB69,4,0),"")</f>
        <v/>
      </c>
      <c r="F30" s="32" t="str">
        <f>IF(BP30=A30,VLOOKUP(B30,'Datos Rebisco'!B32:BB69,5,0),"")</f>
        <v/>
      </c>
      <c r="G30" s="32" t="str">
        <f>IF(BP30=A30,VLOOKUP(B30,'Datos Rebisco'!B32:BB69,6,0),"")</f>
        <v/>
      </c>
      <c r="H30" s="33" t="str">
        <f t="shared" si="0"/>
        <v/>
      </c>
      <c r="I30" s="33" t="str">
        <f t="shared" si="1"/>
        <v/>
      </c>
      <c r="J30" s="34" t="str">
        <f t="shared" si="2"/>
        <v/>
      </c>
      <c r="K30" s="31" t="str">
        <f t="shared" si="3"/>
        <v/>
      </c>
      <c r="L30" s="37" t="str">
        <f>IF(A30="","",VLOOKUP(B30,'Datos Rebisco'!B32:BB69,11,0))</f>
        <v/>
      </c>
      <c r="M30" s="32" t="str">
        <f>IF(A30="","",VLOOKUP(B30,'Datos Rebisco'!B32:BB69,12,0))</f>
        <v/>
      </c>
      <c r="N30" s="32" t="str">
        <f>IF(A30="","",VLOOKUP(B30,'Datos Rebisco'!B32:BB69,13,0))</f>
        <v/>
      </c>
      <c r="O30" s="32" t="str">
        <f>IF(A30="","",VLOOKUP(B30,'Datos Rebisco'!B32:BB69,14,0))</f>
        <v/>
      </c>
      <c r="P30" s="33" t="str">
        <f t="shared" si="6"/>
        <v/>
      </c>
      <c r="Q30" s="33" t="str">
        <f t="shared" si="7"/>
        <v/>
      </c>
      <c r="R30" s="34" t="str">
        <f t="shared" si="4"/>
        <v/>
      </c>
      <c r="S30" s="31" t="str">
        <f t="shared" si="5"/>
        <v/>
      </c>
      <c r="T30" s="35" t="str">
        <f t="shared" si="8"/>
        <v/>
      </c>
      <c r="U30" s="35" t="str">
        <f t="shared" si="9"/>
        <v/>
      </c>
      <c r="V30" s="37" t="str">
        <f>IF(A30="","",VLOOKUP(B30,'Datos Rebisco'!B32:BB69,21,0))</f>
        <v/>
      </c>
      <c r="W30" s="32" t="str">
        <f>IF(A30="","",VLOOKUP(B30,'Datos Rebisco'!B32:BB69,22,0))</f>
        <v/>
      </c>
      <c r="X30" s="32" t="str">
        <f>IF(A30="","",VLOOKUP(B30,'Datos Rebisco'!B32:BB69,23,0))</f>
        <v/>
      </c>
      <c r="Y30" s="32" t="str">
        <f>IF(A30="","",VLOOKUP(B30,'Datos Rebisco'!B32:BB69,24,0))</f>
        <v/>
      </c>
      <c r="Z30" s="33" t="str">
        <f t="shared" si="10"/>
        <v/>
      </c>
      <c r="AA30" s="33" t="str">
        <f t="shared" si="11"/>
        <v/>
      </c>
      <c r="AB30" s="34" t="str">
        <f t="shared" si="12"/>
        <v/>
      </c>
      <c r="AC30" s="31" t="str">
        <f t="shared" si="13"/>
        <v/>
      </c>
      <c r="AD30" s="37" t="str">
        <f t="shared" si="14"/>
        <v/>
      </c>
      <c r="AE30" s="32" t="str">
        <f>IF(A30="","",VLOOKUP(B30,'Datos Rebisco'!B32:BB69,30,0))</f>
        <v/>
      </c>
      <c r="AF30" s="31" t="str">
        <f t="shared" si="15"/>
        <v/>
      </c>
      <c r="AG30" s="32" t="str">
        <f>IF(A30="","",VLOOKUP(B30,'Datos Rebisco'!B32:BB69,32,0))</f>
        <v/>
      </c>
      <c r="AH30" s="32" t="str">
        <f>IF(A30="","",VLOOKUP(B30,'Datos Rebisco'!B32:BB69,33,0))</f>
        <v/>
      </c>
      <c r="AI30" s="32" t="str">
        <f>IF(A30="","",VLOOKUP(B30,'Datos Rebisco'!B32:BB69,34,0))</f>
        <v/>
      </c>
      <c r="AJ30" s="34" t="str">
        <f t="shared" si="16"/>
        <v/>
      </c>
      <c r="AK30" s="37" t="str">
        <f t="shared" si="17"/>
        <v/>
      </c>
      <c r="AL30" s="37" t="str">
        <f>IF(A30="","",VLOOKUP(B30,'Datos Rebisco'!B32:BB69,37,0))</f>
        <v/>
      </c>
      <c r="AM30" s="36" t="str">
        <f t="shared" si="18"/>
        <v/>
      </c>
      <c r="AN30" s="274" t="str">
        <f>IF(BP30=A30,'Datos Rebisco'!BL32,"")</f>
        <v/>
      </c>
      <c r="AO30" s="32" t="str">
        <f>IF(A30="","",VLOOKUP(B30,'Datos Rebisco'!B32:BF69,39,0))</f>
        <v/>
      </c>
      <c r="AP30" s="36" t="str">
        <f t="shared" si="23"/>
        <v/>
      </c>
      <c r="AQ30" s="32" t="str">
        <f>IF(A30="","",VLOOKUP(B30,'Datos Rebisco'!B32:BH69,41,0))</f>
        <v/>
      </c>
      <c r="AR30" s="32" t="str">
        <f>IF(A30="","",VLOOKUP(B30,'Datos Rebisco'!B32:BI69,42,0))</f>
        <v/>
      </c>
      <c r="AS30" s="32" t="str">
        <f>IF(A30="","",VLOOKUP(B30,'Datos Rebisco'!B32:BJ69,43,0))</f>
        <v/>
      </c>
      <c r="AT30" s="32" t="str">
        <f>IF(A30="","",VLOOKUP(B30,'Datos Rebisco'!B32:BK69,44,0))</f>
        <v/>
      </c>
      <c r="AU30" s="58"/>
      <c r="AV30" s="37" t="str">
        <f t="shared" si="24"/>
        <v/>
      </c>
      <c r="AW30" s="38" t="str">
        <f t="shared" si="19"/>
        <v/>
      </c>
      <c r="AY30" s="180" t="str">
        <f>IF(A30="","",+'Datos Rebisco'!AY32)</f>
        <v/>
      </c>
      <c r="AZ30" s="258" t="str">
        <f t="shared" si="20"/>
        <v/>
      </c>
      <c r="BA30" s="255" t="str">
        <f>IF(A30="","",VLOOKUP(B30,'Datos Rebisco'!B32:BF69,51,0))</f>
        <v/>
      </c>
      <c r="BB30" s="181" t="str">
        <f t="shared" si="21"/>
        <v/>
      </c>
      <c r="BC30" s="180" t="str">
        <f>IF(BP30=A30,'Datos Rebisco'!BL32,"")</f>
        <v/>
      </c>
      <c r="BD30" s="181" t="str">
        <f>IF(A30="","",IF(AN30=BC30,0,IF(BC30&gt;0,(AN30-BC30)/BC30,1)))</f>
        <v/>
      </c>
      <c r="BE30" s="29" t="str">
        <f>IF(A30="","",VLOOKUP(B30,'Datos Rebisco'!B32:BF69,53,0))</f>
        <v/>
      </c>
      <c r="BF30" s="28" t="str">
        <f>IF(A30="","",VLOOKUP(B30,'Datos Rebisco'!B32:BF69,54,0))</f>
        <v/>
      </c>
      <c r="BG30" s="28" t="str">
        <f>IF(A30="","",VLOOKUP(B30,'Datos Rebisco'!B32:BF69,55,0))</f>
        <v/>
      </c>
      <c r="BH30" s="28" t="str">
        <f>IF(A30="","",VLOOKUP(B30,'Datos Rebisco'!B32:BF69,51,0))</f>
        <v/>
      </c>
      <c r="BI30" s="28" t="str">
        <f>IF(A30="","",IF(VLOOKUP(B30,'Datos Rebisco'!B32:BF69,52,0)=0%,IF(AO30&gt;1,1,VLOOKUP(B30,'Datos Rebisco'!B32:BF69,52,0))))</f>
        <v/>
      </c>
      <c r="BJ30" s="211" t="str">
        <f>IF(A30="","",VLOOKUP(B30,'Datos Rebisco'!B32:BH69,58,0))</f>
        <v/>
      </c>
      <c r="BK30" s="27" t="str">
        <f>IF(A30="","",VLOOKUP(B30,'Datos Rebisco'!B32:BH69,59,0))</f>
        <v/>
      </c>
      <c r="BL30" s="29" t="str">
        <f>IF(A30="","",VLOOKUP(B30,'Datos Rebisco'!B32:BF69,55,0))</f>
        <v/>
      </c>
      <c r="BM30" s="181" t="str">
        <f>IF(A30="","",VLOOKUP(B30,'Datos Rebisco'!B32:BF69,56,0))</f>
        <v/>
      </c>
      <c r="BN30" s="266" t="str">
        <f>IF(A30="","",IF(VLOOKUP(B30,'Datos Rebisco'!B32:BF69,57,0)=0,IF(AO30&gt;1,1,VLOOKUP(B30,'Datos Rebisco'!B32:BF69,57,0))))</f>
        <v/>
      </c>
      <c r="BO30" s="59"/>
      <c r="BP30" s="190" t="str">
        <f>+'Biyemas S.A.'!BP30</f>
        <v xml:space="preserve">Lun/Mon    </v>
      </c>
    </row>
    <row r="31" spans="1:68" ht="11.25" customHeight="1" x14ac:dyDescent="0.2">
      <c r="A31" s="188" t="str">
        <f>IF(BP31='Datos Rebisco'!A33,'Datos Rebisco'!A33,"")</f>
        <v/>
      </c>
      <c r="B31" s="185" t="str">
        <f>IF(BP31=A31,'Datos Rebisco'!B33,"")</f>
        <v/>
      </c>
      <c r="C31" s="186" t="str">
        <f>IF(BP31=A31,'Datos Rebisco'!C33,"")</f>
        <v/>
      </c>
      <c r="D31" s="37" t="str">
        <f>IF(BP31=A31,VLOOKUP(B31,'Datos Rebisco'!B33:BB70,3,0),"")</f>
        <v/>
      </c>
      <c r="E31" s="32" t="str">
        <f>IF(BP31=A31,VLOOKUP(B31,'Datos Rebisco'!B33:BB70,4,0),"")</f>
        <v/>
      </c>
      <c r="F31" s="32" t="str">
        <f>IF(BP31=A31,VLOOKUP(B31,'Datos Rebisco'!B33:BB70,5,0),"")</f>
        <v/>
      </c>
      <c r="G31" s="32" t="str">
        <f>IF(BP31=A31,VLOOKUP(B31,'Datos Rebisco'!B33:BB70,6,0),"")</f>
        <v/>
      </c>
      <c r="H31" s="33" t="str">
        <f t="shared" si="0"/>
        <v/>
      </c>
      <c r="I31" s="33" t="str">
        <f t="shared" si="1"/>
        <v/>
      </c>
      <c r="J31" s="34" t="str">
        <f t="shared" si="2"/>
        <v/>
      </c>
      <c r="K31" s="31" t="str">
        <f t="shared" si="3"/>
        <v/>
      </c>
      <c r="L31" s="37" t="str">
        <f>IF(A31="","",VLOOKUP(B31,'Datos Rebisco'!B33:BB70,11,0))</f>
        <v/>
      </c>
      <c r="M31" s="32" t="str">
        <f>IF(A31="","",VLOOKUP(B31,'Datos Rebisco'!B33:BB70,12,0))</f>
        <v/>
      </c>
      <c r="N31" s="32" t="str">
        <f>IF(A31="","",VLOOKUP(B31,'Datos Rebisco'!B33:BB70,13,0))</f>
        <v/>
      </c>
      <c r="O31" s="32" t="str">
        <f>IF(A31="","",VLOOKUP(B31,'Datos Rebisco'!B33:BB70,14,0))</f>
        <v/>
      </c>
      <c r="P31" s="33" t="str">
        <f t="shared" si="6"/>
        <v/>
      </c>
      <c r="Q31" s="33" t="str">
        <f t="shared" si="7"/>
        <v/>
      </c>
      <c r="R31" s="34" t="str">
        <f t="shared" si="4"/>
        <v/>
      </c>
      <c r="S31" s="31" t="str">
        <f t="shared" si="5"/>
        <v/>
      </c>
      <c r="T31" s="35" t="str">
        <f t="shared" si="8"/>
        <v/>
      </c>
      <c r="U31" s="35" t="str">
        <f t="shared" si="9"/>
        <v/>
      </c>
      <c r="V31" s="37" t="str">
        <f>IF(A31="","",VLOOKUP(B31,'Datos Rebisco'!B33:BB70,21,0))</f>
        <v/>
      </c>
      <c r="W31" s="32" t="str">
        <f>IF(A31="","",VLOOKUP(B31,'Datos Rebisco'!B33:BB70,22,0))</f>
        <v/>
      </c>
      <c r="X31" s="32" t="str">
        <f>IF(A31="","",VLOOKUP(B31,'Datos Rebisco'!B33:BB70,23,0))</f>
        <v/>
      </c>
      <c r="Y31" s="32" t="str">
        <f>IF(A31="","",VLOOKUP(B31,'Datos Rebisco'!B33:BB70,24,0))</f>
        <v/>
      </c>
      <c r="Z31" s="33" t="str">
        <f t="shared" si="10"/>
        <v/>
      </c>
      <c r="AA31" s="33" t="str">
        <f t="shared" si="11"/>
        <v/>
      </c>
      <c r="AB31" s="34" t="str">
        <f t="shared" si="12"/>
        <v/>
      </c>
      <c r="AC31" s="31" t="str">
        <f t="shared" si="13"/>
        <v/>
      </c>
      <c r="AD31" s="37" t="str">
        <f t="shared" si="14"/>
        <v/>
      </c>
      <c r="AE31" s="32" t="str">
        <f>IF(A31="","",VLOOKUP(B31,'Datos Rebisco'!B33:BB70,30,0))</f>
        <v/>
      </c>
      <c r="AF31" s="31" t="str">
        <f t="shared" si="15"/>
        <v/>
      </c>
      <c r="AG31" s="32" t="str">
        <f>IF(A31="","",VLOOKUP(B31,'Datos Rebisco'!B33:BB70,32,0))</f>
        <v/>
      </c>
      <c r="AH31" s="32" t="str">
        <f>IF(A31="","",VLOOKUP(B31,'Datos Rebisco'!B33:BB70,33,0))</f>
        <v/>
      </c>
      <c r="AI31" s="32" t="str">
        <f>IF(A31="","",VLOOKUP(B31,'Datos Rebisco'!B33:BB70,34,0))</f>
        <v/>
      </c>
      <c r="AJ31" s="34" t="str">
        <f t="shared" si="16"/>
        <v/>
      </c>
      <c r="AK31" s="37" t="str">
        <f t="shared" si="17"/>
        <v/>
      </c>
      <c r="AL31" s="37" t="str">
        <f>IF(A31="","",VLOOKUP(B31,'Datos Rebisco'!B33:BB70,37,0))</f>
        <v/>
      </c>
      <c r="AM31" s="36" t="str">
        <f t="shared" si="18"/>
        <v/>
      </c>
      <c r="AN31" s="274" t="str">
        <f>IF(BP31=A31,'Datos Rebisco'!BL33,"")</f>
        <v/>
      </c>
      <c r="AO31" s="32" t="str">
        <f>IF(A31="","",VLOOKUP(B31,'Datos Rebisco'!B33:BF70,39,0))</f>
        <v/>
      </c>
      <c r="AP31" s="36" t="str">
        <f t="shared" si="23"/>
        <v/>
      </c>
      <c r="AQ31" s="32" t="str">
        <f>IF(A31="","",VLOOKUP(B31,'Datos Rebisco'!B33:BH70,41,0))</f>
        <v/>
      </c>
      <c r="AR31" s="32" t="str">
        <f>IF(A31="","",VLOOKUP(B31,'Datos Rebisco'!B33:BI70,42,0))</f>
        <v/>
      </c>
      <c r="AS31" s="32" t="str">
        <f>IF(A31="","",VLOOKUP(B31,'Datos Rebisco'!B33:BJ70,43,0))</f>
        <v/>
      </c>
      <c r="AT31" s="32" t="str">
        <f>IF(A31="","",VLOOKUP(B31,'Datos Rebisco'!B33:BK70,44,0))</f>
        <v/>
      </c>
      <c r="AU31" s="58"/>
      <c r="AV31" s="37" t="str">
        <f t="shared" si="24"/>
        <v/>
      </c>
      <c r="AW31" s="38" t="str">
        <f t="shared" si="19"/>
        <v/>
      </c>
      <c r="AY31" s="180" t="str">
        <f>IF(A31="","",+'Datos Rebisco'!AY33)</f>
        <v/>
      </c>
      <c r="AZ31" s="258" t="str">
        <f t="shared" si="20"/>
        <v/>
      </c>
      <c r="BA31" s="255" t="str">
        <f>IF(A31="","",VLOOKUP(B31,'Datos Rebisco'!B33:BF70,51,0))</f>
        <v/>
      </c>
      <c r="BB31" s="181" t="str">
        <f t="shared" si="21"/>
        <v/>
      </c>
      <c r="BC31" s="180" t="str">
        <f>IF(BP31=A31,'Datos Rebisco'!BL33,"")</f>
        <v/>
      </c>
      <c r="BD31" s="181" t="str">
        <f t="shared" ref="BD31:BD37" si="25">IF(A31="","",IF(BC31&gt;0,(AN31-BC31)/BC31,1))</f>
        <v/>
      </c>
      <c r="BE31" s="29" t="str">
        <f>IF(A31="","",VLOOKUP(B31,'Datos Rebisco'!B33:BF70,53,0))</f>
        <v/>
      </c>
      <c r="BF31" s="28" t="str">
        <f>IF(A31="","",VLOOKUP(B31,'Datos Rebisco'!B33:BF70,54,0))</f>
        <v/>
      </c>
      <c r="BG31" s="28" t="str">
        <f>IF(A31="","",VLOOKUP(B31,'Datos Rebisco'!B33:BF70,55,0))</f>
        <v/>
      </c>
      <c r="BH31" s="28" t="str">
        <f>IF(A31="","",VLOOKUP(B31,'Datos Rebisco'!B33:BF70,51,0))</f>
        <v/>
      </c>
      <c r="BI31" s="28" t="str">
        <f>IF(A31="","",IF(VLOOKUP(B31,'Datos Rebisco'!B33:BF70,52,0)=0%,IF(AO31&gt;1,1,VLOOKUP(B31,'Datos Rebisco'!B33:BF70,52,0))))</f>
        <v/>
      </c>
      <c r="BJ31" s="211" t="str">
        <f>IF(A31="","",VLOOKUP(B31,'Datos Rebisco'!B33:BH70,58,0))</f>
        <v/>
      </c>
      <c r="BK31" s="27" t="str">
        <f>IF(A31="","",VLOOKUP(B31,'Datos Rebisco'!B33:BH70,59,0))</f>
        <v/>
      </c>
      <c r="BL31" s="29" t="str">
        <f>IF(A31="","",VLOOKUP(B31,'Datos Rebisco'!B33:BF70,55,0))</f>
        <v/>
      </c>
      <c r="BM31" s="181" t="str">
        <f>IF(A31="","",VLOOKUP(B31,'Datos Rebisco'!B33:BF70,56,0))</f>
        <v/>
      </c>
      <c r="BN31" s="266" t="str">
        <f>IF(A31="","",IF(VLOOKUP(B31,'Datos Rebisco'!B33:BF70,57,0)=0,IF(AO31&gt;1,1,VLOOKUP(B31,'Datos Rebisco'!B33:BF70,57,0))))</f>
        <v/>
      </c>
      <c r="BO31" s="59"/>
      <c r="BP31" s="190" t="str">
        <f>+'Biyemas S.A.'!BP31</f>
        <v xml:space="preserve">Mar/Tue    </v>
      </c>
    </row>
    <row r="32" spans="1:68" ht="11.25" customHeight="1" x14ac:dyDescent="0.2">
      <c r="A32" s="188" t="str">
        <f>IF(BP32='Datos Rebisco'!A34,'Datos Rebisco'!A34,"")</f>
        <v/>
      </c>
      <c r="B32" s="185" t="str">
        <f>IF(BP32=A32,'Datos Rebisco'!B34,"")</f>
        <v/>
      </c>
      <c r="C32" s="186" t="str">
        <f>IF(BP32=A32,'Datos Rebisco'!C34,"")</f>
        <v/>
      </c>
      <c r="D32" s="37" t="str">
        <f>IF(BP32=A32,VLOOKUP(B32,'Datos Rebisco'!B34:BB71,3,0),"")</f>
        <v/>
      </c>
      <c r="E32" s="32" t="str">
        <f>IF(BP32=A32,VLOOKUP(B32,'Datos Rebisco'!B34:BB71,4,0),"")</f>
        <v/>
      </c>
      <c r="F32" s="32" t="str">
        <f>IF(BP32=A32,VLOOKUP(B32,'Datos Rebisco'!B34:BB71,5,0),"")</f>
        <v/>
      </c>
      <c r="G32" s="32" t="str">
        <f>IF(BP32=A32,VLOOKUP(B32,'Datos Rebisco'!B34:BB71,6,0),"")</f>
        <v/>
      </c>
      <c r="H32" s="33" t="str">
        <f t="shared" si="0"/>
        <v/>
      </c>
      <c r="I32" s="33" t="str">
        <f t="shared" si="1"/>
        <v/>
      </c>
      <c r="J32" s="34" t="str">
        <f t="shared" si="2"/>
        <v/>
      </c>
      <c r="K32" s="31" t="str">
        <f t="shared" si="3"/>
        <v/>
      </c>
      <c r="L32" s="37" t="str">
        <f>IF(A32="","",VLOOKUP(B32,'Datos Rebisco'!B34:BB71,11,0))</f>
        <v/>
      </c>
      <c r="M32" s="32" t="str">
        <f>IF(A32="","",VLOOKUP(B32,'Datos Rebisco'!B34:BB71,12,0))</f>
        <v/>
      </c>
      <c r="N32" s="32" t="str">
        <f>IF(A32="","",VLOOKUP(B32,'Datos Rebisco'!B34:BB71,13,0))</f>
        <v/>
      </c>
      <c r="O32" s="32" t="str">
        <f>IF(A32="","",VLOOKUP(B32,'Datos Rebisco'!B34:BB71,14,0))</f>
        <v/>
      </c>
      <c r="P32" s="33" t="str">
        <f t="shared" si="6"/>
        <v/>
      </c>
      <c r="Q32" s="33" t="str">
        <f t="shared" si="7"/>
        <v/>
      </c>
      <c r="R32" s="34" t="str">
        <f t="shared" si="4"/>
        <v/>
      </c>
      <c r="S32" s="31" t="str">
        <f t="shared" si="5"/>
        <v/>
      </c>
      <c r="T32" s="35" t="str">
        <f t="shared" si="8"/>
        <v/>
      </c>
      <c r="U32" s="35" t="str">
        <f t="shared" si="9"/>
        <v/>
      </c>
      <c r="V32" s="37" t="str">
        <f>IF(A32="","",VLOOKUP(B32,'Datos Rebisco'!B34:BB71,21,0))</f>
        <v/>
      </c>
      <c r="W32" s="32" t="str">
        <f>IF(A32="","",VLOOKUP(B32,'Datos Rebisco'!B34:BB71,22,0))</f>
        <v/>
      </c>
      <c r="X32" s="32" t="str">
        <f>IF(A32="","",VLOOKUP(B32,'Datos Rebisco'!B34:BB71,23,0))</f>
        <v/>
      </c>
      <c r="Y32" s="32" t="str">
        <f>IF(A32="","",VLOOKUP(B32,'Datos Rebisco'!B34:BB71,24,0))</f>
        <v/>
      </c>
      <c r="Z32" s="33" t="str">
        <f t="shared" si="10"/>
        <v/>
      </c>
      <c r="AA32" s="33" t="str">
        <f t="shared" si="11"/>
        <v/>
      </c>
      <c r="AB32" s="34" t="str">
        <f t="shared" si="12"/>
        <v/>
      </c>
      <c r="AC32" s="31" t="str">
        <f t="shared" si="13"/>
        <v/>
      </c>
      <c r="AD32" s="37" t="str">
        <f t="shared" si="14"/>
        <v/>
      </c>
      <c r="AE32" s="32" t="str">
        <f>IF(A32="","",VLOOKUP(B32,'Datos Rebisco'!B34:BB71,30,0))</f>
        <v/>
      </c>
      <c r="AF32" s="31" t="str">
        <f t="shared" si="15"/>
        <v/>
      </c>
      <c r="AG32" s="32" t="str">
        <f>IF(A32="","",VLOOKUP(B32,'Datos Rebisco'!B34:BB71,32,0))</f>
        <v/>
      </c>
      <c r="AH32" s="32" t="str">
        <f>IF(A32="","",VLOOKUP(B32,'Datos Rebisco'!B34:BB71,33,0))</f>
        <v/>
      </c>
      <c r="AI32" s="32" t="str">
        <f>IF(A32="","",VLOOKUP(B32,'Datos Rebisco'!B34:BB71,34,0))</f>
        <v/>
      </c>
      <c r="AJ32" s="34" t="str">
        <f t="shared" si="16"/>
        <v/>
      </c>
      <c r="AK32" s="37" t="str">
        <f t="shared" si="17"/>
        <v/>
      </c>
      <c r="AL32" s="37" t="str">
        <f>IF(A32="","",VLOOKUP(B32,'Datos Rebisco'!B34:BB71,37,0))</f>
        <v/>
      </c>
      <c r="AM32" s="36" t="str">
        <f t="shared" si="18"/>
        <v/>
      </c>
      <c r="AN32" s="274" t="str">
        <f>IF(BP32=A32,'Datos Rebisco'!BL34,"")</f>
        <v/>
      </c>
      <c r="AO32" s="32" t="str">
        <f>IF(A32="","",VLOOKUP(B32,'Datos Rebisco'!B34:BF71,39,0))</f>
        <v/>
      </c>
      <c r="AP32" s="36" t="str">
        <f t="shared" si="23"/>
        <v/>
      </c>
      <c r="AQ32" s="32" t="str">
        <f>IF(A32="","",VLOOKUP(B32,'Datos Rebisco'!B34:BH71,41,0))</f>
        <v/>
      </c>
      <c r="AR32" s="32" t="str">
        <f>IF(A32="","",VLOOKUP(B32,'Datos Rebisco'!B34:BI71,42,0))</f>
        <v/>
      </c>
      <c r="AS32" s="32" t="str">
        <f>IF(A32="","",VLOOKUP(B32,'Datos Rebisco'!B34:BJ71,43,0))</f>
        <v/>
      </c>
      <c r="AT32" s="32" t="str">
        <f>IF(A32="","",VLOOKUP(B32,'Datos Rebisco'!B34:BK71,44,0))</f>
        <v/>
      </c>
      <c r="AU32" s="58"/>
      <c r="AV32" s="37" t="str">
        <f t="shared" si="24"/>
        <v/>
      </c>
      <c r="AW32" s="38" t="str">
        <f t="shared" si="19"/>
        <v/>
      </c>
      <c r="AY32" s="180" t="str">
        <f>IF(A32="","",+'Datos Rebisco'!AY34)</f>
        <v/>
      </c>
      <c r="AZ32" s="258" t="str">
        <f t="shared" si="20"/>
        <v/>
      </c>
      <c r="BA32" s="255" t="str">
        <f>IF(A32="","",VLOOKUP(B32,'Datos Rebisco'!B34:BF71,51,0))</f>
        <v/>
      </c>
      <c r="BB32" s="181" t="str">
        <f t="shared" si="21"/>
        <v/>
      </c>
      <c r="BC32" s="180" t="str">
        <f>IF(BP32=A32,'Datos Rebisco'!BL34,"")</f>
        <v/>
      </c>
      <c r="BD32" s="181" t="str">
        <f t="shared" si="25"/>
        <v/>
      </c>
      <c r="BE32" s="29" t="str">
        <f>IF(A32="","",VLOOKUP(B32,'Datos Rebisco'!B34:BF71,53,0))</f>
        <v/>
      </c>
      <c r="BF32" s="28" t="str">
        <f>IF(A32="","",VLOOKUP(B32,'Datos Rebisco'!B34:BF71,54,0))</f>
        <v/>
      </c>
      <c r="BG32" s="28" t="str">
        <f>IF(A32="","",VLOOKUP(B32,'Datos Rebisco'!B34:BF71,55,0))</f>
        <v/>
      </c>
      <c r="BH32" s="28" t="str">
        <f>IF(A32="","",VLOOKUP(B32,'Datos Rebisco'!B34:BF71,51,0))</f>
        <v/>
      </c>
      <c r="BI32" s="28" t="str">
        <f>IF(A32="","",IF(VLOOKUP(B32,'Datos Rebisco'!B34:BF71,52,0)=0%,IF(AO32&gt;1,1,VLOOKUP(B32,'Datos Rebisco'!B34:BF71,52,0))))</f>
        <v/>
      </c>
      <c r="BJ32" s="211" t="str">
        <f>IF(A32="","",VLOOKUP(B32,'Datos Rebisco'!B34:BH71,58,0))</f>
        <v/>
      </c>
      <c r="BK32" s="27" t="str">
        <f>IF(A32="","",VLOOKUP(B32,'Datos Rebisco'!B34:BH71,59,0))</f>
        <v/>
      </c>
      <c r="BL32" s="29" t="str">
        <f>IF(A32="","",VLOOKUP(B32,'Datos Rebisco'!B34:BF71,55,0))</f>
        <v/>
      </c>
      <c r="BM32" s="181" t="str">
        <f>IF(A32="","",VLOOKUP(B32,'Datos Rebisco'!B34:BF71,56,0))</f>
        <v/>
      </c>
      <c r="BN32" s="266" t="str">
        <f>IF(A32="","",IF(VLOOKUP(B32,'Datos Rebisco'!B34:BF71,57,0)=0,IF(AO32&gt;1,1,VLOOKUP(B32,'Datos Rebisco'!B34:BF71,57,0))))</f>
        <v/>
      </c>
      <c r="BO32" s="59"/>
      <c r="BP32" s="190" t="str">
        <f>+'Biyemas S.A.'!BP32</f>
        <v xml:space="preserve">Mie/Wed    </v>
      </c>
    </row>
    <row r="33" spans="1:76" ht="11.25" customHeight="1" x14ac:dyDescent="0.2">
      <c r="A33" s="188" t="str">
        <f>IF(BP33='Datos Rebisco'!A35,'Datos Rebisco'!A35,"")</f>
        <v/>
      </c>
      <c r="B33" s="185" t="str">
        <f>IF(BP33=A33,'Datos Rebisco'!B35,"")</f>
        <v/>
      </c>
      <c r="C33" s="186" t="str">
        <f>IF(BP33=A33,'Datos Rebisco'!C35,"")</f>
        <v/>
      </c>
      <c r="D33" s="37" t="str">
        <f>IF(BP33=A33,VLOOKUP(B33,'Datos Rebisco'!B35:BB72,3,0),"")</f>
        <v/>
      </c>
      <c r="E33" s="32" t="str">
        <f>IF(BP33=A33,VLOOKUP(B33,'Datos Rebisco'!B35:BB72,4,0),"")</f>
        <v/>
      </c>
      <c r="F33" s="32" t="str">
        <f>IF(BP33=A33,VLOOKUP(B33,'Datos Rebisco'!B35:BB72,5,0),"")</f>
        <v/>
      </c>
      <c r="G33" s="32" t="str">
        <f>IF(BP33=A33,VLOOKUP(B33,'Datos Rebisco'!B35:BB72,6,0),"")</f>
        <v/>
      </c>
      <c r="H33" s="33" t="str">
        <f t="shared" si="0"/>
        <v/>
      </c>
      <c r="I33" s="33" t="str">
        <f t="shared" si="1"/>
        <v/>
      </c>
      <c r="J33" s="34" t="str">
        <f t="shared" si="2"/>
        <v/>
      </c>
      <c r="K33" s="31" t="str">
        <f t="shared" si="3"/>
        <v/>
      </c>
      <c r="L33" s="37" t="str">
        <f>IF(A33="","",VLOOKUP(B33,'Datos Rebisco'!B35:BB72,11,0))</f>
        <v/>
      </c>
      <c r="M33" s="32" t="str">
        <f>IF(A33="","",VLOOKUP(B33,'Datos Rebisco'!B35:BB72,12,0))</f>
        <v/>
      </c>
      <c r="N33" s="32" t="str">
        <f>IF(A33="","",VLOOKUP(B33,'Datos Rebisco'!B35:BB72,13,0))</f>
        <v/>
      </c>
      <c r="O33" s="32" t="str">
        <f>IF(A33="","",VLOOKUP(B33,'Datos Rebisco'!B35:BB72,14,0))</f>
        <v/>
      </c>
      <c r="P33" s="33" t="str">
        <f t="shared" si="6"/>
        <v/>
      </c>
      <c r="Q33" s="33" t="str">
        <f t="shared" si="7"/>
        <v/>
      </c>
      <c r="R33" s="34" t="str">
        <f t="shared" si="4"/>
        <v/>
      </c>
      <c r="S33" s="31" t="str">
        <f t="shared" si="5"/>
        <v/>
      </c>
      <c r="T33" s="35" t="str">
        <f t="shared" si="8"/>
        <v/>
      </c>
      <c r="U33" s="35" t="str">
        <f t="shared" si="9"/>
        <v/>
      </c>
      <c r="V33" s="37" t="str">
        <f>IF(A33="","",VLOOKUP(B33,'Datos Rebisco'!B35:BB72,21,0))</f>
        <v/>
      </c>
      <c r="W33" s="32" t="str">
        <f>IF(A33="","",VLOOKUP(B33,'Datos Rebisco'!B35:BB72,22,0))</f>
        <v/>
      </c>
      <c r="X33" s="32" t="str">
        <f>IF(A33="","",VLOOKUP(B33,'Datos Rebisco'!B35:BB72,23,0))</f>
        <v/>
      </c>
      <c r="Y33" s="32" t="str">
        <f>IF(A33="","",VLOOKUP(B33,'Datos Rebisco'!B35:BB72,24,0))</f>
        <v/>
      </c>
      <c r="Z33" s="33" t="str">
        <f t="shared" si="10"/>
        <v/>
      </c>
      <c r="AA33" s="33" t="str">
        <f t="shared" si="11"/>
        <v/>
      </c>
      <c r="AB33" s="34" t="str">
        <f t="shared" si="12"/>
        <v/>
      </c>
      <c r="AC33" s="31" t="str">
        <f t="shared" si="13"/>
        <v/>
      </c>
      <c r="AD33" s="37" t="str">
        <f t="shared" si="14"/>
        <v/>
      </c>
      <c r="AE33" s="32" t="str">
        <f>IF(A33="","",VLOOKUP(B33,'Datos Rebisco'!B35:BB72,30,0))</f>
        <v/>
      </c>
      <c r="AF33" s="31" t="str">
        <f t="shared" si="15"/>
        <v/>
      </c>
      <c r="AG33" s="32" t="str">
        <f>IF(A33="","",VLOOKUP(B33,'Datos Rebisco'!B35:BB72,32,0))</f>
        <v/>
      </c>
      <c r="AH33" s="32" t="str">
        <f>IF(A33="","",VLOOKUP(B33,'Datos Rebisco'!B35:BB72,33,0))</f>
        <v/>
      </c>
      <c r="AI33" s="32" t="str">
        <f>IF(A33="","",VLOOKUP(B33,'Datos Rebisco'!B35:BB72,34,0))</f>
        <v/>
      </c>
      <c r="AJ33" s="34" t="str">
        <f t="shared" si="16"/>
        <v/>
      </c>
      <c r="AK33" s="37" t="str">
        <f t="shared" si="17"/>
        <v/>
      </c>
      <c r="AL33" s="37" t="str">
        <f>IF(A33="","",VLOOKUP(B33,'Datos Rebisco'!B35:BB72,37,0))</f>
        <v/>
      </c>
      <c r="AM33" s="36" t="str">
        <f t="shared" si="18"/>
        <v/>
      </c>
      <c r="AN33" s="274" t="str">
        <f>IF(BP33=A33,'Datos Rebisco'!BL35,"")</f>
        <v/>
      </c>
      <c r="AO33" s="32" t="str">
        <f>IF(A33="","",VLOOKUP(B33,'Datos Rebisco'!B35:BF72,39,0))</f>
        <v/>
      </c>
      <c r="AP33" s="36" t="str">
        <f t="shared" si="23"/>
        <v/>
      </c>
      <c r="AQ33" s="32" t="str">
        <f>IF(A33="","",VLOOKUP(B33,'Datos Rebisco'!B35:BH72,41,0))</f>
        <v/>
      </c>
      <c r="AR33" s="32" t="str">
        <f>IF(A33="","",VLOOKUP(B33,'Datos Rebisco'!B35:BI72,42,0))</f>
        <v/>
      </c>
      <c r="AS33" s="32" t="str">
        <f>IF(A33="","",VLOOKUP(B33,'Datos Rebisco'!B35:BJ72,43,0))</f>
        <v/>
      </c>
      <c r="AT33" s="32" t="str">
        <f>IF(A33="","",VLOOKUP(B33,'Datos Rebisco'!B35:BK72,44,0))</f>
        <v/>
      </c>
      <c r="AU33" s="58"/>
      <c r="AV33" s="37" t="str">
        <f t="shared" si="24"/>
        <v/>
      </c>
      <c r="AW33" s="38" t="str">
        <f t="shared" si="19"/>
        <v/>
      </c>
      <c r="AY33" s="180" t="str">
        <f>IF(A33="","",+'Datos Rebisco'!AY35)</f>
        <v/>
      </c>
      <c r="AZ33" s="258" t="str">
        <f t="shared" si="20"/>
        <v/>
      </c>
      <c r="BA33" s="255" t="str">
        <f>IF(A33="","",VLOOKUP(B33,'Datos Rebisco'!B35:BF72,51,0))</f>
        <v/>
      </c>
      <c r="BB33" s="181" t="str">
        <f t="shared" si="21"/>
        <v/>
      </c>
      <c r="BC33" s="180" t="str">
        <f>IF(BP33=A33,'Datos Rebisco'!BL35,"")</f>
        <v/>
      </c>
      <c r="BD33" s="181" t="str">
        <f t="shared" si="25"/>
        <v/>
      </c>
      <c r="BE33" s="29" t="str">
        <f>IF(A33="","",VLOOKUP(B33,'Datos Rebisco'!B35:BF72,53,0))</f>
        <v/>
      </c>
      <c r="BF33" s="28" t="str">
        <f>IF(A33="","",VLOOKUP(B33,'Datos Rebisco'!B35:BF72,54,0))</f>
        <v/>
      </c>
      <c r="BG33" s="28" t="str">
        <f>IF(A33="","",VLOOKUP(B33,'Datos Rebisco'!B35:BF72,55,0))</f>
        <v/>
      </c>
      <c r="BH33" s="28" t="str">
        <f>IF(A33="","",VLOOKUP(B33,'Datos Rebisco'!B35:BF72,51,0))</f>
        <v/>
      </c>
      <c r="BI33" s="28" t="str">
        <f>IF(A33="","",IF(VLOOKUP(B33,'Datos Rebisco'!B35:BF72,52,0)=0%,IF(AO33&gt;1,1,VLOOKUP(B33,'Datos Rebisco'!B35:BF72,52,0))))</f>
        <v/>
      </c>
      <c r="BJ33" s="211" t="str">
        <f>IF(A33="","",VLOOKUP(B33,'Datos Rebisco'!B35:BH72,58,0))</f>
        <v/>
      </c>
      <c r="BK33" s="27" t="str">
        <f>IF(A33="","",VLOOKUP(B33,'Datos Rebisco'!B35:BH72,59,0))</f>
        <v/>
      </c>
      <c r="BL33" s="29" t="str">
        <f>IF(A33="","",VLOOKUP(B33,'Datos Rebisco'!B35:BF72,55,0))</f>
        <v/>
      </c>
      <c r="BM33" s="181" t="str">
        <f>IF(A33="","",VLOOKUP(B33,'Datos Rebisco'!B35:BF72,56,0))</f>
        <v/>
      </c>
      <c r="BN33" s="266" t="str">
        <f>IF(A33="","",IF(VLOOKUP(B33,'Datos Rebisco'!B35:BF72,57,0)=0,IF(AO33&gt;1,1,VLOOKUP(B33,'Datos Rebisco'!B35:BF72,57,0))))</f>
        <v/>
      </c>
      <c r="BO33" s="59"/>
      <c r="BP33" s="190" t="str">
        <f>+'Biyemas S.A.'!BP33</f>
        <v xml:space="preserve">Jue/Thu    </v>
      </c>
    </row>
    <row r="34" spans="1:76" x14ac:dyDescent="0.2">
      <c r="A34" s="188" t="str">
        <f>IF(BP34='Datos Rebisco'!A36,'Datos Rebisco'!A36,"")</f>
        <v/>
      </c>
      <c r="B34" s="185" t="str">
        <f>IF(BP34=A34,'Datos Rebisco'!B36,"")</f>
        <v/>
      </c>
      <c r="C34" s="186" t="str">
        <f>IF(BP34=A34,'Datos Rebisco'!C36,"")</f>
        <v/>
      </c>
      <c r="D34" s="37" t="str">
        <f>IF(BP34=A34,VLOOKUP(B34,'Datos Rebisco'!B36:BB73,3,0),"")</f>
        <v/>
      </c>
      <c r="E34" s="32" t="str">
        <f>IF(BP34=A34,VLOOKUP(B34,'Datos Rebisco'!B36:BB73,4,0),"")</f>
        <v/>
      </c>
      <c r="F34" s="32" t="str">
        <f>IF(BP34=A34,VLOOKUP(B34,'Datos Rebisco'!B36:BB73,5,0),"")</f>
        <v/>
      </c>
      <c r="G34" s="32" t="str">
        <f>IF(BP34=A34,VLOOKUP(B34,'Datos Rebisco'!B36:BB73,6,0),"")</f>
        <v/>
      </c>
      <c r="H34" s="33" t="str">
        <f t="shared" si="0"/>
        <v/>
      </c>
      <c r="I34" s="33" t="str">
        <f t="shared" si="1"/>
        <v/>
      </c>
      <c r="J34" s="34" t="str">
        <f t="shared" si="2"/>
        <v/>
      </c>
      <c r="K34" s="31" t="str">
        <f t="shared" si="3"/>
        <v/>
      </c>
      <c r="L34" s="37" t="str">
        <f>IF(A34="","",VLOOKUP(B34,'Datos Rebisco'!B36:BB73,11,0))</f>
        <v/>
      </c>
      <c r="M34" s="32" t="str">
        <f>IF(A34="","",VLOOKUP(B34,'Datos Rebisco'!B36:BB73,12,0))</f>
        <v/>
      </c>
      <c r="N34" s="32" t="str">
        <f>IF(A34="","",VLOOKUP(B34,'Datos Rebisco'!B36:BB73,13,0))</f>
        <v/>
      </c>
      <c r="O34" s="32" t="str">
        <f>IF(A34="","",VLOOKUP(B34,'Datos Rebisco'!B36:BB73,14,0))</f>
        <v/>
      </c>
      <c r="P34" s="33" t="str">
        <f t="shared" si="6"/>
        <v/>
      </c>
      <c r="Q34" s="33" t="str">
        <f t="shared" si="7"/>
        <v/>
      </c>
      <c r="R34" s="34" t="str">
        <f t="shared" si="4"/>
        <v/>
      </c>
      <c r="S34" s="31" t="str">
        <f t="shared" si="5"/>
        <v/>
      </c>
      <c r="T34" s="35" t="str">
        <f t="shared" si="8"/>
        <v/>
      </c>
      <c r="U34" s="35" t="str">
        <f t="shared" si="9"/>
        <v/>
      </c>
      <c r="V34" s="37" t="str">
        <f>IF(A34="","",VLOOKUP(B34,'Datos Rebisco'!B36:BB73,21,0))</f>
        <v/>
      </c>
      <c r="W34" s="32" t="str">
        <f>IF(A34="","",VLOOKUP(B34,'Datos Rebisco'!B36:BB73,22,0))</f>
        <v/>
      </c>
      <c r="X34" s="32" t="str">
        <f>IF(A34="","",VLOOKUP(B34,'Datos Rebisco'!B36:BB73,23,0))</f>
        <v/>
      </c>
      <c r="Y34" s="32" t="str">
        <f>IF(A34="","",VLOOKUP(B34,'Datos Rebisco'!B36:BB73,24,0))</f>
        <v/>
      </c>
      <c r="Z34" s="33" t="str">
        <f t="shared" si="10"/>
        <v/>
      </c>
      <c r="AA34" s="33" t="str">
        <f t="shared" si="11"/>
        <v/>
      </c>
      <c r="AB34" s="34" t="str">
        <f t="shared" si="12"/>
        <v/>
      </c>
      <c r="AC34" s="31" t="str">
        <f t="shared" si="13"/>
        <v/>
      </c>
      <c r="AD34" s="37" t="str">
        <f t="shared" si="14"/>
        <v/>
      </c>
      <c r="AE34" s="32" t="str">
        <f>IF(A34="","",VLOOKUP(B34,'Datos Rebisco'!B36:BB73,30,0))</f>
        <v/>
      </c>
      <c r="AF34" s="31" t="str">
        <f t="shared" si="15"/>
        <v/>
      </c>
      <c r="AG34" s="32" t="str">
        <f>IF(A34="","",VLOOKUP(B34,'Datos Rebisco'!B36:BB73,32,0))</f>
        <v/>
      </c>
      <c r="AH34" s="32" t="str">
        <f>IF(A34="","",VLOOKUP(B34,'Datos Rebisco'!B36:BB73,33,0))</f>
        <v/>
      </c>
      <c r="AI34" s="32" t="str">
        <f>IF(A34="","",VLOOKUP(B34,'Datos Rebisco'!B36:BB73,34,0))</f>
        <v/>
      </c>
      <c r="AJ34" s="34" t="str">
        <f t="shared" si="16"/>
        <v/>
      </c>
      <c r="AK34" s="37" t="str">
        <f t="shared" si="17"/>
        <v/>
      </c>
      <c r="AL34" s="37" t="str">
        <f>IF(A34="","",VLOOKUP(B34,'Datos Rebisco'!B36:BB73,37,0))</f>
        <v/>
      </c>
      <c r="AM34" s="36" t="str">
        <f t="shared" si="18"/>
        <v/>
      </c>
      <c r="AN34" s="274" t="str">
        <f>IF(BP34=A34,'Datos Rebisco'!BL36,"")</f>
        <v/>
      </c>
      <c r="AO34" s="32" t="str">
        <f>IF(A34="","",VLOOKUP(B34,'Datos Rebisco'!B36:BF73,39,0))</f>
        <v/>
      </c>
      <c r="AP34" s="36" t="str">
        <f t="shared" si="23"/>
        <v/>
      </c>
      <c r="AQ34" s="32" t="str">
        <f>IF(A34="","",VLOOKUP(B34,'Datos Rebisco'!B36:BH73,41,0))</f>
        <v/>
      </c>
      <c r="AR34" s="32" t="str">
        <f>IF(A34="","",VLOOKUP(B34,'Datos Rebisco'!B36:BI73,42,0))</f>
        <v/>
      </c>
      <c r="AS34" s="32" t="str">
        <f>IF(A34="","",VLOOKUP(B34,'Datos Rebisco'!B36:BJ73,43,0))</f>
        <v/>
      </c>
      <c r="AT34" s="32" t="str">
        <f>IF(A34="","",VLOOKUP(B34,'Datos Rebisco'!B36:BK73,44,0))</f>
        <v/>
      </c>
      <c r="AU34" s="58"/>
      <c r="AV34" s="37" t="str">
        <f t="shared" si="24"/>
        <v/>
      </c>
      <c r="AW34" s="38" t="str">
        <f t="shared" si="19"/>
        <v/>
      </c>
      <c r="AY34" s="180" t="str">
        <f>IF(A34="","",+'Datos Rebisco'!AY36)</f>
        <v/>
      </c>
      <c r="AZ34" s="258" t="str">
        <f t="shared" si="20"/>
        <v/>
      </c>
      <c r="BA34" s="255" t="str">
        <f>IF(A34="","",VLOOKUP(B34,'Datos Rebisco'!B36:BF73,51,0))</f>
        <v/>
      </c>
      <c r="BB34" s="181" t="str">
        <f t="shared" si="21"/>
        <v/>
      </c>
      <c r="BC34" s="180" t="str">
        <f>IF(BP34=A34,'Datos Rebisco'!BL36,"")</f>
        <v/>
      </c>
      <c r="BD34" s="181" t="str">
        <f t="shared" si="25"/>
        <v/>
      </c>
      <c r="BE34" s="29" t="str">
        <f>IF(A34="","",VLOOKUP(B34,'Datos Rebisco'!B36:BF73,53,0))</f>
        <v/>
      </c>
      <c r="BF34" s="28" t="str">
        <f>IF(A34="","",VLOOKUP(B34,'Datos Rebisco'!B36:BF73,54,0))</f>
        <v/>
      </c>
      <c r="BG34" s="28" t="str">
        <f>IF(A34="","",VLOOKUP(B34,'Datos Rebisco'!B36:BF73,55,0))</f>
        <v/>
      </c>
      <c r="BH34" s="28" t="str">
        <f>IF(A34="","",VLOOKUP(B34,'Datos Rebisco'!B36:BF73,51,0))</f>
        <v/>
      </c>
      <c r="BI34" s="28" t="str">
        <f>IF(A34="","",IF(VLOOKUP(B34,'Datos Rebisco'!B36:BF73,52,0)=0%,IF(AO34&gt;1,1,VLOOKUP(B34,'Datos Rebisco'!B36:BF73,52,0))))</f>
        <v/>
      </c>
      <c r="BJ34" s="211" t="str">
        <f>IF(A34="","",VLOOKUP(B34,'Datos Rebisco'!B36:BH73,58,0))</f>
        <v/>
      </c>
      <c r="BK34" s="27" t="str">
        <f>IF(A34="","",VLOOKUP(B34,'Datos Rebisco'!B36:BH73,59,0))</f>
        <v/>
      </c>
      <c r="BL34" s="29" t="str">
        <f>IF(A34="","",VLOOKUP(B34,'Datos Rebisco'!B36:BF73,55,0))</f>
        <v/>
      </c>
      <c r="BM34" s="181" t="str">
        <f>IF(A34="","",VLOOKUP(B34,'Datos Rebisco'!B36:BF73,56,0))</f>
        <v/>
      </c>
      <c r="BN34" s="266" t="str">
        <f>IF(A34="","",IF(VLOOKUP(B34,'Datos Rebisco'!B36:BF73,57,0)=0,IF(AO34&gt;1,1,VLOOKUP(B34,'Datos Rebisco'!B36:BF73,57,0))))</f>
        <v/>
      </c>
      <c r="BO34" s="59"/>
      <c r="BP34" s="190" t="str">
        <f>+'Biyemas S.A.'!BP34</f>
        <v xml:space="preserve">Vie/Fri    </v>
      </c>
    </row>
    <row r="35" spans="1:76" ht="11.25" customHeight="1" x14ac:dyDescent="0.2">
      <c r="A35" s="188" t="str">
        <f>IF(BP35='Datos Rebisco'!A37,'Datos Rebisco'!A37,"")</f>
        <v/>
      </c>
      <c r="B35" s="185" t="str">
        <f>IF(BP35=A35,'Datos Rebisco'!B37,"")</f>
        <v/>
      </c>
      <c r="C35" s="186" t="str">
        <f>IF(BP35=A35,'Datos Rebisco'!C37,"")</f>
        <v/>
      </c>
      <c r="D35" s="37" t="str">
        <f>IF(BP35=A35,VLOOKUP(B35,'Datos Rebisco'!B37:BB74,3,0),"")</f>
        <v/>
      </c>
      <c r="E35" s="32" t="str">
        <f>IF(BP35=A35,VLOOKUP(B35,'Datos Rebisco'!B37:BB74,4,0),"")</f>
        <v/>
      </c>
      <c r="F35" s="32" t="str">
        <f>IF(BP35=A35,VLOOKUP(B35,'Datos Rebisco'!B37:BB74,5,0),"")</f>
        <v/>
      </c>
      <c r="G35" s="32" t="str">
        <f>IF(BP35=A35,VLOOKUP(B35,'Datos Rebisco'!B37:BB74,6,0),"")</f>
        <v/>
      </c>
      <c r="H35" s="33" t="str">
        <f t="shared" si="0"/>
        <v/>
      </c>
      <c r="I35" s="33" t="str">
        <f t="shared" si="1"/>
        <v/>
      </c>
      <c r="J35" s="34" t="str">
        <f t="shared" si="2"/>
        <v/>
      </c>
      <c r="K35" s="31" t="str">
        <f t="shared" si="3"/>
        <v/>
      </c>
      <c r="L35" s="37" t="str">
        <f>IF(A35="","",VLOOKUP(B35,'Datos Rebisco'!B37:BB74,11,0))</f>
        <v/>
      </c>
      <c r="M35" s="32" t="str">
        <f>IF(A35="","",VLOOKUP(B35,'Datos Rebisco'!B37:BB74,12,0))</f>
        <v/>
      </c>
      <c r="N35" s="32" t="str">
        <f>IF(A35="","",VLOOKUP(B35,'Datos Rebisco'!B37:BB74,13,0))</f>
        <v/>
      </c>
      <c r="O35" s="32" t="str">
        <f>IF(A35="","",VLOOKUP(B35,'Datos Rebisco'!B37:BB74,14,0))</f>
        <v/>
      </c>
      <c r="P35" s="33" t="str">
        <f t="shared" si="6"/>
        <v/>
      </c>
      <c r="Q35" s="33" t="str">
        <f t="shared" si="7"/>
        <v/>
      </c>
      <c r="R35" s="34" t="str">
        <f t="shared" si="4"/>
        <v/>
      </c>
      <c r="S35" s="31" t="str">
        <f t="shared" si="5"/>
        <v/>
      </c>
      <c r="T35" s="35" t="str">
        <f t="shared" si="8"/>
        <v/>
      </c>
      <c r="U35" s="35" t="str">
        <f t="shared" si="9"/>
        <v/>
      </c>
      <c r="V35" s="37" t="str">
        <f>IF(A35="","",VLOOKUP(B35,'Datos Rebisco'!B37:BB74,21,0))</f>
        <v/>
      </c>
      <c r="W35" s="32" t="str">
        <f>IF(A35="","",VLOOKUP(B35,'Datos Rebisco'!B37:BB74,22,0))</f>
        <v/>
      </c>
      <c r="X35" s="32" t="str">
        <f>IF(A35="","",VLOOKUP(B35,'Datos Rebisco'!B37:BB74,23,0))</f>
        <v/>
      </c>
      <c r="Y35" s="32" t="str">
        <f>IF(A35="","",VLOOKUP(B35,'Datos Rebisco'!B37:BB74,24,0))</f>
        <v/>
      </c>
      <c r="Z35" s="33" t="str">
        <f t="shared" si="10"/>
        <v/>
      </c>
      <c r="AA35" s="33" t="str">
        <f t="shared" si="11"/>
        <v/>
      </c>
      <c r="AB35" s="34" t="str">
        <f t="shared" si="12"/>
        <v/>
      </c>
      <c r="AC35" s="31" t="str">
        <f t="shared" si="13"/>
        <v/>
      </c>
      <c r="AD35" s="37" t="str">
        <f t="shared" si="14"/>
        <v/>
      </c>
      <c r="AE35" s="32" t="str">
        <f>IF(A35="","",VLOOKUP(B35,'Datos Rebisco'!B37:BB74,30,0))</f>
        <v/>
      </c>
      <c r="AF35" s="31" t="str">
        <f t="shared" si="15"/>
        <v/>
      </c>
      <c r="AG35" s="32" t="str">
        <f>IF(A35="","",VLOOKUP(B35,'Datos Rebisco'!B37:BB74,32,0))</f>
        <v/>
      </c>
      <c r="AH35" s="32" t="str">
        <f>IF(A35="","",VLOOKUP(B35,'Datos Rebisco'!B37:BB74,33,0))</f>
        <v/>
      </c>
      <c r="AI35" s="32" t="str">
        <f>IF(A35="","",VLOOKUP(B35,'Datos Rebisco'!B37:BB74,34,0))</f>
        <v/>
      </c>
      <c r="AJ35" s="34" t="str">
        <f t="shared" si="16"/>
        <v/>
      </c>
      <c r="AK35" s="37" t="str">
        <f t="shared" si="17"/>
        <v/>
      </c>
      <c r="AL35" s="37" t="str">
        <f>IF(A35="","",VLOOKUP(B35,'Datos Rebisco'!B37:BB74,37,0))</f>
        <v/>
      </c>
      <c r="AM35" s="36" t="str">
        <f t="shared" si="18"/>
        <v/>
      </c>
      <c r="AN35" s="274" t="str">
        <f>IF(BP35=A35,'Datos Rebisco'!BL37,"")</f>
        <v/>
      </c>
      <c r="AO35" s="32" t="str">
        <f>IF(A35="","",VLOOKUP(B35,'Datos Rebisco'!B37:BF74,39,0))</f>
        <v/>
      </c>
      <c r="AP35" s="36" t="str">
        <f t="shared" si="23"/>
        <v/>
      </c>
      <c r="AQ35" s="32" t="str">
        <f>IF(A35="","",VLOOKUP(B35,'Datos Rebisco'!B37:BH74,41,0))</f>
        <v/>
      </c>
      <c r="AR35" s="32" t="str">
        <f>IF(A35="","",VLOOKUP(B35,'Datos Rebisco'!B37:BI74,42,0))</f>
        <v/>
      </c>
      <c r="AS35" s="32" t="str">
        <f>IF(A35="","",VLOOKUP(B35,'Datos Rebisco'!B37:BJ74,43,0))</f>
        <v/>
      </c>
      <c r="AT35" s="32" t="str">
        <f>IF(A35="","",VLOOKUP(B35,'Datos Rebisco'!B37:BK74,44,0))</f>
        <v/>
      </c>
      <c r="AU35" s="58"/>
      <c r="AV35" s="37" t="str">
        <f t="shared" si="24"/>
        <v/>
      </c>
      <c r="AW35" s="38" t="str">
        <f t="shared" si="19"/>
        <v/>
      </c>
      <c r="AY35" s="180" t="str">
        <f>IF(A35="","",+'Datos Rebisco'!AY37)</f>
        <v/>
      </c>
      <c r="AZ35" s="258" t="str">
        <f t="shared" si="20"/>
        <v/>
      </c>
      <c r="BA35" s="255" t="str">
        <f>IF(A35="","",VLOOKUP(B35,'Datos Rebisco'!B37:BF74,51,0))</f>
        <v/>
      </c>
      <c r="BB35" s="181" t="str">
        <f t="shared" si="21"/>
        <v/>
      </c>
      <c r="BC35" s="180" t="str">
        <f>IF(BP35=A35,'Datos Rebisco'!BL37,"")</f>
        <v/>
      </c>
      <c r="BD35" s="181" t="str">
        <f t="shared" si="25"/>
        <v/>
      </c>
      <c r="BE35" s="29" t="str">
        <f>IF(A35="","",VLOOKUP(B35,'Datos Rebisco'!B37:BF74,53,0))</f>
        <v/>
      </c>
      <c r="BF35" s="28" t="str">
        <f>IF(A35="","",VLOOKUP(B35,'Datos Rebisco'!B37:BF74,54,0))</f>
        <v/>
      </c>
      <c r="BG35" s="28" t="str">
        <f>IF(A35="","",VLOOKUP(B35,'Datos Rebisco'!B37:BF74,55,0))</f>
        <v/>
      </c>
      <c r="BH35" s="28" t="str">
        <f>IF(A35="","",VLOOKUP(B35,'Datos Rebisco'!B37:BF74,51,0))</f>
        <v/>
      </c>
      <c r="BI35" s="28" t="str">
        <f>IF(A35="","",IF(VLOOKUP(B35,'Datos Rebisco'!B37:BF74,52,0)=0%,IF(AO35&gt;1,1,VLOOKUP(B35,'Datos Rebisco'!B37:BF74,52,0))))</f>
        <v/>
      </c>
      <c r="BJ35" s="211" t="str">
        <f>IF(A35="","",VLOOKUP(B35,'Datos Rebisco'!B37:BH74,58,0))</f>
        <v/>
      </c>
      <c r="BK35" s="27" t="str">
        <f>IF(A35="","",VLOOKUP(B35,'Datos Rebisco'!B37:BH74,59,0))</f>
        <v/>
      </c>
      <c r="BL35" s="29" t="str">
        <f>IF(A35="","",VLOOKUP(B35,'Datos Rebisco'!B37:BF74,55,0))</f>
        <v/>
      </c>
      <c r="BM35" s="181" t="str">
        <f>IF(A35="","",VLOOKUP(B35,'Datos Rebisco'!B37:BF74,56,0))</f>
        <v/>
      </c>
      <c r="BN35" s="266" t="str">
        <f>IF(A35="","",IF(VLOOKUP(B35,'Datos Rebisco'!B37:BF74,57,0)=0,IF(AO35&gt;1,1,VLOOKUP(B35,'Datos Rebisco'!B37:BF74,57,0))))</f>
        <v/>
      </c>
      <c r="BO35" s="59"/>
      <c r="BP35" s="190" t="str">
        <f>+'Biyemas S.A.'!BP35</f>
        <v xml:space="preserve">Sab/Sat    </v>
      </c>
    </row>
    <row r="36" spans="1:76" x14ac:dyDescent="0.2">
      <c r="A36" s="188" t="str">
        <f>IF(BP36='Datos Rebisco'!A38,'Datos Rebisco'!A38,"")</f>
        <v/>
      </c>
      <c r="B36" s="185" t="str">
        <f>IF(BP36=A36,'Datos Rebisco'!B38,"")</f>
        <v/>
      </c>
      <c r="C36" s="186" t="str">
        <f>IF(BP36=A36,'Datos Rebisco'!C38,"")</f>
        <v/>
      </c>
      <c r="D36" s="37" t="str">
        <f>IF(BP36=A36,VLOOKUP(B36,'Datos Rebisco'!B38:BB75,3,0),"")</f>
        <v/>
      </c>
      <c r="E36" s="32" t="str">
        <f>IF(BP36=A36,VLOOKUP(B36,'Datos Rebisco'!B38:BB75,4,0),"")</f>
        <v/>
      </c>
      <c r="F36" s="32" t="str">
        <f>IF(BP36=A36,VLOOKUP(B36,'Datos Rebisco'!B38:BB75,5,0),"")</f>
        <v/>
      </c>
      <c r="G36" s="32" t="str">
        <f>IF(BP36=A36,VLOOKUP(B36,'Datos Rebisco'!B38:BB75,6,0),"")</f>
        <v/>
      </c>
      <c r="H36" s="33" t="str">
        <f t="shared" si="0"/>
        <v/>
      </c>
      <c r="I36" s="33" t="str">
        <f t="shared" si="1"/>
        <v/>
      </c>
      <c r="J36" s="34" t="str">
        <f t="shared" si="2"/>
        <v/>
      </c>
      <c r="K36" s="31" t="str">
        <f t="shared" si="3"/>
        <v/>
      </c>
      <c r="L36" s="37" t="str">
        <f>IF(A36="","",VLOOKUP(B36,'Datos Rebisco'!B38:BB75,11,0))</f>
        <v/>
      </c>
      <c r="M36" s="32" t="str">
        <f>IF(A36="","",VLOOKUP(B36,'Datos Rebisco'!B38:BB75,12,0))</f>
        <v/>
      </c>
      <c r="N36" s="32" t="str">
        <f>IF(A36="","",VLOOKUP(B36,'Datos Rebisco'!B38:BB75,13,0))</f>
        <v/>
      </c>
      <c r="O36" s="32" t="str">
        <f>IF(A36="","",VLOOKUP(B36,'Datos Rebisco'!B38:BB75,14,0))</f>
        <v/>
      </c>
      <c r="P36" s="33" t="str">
        <f t="shared" si="6"/>
        <v/>
      </c>
      <c r="Q36" s="33" t="str">
        <f t="shared" si="7"/>
        <v/>
      </c>
      <c r="R36" s="34" t="str">
        <f t="shared" si="4"/>
        <v/>
      </c>
      <c r="S36" s="31" t="str">
        <f t="shared" si="5"/>
        <v/>
      </c>
      <c r="T36" s="35" t="str">
        <f t="shared" si="8"/>
        <v/>
      </c>
      <c r="U36" s="35" t="str">
        <f t="shared" si="9"/>
        <v/>
      </c>
      <c r="V36" s="37" t="str">
        <f>IF(A36="","",VLOOKUP(B36,'Datos Rebisco'!B38:BB75,21,0))</f>
        <v/>
      </c>
      <c r="W36" s="32" t="str">
        <f>IF(A36="","",VLOOKUP(B36,'Datos Rebisco'!B38:BB75,22,0))</f>
        <v/>
      </c>
      <c r="X36" s="32" t="str">
        <f>IF(A36="","",VLOOKUP(B36,'Datos Rebisco'!B38:BB75,23,0))</f>
        <v/>
      </c>
      <c r="Y36" s="32" t="str">
        <f>IF(A36="","",VLOOKUP(B36,'Datos Rebisco'!B38:BB75,24,0))</f>
        <v/>
      </c>
      <c r="Z36" s="33" t="str">
        <f t="shared" si="10"/>
        <v/>
      </c>
      <c r="AA36" s="33" t="str">
        <f t="shared" si="11"/>
        <v/>
      </c>
      <c r="AB36" s="34" t="str">
        <f t="shared" si="12"/>
        <v/>
      </c>
      <c r="AC36" s="31" t="str">
        <f t="shared" si="13"/>
        <v/>
      </c>
      <c r="AD36" s="37" t="str">
        <f t="shared" si="14"/>
        <v/>
      </c>
      <c r="AE36" s="32" t="str">
        <f>IF(A36="","",VLOOKUP(B36,'Datos Rebisco'!B38:BB75,30,0))</f>
        <v/>
      </c>
      <c r="AF36" s="31" t="str">
        <f t="shared" si="15"/>
        <v/>
      </c>
      <c r="AG36" s="32" t="str">
        <f>IF(A36="","",VLOOKUP(B36,'Datos Rebisco'!B38:BB75,32,0))</f>
        <v/>
      </c>
      <c r="AH36" s="32" t="str">
        <f>IF(A36="","",VLOOKUP(B36,'Datos Rebisco'!B38:BB75,33,0))</f>
        <v/>
      </c>
      <c r="AI36" s="32" t="str">
        <f>IF(A36="","",VLOOKUP(B36,'Datos Rebisco'!B38:BB75,34,0))</f>
        <v/>
      </c>
      <c r="AJ36" s="34" t="str">
        <f t="shared" si="16"/>
        <v/>
      </c>
      <c r="AK36" s="37" t="str">
        <f t="shared" si="17"/>
        <v/>
      </c>
      <c r="AL36" s="37" t="str">
        <f>IF(A36="","",VLOOKUP(B36,'Datos Rebisco'!B38:BB75,37,0))</f>
        <v/>
      </c>
      <c r="AM36" s="36" t="str">
        <f t="shared" si="18"/>
        <v/>
      </c>
      <c r="AN36" s="274" t="str">
        <f>IF(BP36=A36,'Datos Rebisco'!BL38,"")</f>
        <v/>
      </c>
      <c r="AO36" s="32" t="str">
        <f>IF(A36="","",VLOOKUP(B36,'Datos Rebisco'!B38:BF75,39,0))</f>
        <v/>
      </c>
      <c r="AP36" s="36" t="str">
        <f t="shared" si="23"/>
        <v/>
      </c>
      <c r="AQ36" s="32" t="str">
        <f>IF(A36="","",VLOOKUP(B36,'Datos Rebisco'!B38:BH75,41,0))</f>
        <v/>
      </c>
      <c r="AR36" s="32" t="str">
        <f>IF(A36="","",VLOOKUP(B36,'Datos Rebisco'!B38:BI75,42,0))</f>
        <v/>
      </c>
      <c r="AS36" s="32" t="str">
        <f>IF(A36="","",VLOOKUP(B36,'Datos Rebisco'!B38:BJ75,43,0))</f>
        <v/>
      </c>
      <c r="AT36" s="32" t="str">
        <f>IF(A36="","",VLOOKUP(B36,'Datos Rebisco'!B38:BK75,44,0))</f>
        <v/>
      </c>
      <c r="AU36" s="58"/>
      <c r="AV36" s="37" t="str">
        <f t="shared" si="24"/>
        <v/>
      </c>
      <c r="AW36" s="38" t="str">
        <f t="shared" si="19"/>
        <v/>
      </c>
      <c r="AY36" s="180" t="str">
        <f>IF(A36="","",+'Datos Rebisco'!AY38)</f>
        <v/>
      </c>
      <c r="AZ36" s="258" t="str">
        <f t="shared" si="20"/>
        <v/>
      </c>
      <c r="BA36" s="255" t="str">
        <f>IF(A36="","",VLOOKUP(B36,'Datos Rebisco'!B38:BF75,51,0))</f>
        <v/>
      </c>
      <c r="BB36" s="181" t="str">
        <f t="shared" si="21"/>
        <v/>
      </c>
      <c r="BC36" s="180" t="str">
        <f>IF(BP36=A36,'Datos Rebisco'!BL38,"")</f>
        <v/>
      </c>
      <c r="BD36" s="181" t="str">
        <f t="shared" si="25"/>
        <v/>
      </c>
      <c r="BE36" s="29" t="str">
        <f>IF(A36="","",VLOOKUP(B36,'Datos Rebisco'!B38:BF75,53,0))</f>
        <v/>
      </c>
      <c r="BF36" s="28" t="str">
        <f>IF(A36="","",VLOOKUP(B36,'Datos Rebisco'!B38:BF75,54,0))</f>
        <v/>
      </c>
      <c r="BG36" s="28" t="str">
        <f>IF(A36="","",VLOOKUP(B36,'Datos Rebisco'!B38:BF75,55,0))</f>
        <v/>
      </c>
      <c r="BH36" s="28" t="str">
        <f>IF(A36="","",VLOOKUP(B36,'Datos Rebisco'!B38:BF75,51,0))</f>
        <v/>
      </c>
      <c r="BI36" s="28" t="str">
        <f>IF(A36="","",IF(VLOOKUP(B36,'Datos Rebisco'!B38:BF75,52,0)=0%,IF(AO36&gt;1,1,VLOOKUP(B36,'Datos Rebisco'!B38:BF75,52,0))))</f>
        <v/>
      </c>
      <c r="BJ36" s="211" t="str">
        <f>IF(A36="","",VLOOKUP(B36,'Datos Rebisco'!B38:BH75,58,0))</f>
        <v/>
      </c>
      <c r="BK36" s="27" t="str">
        <f>IF(A36="","",VLOOKUP(B36,'Datos Rebisco'!B38:BH75,59,0))</f>
        <v/>
      </c>
      <c r="BL36" s="29" t="str">
        <f>IF(A36="","",VLOOKUP(B36,'Datos Rebisco'!B38:BF75,55,0))</f>
        <v/>
      </c>
      <c r="BM36" s="181" t="str">
        <f>IF(A36="","",VLOOKUP(B36,'Datos Rebisco'!B38:BF75,56,0))</f>
        <v/>
      </c>
      <c r="BN36" s="266" t="str">
        <f>IF(A36="","",IF(VLOOKUP(B36,'Datos Rebisco'!B38:BF75,57,0)=0,IF(AO36&gt;1,1,VLOOKUP(B36,'Datos Rebisco'!B38:BF75,57,0))))</f>
        <v/>
      </c>
      <c r="BO36" s="59"/>
      <c r="BP36" s="190" t="str">
        <f>+'Biyemas S.A.'!BP36</f>
        <v xml:space="preserve">Dom/Sun    </v>
      </c>
    </row>
    <row r="37" spans="1:76" ht="12.75" customHeight="1" x14ac:dyDescent="0.2">
      <c r="A37" s="188" t="str">
        <f>IF(BP37='Datos Rebisco'!A39,'Datos Rebisco'!A39,"")</f>
        <v/>
      </c>
      <c r="B37" s="185" t="str">
        <f>IF(BP37=A37,'Datos Rebisco'!B39,"")</f>
        <v/>
      </c>
      <c r="C37" s="186" t="str">
        <f>IF(BP37=A37,'Datos Rebisco'!C39,"")</f>
        <v/>
      </c>
      <c r="D37" s="37" t="str">
        <f>IF(BP37=A37,VLOOKUP(B37,'Datos Rebisco'!B39:BB76,3,0),"")</f>
        <v/>
      </c>
      <c r="E37" s="32" t="str">
        <f>IF(BP37=A37,VLOOKUP(B37,'Datos Rebisco'!B39:BB76,4,0),"")</f>
        <v/>
      </c>
      <c r="F37" s="32" t="str">
        <f>IF(BP37=A37,VLOOKUP(B37,'Datos Rebisco'!B39:BB76,5,0),"")</f>
        <v/>
      </c>
      <c r="G37" s="32" t="str">
        <f>IF(BP37=A37,VLOOKUP(B37,'Datos Rebisco'!B39:BB76,6,0),"")</f>
        <v/>
      </c>
      <c r="H37" s="33" t="str">
        <f t="shared" si="0"/>
        <v/>
      </c>
      <c r="I37" s="33" t="str">
        <f t="shared" si="1"/>
        <v/>
      </c>
      <c r="J37" s="34" t="str">
        <f t="shared" si="2"/>
        <v/>
      </c>
      <c r="K37" s="31" t="str">
        <f t="shared" si="3"/>
        <v/>
      </c>
      <c r="L37" s="37" t="str">
        <f>IF(A37="","",VLOOKUP(B37,'Datos Rebisco'!B39:BB76,11,0))</f>
        <v/>
      </c>
      <c r="M37" s="32" t="str">
        <f>IF(A37="","",VLOOKUP(B37,'Datos Rebisco'!B39:BB76,12,0))</f>
        <v/>
      </c>
      <c r="N37" s="32" t="str">
        <f>IF(A37="","",VLOOKUP(B37,'Datos Rebisco'!B39:BB76,13,0))</f>
        <v/>
      </c>
      <c r="O37" s="32" t="str">
        <f>IF(A37="","",VLOOKUP(B37,'Datos Rebisco'!B39:BB76,14,0))</f>
        <v/>
      </c>
      <c r="P37" s="33" t="str">
        <f t="shared" si="6"/>
        <v/>
      </c>
      <c r="Q37" s="33" t="str">
        <f>IF(A37="","",IF(N37&gt;0,+O37/N37,0))</f>
        <v/>
      </c>
      <c r="R37" s="34" t="str">
        <f t="shared" si="4"/>
        <v/>
      </c>
      <c r="S37" s="31" t="str">
        <f t="shared" si="5"/>
        <v/>
      </c>
      <c r="T37" s="35" t="str">
        <f t="shared" si="8"/>
        <v/>
      </c>
      <c r="U37" s="35" t="str">
        <f t="shared" si="9"/>
        <v/>
      </c>
      <c r="V37" s="37" t="str">
        <f>IF(A37="","",VLOOKUP(B37,'Datos Rebisco'!B39:BB76,21,0))</f>
        <v/>
      </c>
      <c r="W37" s="32" t="str">
        <f>IF(A37="","",VLOOKUP(B37,'Datos Rebisco'!B39:BB76,22,0))</f>
        <v/>
      </c>
      <c r="X37" s="32" t="str">
        <f>IF(A37="","",VLOOKUP(B37,'Datos Rebisco'!B39:BB76,23,0))</f>
        <v/>
      </c>
      <c r="Y37" s="32" t="str">
        <f>IF(A37="","",VLOOKUP(B37,'Datos Rebisco'!B39:BB76,24,0))</f>
        <v/>
      </c>
      <c r="Z37" s="33" t="str">
        <f t="shared" si="10"/>
        <v/>
      </c>
      <c r="AA37" s="33" t="str">
        <f t="shared" si="11"/>
        <v/>
      </c>
      <c r="AB37" s="34" t="str">
        <f t="shared" si="12"/>
        <v/>
      </c>
      <c r="AC37" s="31" t="str">
        <f t="shared" si="13"/>
        <v/>
      </c>
      <c r="AD37" s="37" t="str">
        <f t="shared" si="14"/>
        <v/>
      </c>
      <c r="AE37" s="32" t="str">
        <f>IF(A37="","",VLOOKUP(B37,'Datos Rebisco'!B39:BB76,30,0))</f>
        <v/>
      </c>
      <c r="AF37" s="31" t="str">
        <f t="shared" si="15"/>
        <v/>
      </c>
      <c r="AG37" s="32" t="str">
        <f>IF(A37="","",VLOOKUP(B37,'Datos Rebisco'!B39:BB76,32,0))</f>
        <v/>
      </c>
      <c r="AH37" s="32" t="str">
        <f>IF(A37="","",VLOOKUP(B37,'Datos Rebisco'!B39:BB76,33,0))</f>
        <v/>
      </c>
      <c r="AI37" s="32" t="str">
        <f>IF(A37="","",VLOOKUP(B37,'Datos Rebisco'!B39:BB76,34,0))</f>
        <v/>
      </c>
      <c r="AJ37" s="34" t="str">
        <f t="shared" si="16"/>
        <v/>
      </c>
      <c r="AK37" s="37" t="str">
        <f t="shared" si="17"/>
        <v/>
      </c>
      <c r="AL37" s="37" t="str">
        <f>IF(A37="","",VLOOKUP(B37,'Datos Rebisco'!B39:BB76,37,0))</f>
        <v/>
      </c>
      <c r="AM37" s="36" t="str">
        <f t="shared" si="18"/>
        <v/>
      </c>
      <c r="AN37" s="274" t="str">
        <f>IF(BP37=A37,'Datos Rebisco'!BL39,"")</f>
        <v/>
      </c>
      <c r="AO37" s="32" t="str">
        <f>IF(A37="","",VLOOKUP(B37,'Datos Rebisco'!B39:BF76,39,0))</f>
        <v/>
      </c>
      <c r="AP37" s="36" t="str">
        <f t="shared" si="23"/>
        <v/>
      </c>
      <c r="AQ37" s="32" t="str">
        <f>IF(A37="","",VLOOKUP(B37,'Datos Rebisco'!B39:BH76,41,0))</f>
        <v/>
      </c>
      <c r="AR37" s="32" t="str">
        <f>IF(A37="","",VLOOKUP(B37,'Datos Rebisco'!B39:BI76,42,0))</f>
        <v/>
      </c>
      <c r="AS37" s="32" t="str">
        <f>IF(A37="","",VLOOKUP(B37,'Datos Rebisco'!B39:BJ76,43,0))</f>
        <v/>
      </c>
      <c r="AT37" s="32" t="str">
        <f>IF(A37="","",VLOOKUP(B37,'Datos Rebisco'!B39:BK76,44,0))</f>
        <v/>
      </c>
      <c r="AU37" s="58"/>
      <c r="AV37" s="37" t="str">
        <f t="shared" si="24"/>
        <v/>
      </c>
      <c r="AW37" s="38" t="str">
        <f t="shared" si="19"/>
        <v/>
      </c>
      <c r="AY37" s="180" t="str">
        <f>IF(A37="","",+'Datos Rebisco'!AY39)</f>
        <v/>
      </c>
      <c r="AZ37" s="258" t="str">
        <f t="shared" si="20"/>
        <v/>
      </c>
      <c r="BA37" s="255" t="str">
        <f>IF(A37="","",VLOOKUP(B37,'Datos Rebisco'!B39:BF76,51,0))</f>
        <v/>
      </c>
      <c r="BB37" s="181" t="str">
        <f t="shared" si="21"/>
        <v/>
      </c>
      <c r="BC37" s="180" t="str">
        <f>IF(BP37=A37,'Datos Rebisco'!BL39,"")</f>
        <v/>
      </c>
      <c r="BD37" s="181" t="str">
        <f t="shared" si="25"/>
        <v/>
      </c>
      <c r="BE37" s="29" t="str">
        <f>IF(A37="","",VLOOKUP(B37,'Datos Rebisco'!B39:BF76,53,0))</f>
        <v/>
      </c>
      <c r="BF37" s="28" t="str">
        <f>IF(A37="","",VLOOKUP(B37,'Datos Rebisco'!B39:BF76,54,0))</f>
        <v/>
      </c>
      <c r="BG37" s="28" t="str">
        <f>IF(A37="","",VLOOKUP(B37,'Datos Rebisco'!B39:BF76,55,0))</f>
        <v/>
      </c>
      <c r="BH37" s="28" t="str">
        <f>IF(A37="","",VLOOKUP(B37,'Datos Rebisco'!B39:BF76,51,0))</f>
        <v/>
      </c>
      <c r="BI37" s="28" t="str">
        <f>IF(A37="","",IF(VLOOKUP(B37,'Datos Rebisco'!B39:BF76,52,0)=0%,IF(AO37&gt;1,1,VLOOKUP(B37,'Datos Rebisco'!B39:BF76,52,0))))</f>
        <v/>
      </c>
      <c r="BJ37" s="211" t="str">
        <f>IF(A37="","",VLOOKUP(B37,'Datos Rebisco'!B39:BH76,58,0))</f>
        <v/>
      </c>
      <c r="BK37" s="27" t="str">
        <f>IF(A37="","",VLOOKUP(B37,'Datos Rebisco'!B39:BH76,59,0))</f>
        <v/>
      </c>
      <c r="BL37" s="29" t="str">
        <f>IF(A37="","",VLOOKUP(B37,'Datos Rebisco'!B39:BF76,55,0))</f>
        <v/>
      </c>
      <c r="BM37" s="181" t="str">
        <f>IF(A37="","",VLOOKUP(B37,'Datos Rebisco'!B39:BF76,56,0))</f>
        <v/>
      </c>
      <c r="BN37" s="266" t="str">
        <f>IF(A37="","",IF(VLOOKUP(B37,'Datos Rebisco'!B39:BF76,57,0)=0,IF(AO37&gt;1,1,VLOOKUP(B37,'Datos Rebisco'!B39:BF76,57,0))))</f>
        <v/>
      </c>
      <c r="BO37" s="59"/>
      <c r="BP37" s="190" t="str">
        <f>+'Biyemas S.A.'!BP37</f>
        <v xml:space="preserve">Lun/Mon    </v>
      </c>
    </row>
    <row r="38" spans="1:76" ht="12" customHeight="1" thickBot="1" x14ac:dyDescent="0.25">
      <c r="A38" s="204"/>
      <c r="B38" s="200"/>
      <c r="C38" s="31"/>
      <c r="D38" s="37"/>
      <c r="E38" s="32"/>
      <c r="F38" s="32"/>
      <c r="G38" s="32"/>
      <c r="H38" s="33"/>
      <c r="I38" s="33"/>
      <c r="J38" s="34"/>
      <c r="K38" s="31"/>
      <c r="L38" s="37"/>
      <c r="M38" s="32"/>
      <c r="N38" s="32"/>
      <c r="O38" s="32"/>
      <c r="P38" s="33"/>
      <c r="Q38" s="33"/>
      <c r="R38" s="34"/>
      <c r="S38" s="31"/>
      <c r="T38" s="207"/>
      <c r="U38" s="35"/>
      <c r="V38" s="37"/>
      <c r="W38" s="32"/>
      <c r="X38" s="32"/>
      <c r="Y38" s="32"/>
      <c r="Z38" s="32"/>
      <c r="AA38" s="32"/>
      <c r="AB38" s="32"/>
      <c r="AC38" s="31"/>
      <c r="AD38" s="37"/>
      <c r="AE38" s="32"/>
      <c r="AF38" s="31"/>
      <c r="AG38" s="32"/>
      <c r="AH38" s="32"/>
      <c r="AI38" s="32"/>
      <c r="AJ38" s="34"/>
      <c r="AK38" s="37"/>
      <c r="AL38" s="242"/>
      <c r="AM38" s="243"/>
      <c r="AN38" s="274">
        <f>IF(BP38=A38,'Datos Rebisco'!BL40,"")</f>
        <v>0</v>
      </c>
      <c r="AO38" s="32"/>
      <c r="AP38" s="36"/>
      <c r="AQ38" s="32" t="str">
        <f>IF(A38="","",VLOOKUP(B38,'Datos Rebisco'!B40:BH77,41,0))</f>
        <v/>
      </c>
      <c r="AR38" s="32" t="str">
        <f>IF(A38="","",VLOOKUP(B38,'Datos Rebisco'!B40:BI77,42,0))</f>
        <v/>
      </c>
      <c r="AS38" s="32" t="str">
        <f>IF(A38="","",VLOOKUP(B38,'Datos Rebisco'!B40:BJ77,43,0))</f>
        <v/>
      </c>
      <c r="AT38" s="32" t="str">
        <f>IF(A38="","",VLOOKUP(B38,'Datos Rebisco'!B40:BK77,44,0))</f>
        <v/>
      </c>
      <c r="AU38" s="58"/>
      <c r="AV38" s="37"/>
      <c r="AW38" s="38"/>
      <c r="AY38" s="180" t="str">
        <f>IF(A38="","",+'Datos Rebisco'!AY40)</f>
        <v/>
      </c>
      <c r="AZ38" s="258" t="str">
        <f t="shared" si="20"/>
        <v/>
      </c>
      <c r="BA38" s="256" t="str">
        <f>IF(A38="","",VLOOKUP(B38,'Datos Rebisco'!B40:BF77,51,0))</f>
        <v/>
      </c>
      <c r="BB38" s="181" t="str">
        <f t="shared" si="21"/>
        <v/>
      </c>
      <c r="BC38" s="212">
        <f>IF(BP38=A38,'Datos Rebisco'!BL40,"")</f>
        <v>0</v>
      </c>
      <c r="BD38" s="215"/>
      <c r="BE38" s="29" t="str">
        <f>IF(A38="","",VLOOKUP(B38,'Datos Rebisco'!B40:BF77,53,0))</f>
        <v/>
      </c>
      <c r="BF38" s="28" t="str">
        <f>IF(A38="","",VLOOKUP(B38,'Datos Rebisco'!B40:BF77,54,0))</f>
        <v/>
      </c>
      <c r="BG38" s="28" t="str">
        <f>IF(A38="","",VLOOKUP(B38,'Datos Rebisco'!B40:BF77,55,0))</f>
        <v/>
      </c>
      <c r="BH38" s="28"/>
      <c r="BI38" s="28"/>
      <c r="BJ38" s="212" t="str">
        <f>IF(A38="","",VLOOKUP(B38,'Datos Rebisco'!B40:BH77,58,0))</f>
        <v/>
      </c>
      <c r="BK38" s="213" t="str">
        <f>IF(A38="","",VLOOKUP(B38,'Datos Rebisco'!B40:BH77,59,0))</f>
        <v/>
      </c>
      <c r="BL38" s="214"/>
      <c r="BM38" s="215"/>
      <c r="BN38" s="267"/>
      <c r="BO38" s="198"/>
    </row>
    <row r="39" spans="1:76" s="2" customFormat="1" ht="12.75" customHeight="1" thickBot="1" x14ac:dyDescent="0.25">
      <c r="A39" s="205" t="s">
        <v>15</v>
      </c>
      <c r="B39" s="129" t="s">
        <v>4</v>
      </c>
      <c r="C39" s="130">
        <f>SUM(C7:C38)</f>
        <v>0</v>
      </c>
      <c r="D39" s="132"/>
      <c r="E39" s="133">
        <f>SUM(E7:E38)</f>
        <v>0</v>
      </c>
      <c r="F39" s="133">
        <f>SUM(F7:F38)</f>
        <v>0</v>
      </c>
      <c r="G39" s="133">
        <f>SUM(G7:G38)</f>
        <v>0</v>
      </c>
      <c r="H39" s="134"/>
      <c r="I39" s="47"/>
      <c r="J39" s="135"/>
      <c r="K39" s="130" t="s">
        <v>1</v>
      </c>
      <c r="L39" s="132"/>
      <c r="M39" s="133">
        <f>SUM(M7:M38)</f>
        <v>0</v>
      </c>
      <c r="N39" s="133">
        <f>SUM(N7:N38)</f>
        <v>0</v>
      </c>
      <c r="O39" s="133">
        <f>SUM(O7:O38)</f>
        <v>0</v>
      </c>
      <c r="P39" s="134"/>
      <c r="Q39" s="134"/>
      <c r="R39" s="136"/>
      <c r="S39" s="50"/>
      <c r="T39" s="208"/>
      <c r="U39" s="208"/>
      <c r="V39" s="132"/>
      <c r="W39" s="133">
        <f>SUM(W7:W38)</f>
        <v>0</v>
      </c>
      <c r="X39" s="133">
        <f>SUM(X7:X38)</f>
        <v>0</v>
      </c>
      <c r="Y39" s="133">
        <f>SUM(Y7:Y38)</f>
        <v>0</v>
      </c>
      <c r="Z39" s="134"/>
      <c r="AA39" s="47"/>
      <c r="AB39" s="135"/>
      <c r="AC39" s="130" t="s">
        <v>1</v>
      </c>
      <c r="AD39" s="132">
        <f t="shared" ref="AD39:AI39" si="26">SUM(AD7:AD38)</f>
        <v>0</v>
      </c>
      <c r="AE39" s="133">
        <f>SUM(AE7:AE38)</f>
        <v>0</v>
      </c>
      <c r="AF39" s="130">
        <f t="shared" si="26"/>
        <v>0</v>
      </c>
      <c r="AG39" s="48">
        <f t="shared" si="26"/>
        <v>0</v>
      </c>
      <c r="AH39" s="48">
        <f t="shared" si="26"/>
        <v>0</v>
      </c>
      <c r="AI39" s="48">
        <f t="shared" si="26"/>
        <v>0</v>
      </c>
      <c r="AJ39" s="136"/>
      <c r="AK39" s="208">
        <f>SUM(AK7:AK38)</f>
        <v>0</v>
      </c>
      <c r="AL39" s="275">
        <f>SUM(AL7:AL38)</f>
        <v>0</v>
      </c>
      <c r="AM39" s="276"/>
      <c r="AN39" s="51">
        <f>SUM(AN7:AN38)</f>
        <v>0</v>
      </c>
      <c r="AO39" s="48">
        <f>SUM(AO7:AO38)</f>
        <v>0</v>
      </c>
      <c r="AP39" s="48">
        <f>SUM(AP7:AP38)</f>
        <v>0</v>
      </c>
      <c r="AQ39" s="51"/>
      <c r="AR39" s="48"/>
      <c r="AS39" s="48"/>
      <c r="AT39" s="48"/>
      <c r="AU39" s="50"/>
      <c r="AV39" s="51">
        <f>SUM(AV7:AV38)</f>
        <v>0</v>
      </c>
      <c r="AW39" s="49"/>
      <c r="AY39" s="175" t="e">
        <f>SUM(AY7:AY38)/COUNT(AY7:AY38)</f>
        <v>#DIV/0!</v>
      </c>
      <c r="AZ39" s="259" t="e">
        <f>AY39-AZ6</f>
        <v>#DIV/0!</v>
      </c>
      <c r="BA39" s="175">
        <f>SUM(BA7:BA38)</f>
        <v>0</v>
      </c>
      <c r="BB39" s="171">
        <f>IF($AK39&gt;0,(C39-($BA39))/($BA$39),0)</f>
        <v>0</v>
      </c>
      <c r="BC39" s="175">
        <f>SUM(BC7:BC38)</f>
        <v>0</v>
      </c>
      <c r="BD39" s="171"/>
      <c r="BE39" s="222" t="e">
        <f>VLOOKUP("Total final",'Datos Rebisco'!A9:BF142,54,0)</f>
        <v>#N/A</v>
      </c>
      <c r="BF39" s="173" t="e">
        <f>VLOOKUP("Total final",'Datos Rebisco'!A9:BF142,55,0)</f>
        <v>#N/A</v>
      </c>
      <c r="BG39" s="173" t="e">
        <f>VLOOKUP("Total final",'Datos Rebisco'!A9:BF142,56,0)</f>
        <v>#N/A</v>
      </c>
      <c r="BH39" s="174" t="e">
        <f>VLOOKUP("Total final",'Datos Rebisco'!A9:BF142,52,0)</f>
        <v>#N/A</v>
      </c>
      <c r="BI39" s="174" t="e">
        <f>IF(VLOOKUP("Total final",'Datos Rebisco'!A9:BF142,53,0)=0,IF(AO39&gt;1,1,VLOOKUP("Total final",'Datos Rebisco'!A9:BF142,53,0)))</f>
        <v>#N/A</v>
      </c>
      <c r="BJ39" s="169" t="e">
        <f>VLOOKUP("Total final",'Datos Rebisco'!A9:BH142,59,0)</f>
        <v>#N/A</v>
      </c>
      <c r="BK39" s="170" t="e">
        <f>VLOOKUP("Total final",'Datos Rebisco'!A9:BH142,60,0)</f>
        <v>#N/A</v>
      </c>
      <c r="BL39" s="170" t="e">
        <f>VLOOKUP("Total final",'Datos Rebisco'!A9:BF142,56,0)</f>
        <v>#N/A</v>
      </c>
      <c r="BM39" s="171" t="e">
        <f>VLOOKUP("Total final",'Datos Rebisco'!A9:BF142,57,0)</f>
        <v>#N/A</v>
      </c>
      <c r="BN39" s="271" t="e">
        <f>IF(VLOOKUP("Total final",'Datos Rebisco'!A9:BF142,58,0)=0,IF(AO39&gt;1,1,VLOOKUP("Total final",'Datos Rebisco'!A9:BF142,58,0)))</f>
        <v>#N/A</v>
      </c>
      <c r="BO39" s="199"/>
    </row>
    <row r="40" spans="1:76" ht="12" thickBot="1" x14ac:dyDescent="0.25">
      <c r="A40" s="131" t="s">
        <v>26</v>
      </c>
      <c r="B40" s="129"/>
      <c r="C40" s="130" t="e">
        <f>VLOOKUP("MTD Average",'Datos Rebisco'!A9:BB142,3,0)</f>
        <v>#N/A</v>
      </c>
      <c r="D40" s="132" t="e">
        <f>VLOOKUP("MTD Average",'Datos Rebisco'!A9:BB142,4,0)</f>
        <v>#N/A</v>
      </c>
      <c r="E40" s="133" t="e">
        <f>VLOOKUP("MTD Average",'Datos Rebisco'!A9:BB142,5,0)</f>
        <v>#N/A</v>
      </c>
      <c r="F40" s="133" t="e">
        <f>VLOOKUP("MTD Average",'Datos Rebisco'!A9:BB142,6,0)</f>
        <v>#N/A</v>
      </c>
      <c r="G40" s="133" t="e">
        <f>VLOOKUP("MTD Average",'Datos Rebisco'!A9:BB142,7,0)</f>
        <v>#N/A</v>
      </c>
      <c r="H40" s="134" t="e">
        <f>+G40/E40</f>
        <v>#N/A</v>
      </c>
      <c r="I40" s="47" t="e">
        <f>+G40/F40</f>
        <v>#N/A</v>
      </c>
      <c r="J40" s="135" t="e">
        <f>+G40/C40</f>
        <v>#N/A</v>
      </c>
      <c r="K40" s="130" t="e">
        <f>+G40/D40</f>
        <v>#N/A</v>
      </c>
      <c r="L40" s="132" t="e">
        <f>VLOOKUP("MTD Average",'Datos Rebisco'!A9:BB142,12,0)</f>
        <v>#N/A</v>
      </c>
      <c r="M40" s="133" t="e">
        <f>VLOOKUP("MTD Average",'Datos Rebisco'!A9:BB142,13,0)</f>
        <v>#N/A</v>
      </c>
      <c r="N40" s="133" t="e">
        <f>VLOOKUP("MTD Average",'Datos Rebisco'!A9:BB142,14,0)</f>
        <v>#N/A</v>
      </c>
      <c r="O40" s="133" t="e">
        <f>VLOOKUP("MTD Average",'Datos Rebisco'!A9:BB142,15,0)</f>
        <v>#N/A</v>
      </c>
      <c r="P40" s="134" t="e">
        <f>+O40/M40</f>
        <v>#N/A</v>
      </c>
      <c r="Q40" s="134" t="e">
        <f>+O40/N40</f>
        <v>#N/A</v>
      </c>
      <c r="R40" s="136" t="e">
        <f>+O40/C40</f>
        <v>#N/A</v>
      </c>
      <c r="S40" s="50" t="e">
        <f>+O40/L40</f>
        <v>#N/A</v>
      </c>
      <c r="T40" s="208" t="e">
        <f>SUM(T7:T37)/$D$1</f>
        <v>#DIV/0!</v>
      </c>
      <c r="U40" s="208" t="e">
        <f>SUM(U7:U37)/$D$1</f>
        <v>#DIV/0!</v>
      </c>
      <c r="V40" s="132" t="e">
        <f>VLOOKUP("MTD Average",'Datos Rebisco'!A9:BB142,22,0)</f>
        <v>#N/A</v>
      </c>
      <c r="W40" s="133" t="e">
        <f>VLOOKUP("MTD Average",'Datos Rebisco'!A9:BB142,23,0)</f>
        <v>#N/A</v>
      </c>
      <c r="X40" s="133" t="e">
        <f>VLOOKUP("MTD Average",'Datos Rebisco'!A9:BB142,24,0)</f>
        <v>#N/A</v>
      </c>
      <c r="Y40" s="133" t="e">
        <f>VLOOKUP("MTD Average",'Datos Rebisco'!A9:BB142,25,0)</f>
        <v>#N/A</v>
      </c>
      <c r="Z40" s="134" t="e">
        <f>+Y40/W40</f>
        <v>#N/A</v>
      </c>
      <c r="AA40" s="47" t="e">
        <f>+Y40/X40</f>
        <v>#N/A</v>
      </c>
      <c r="AB40" s="135" t="e">
        <f>+Y40/K40</f>
        <v>#N/A</v>
      </c>
      <c r="AC40" s="130" t="e">
        <f>+Y40/V40</f>
        <v>#N/A</v>
      </c>
      <c r="AD40" s="132" t="e">
        <f>VLOOKUP("MTD Average",'Datos Rebisco'!A9:BB142,30,0)</f>
        <v>#N/A</v>
      </c>
      <c r="AE40" s="133" t="e">
        <f>VLOOKUP("MTD Average",'Datos Rebisco'!A9:BB142,31,0)</f>
        <v>#N/A</v>
      </c>
      <c r="AF40" s="130" t="e">
        <f>VLOOKUP("MTD Average",'Datos Rebisco'!A9:BB142,32,0)</f>
        <v>#N/A</v>
      </c>
      <c r="AG40" s="48" t="e">
        <f>VLOOKUP("MTD Average",'Datos Rebisco'!A9:BB142,33,0)</f>
        <v>#N/A</v>
      </c>
      <c r="AH40" s="48" t="e">
        <f>VLOOKUP("MTD Average",'Datos Rebisco'!A9:BB142,34,0)</f>
        <v>#N/A</v>
      </c>
      <c r="AI40" s="133" t="e">
        <f>VLOOKUP("MTD Average",'Datos Rebisco'!A9:BB142,35,0)</f>
        <v>#N/A</v>
      </c>
      <c r="AJ40" s="136" t="e">
        <f>+AI40/C40</f>
        <v>#N/A</v>
      </c>
      <c r="AK40" s="208" t="e">
        <f>VLOOKUP("MTD Average",'Datos Rebisco'!A9:BB142,37,0)</f>
        <v>#N/A</v>
      </c>
      <c r="AL40" s="51" t="e">
        <f>VLOOKUP("MTD Average",'Datos Rebisco'!A9:BB142,38,0)</f>
        <v>#N/A</v>
      </c>
      <c r="AM40" s="52" t="e">
        <f>+AL40/C40</f>
        <v>#N/A</v>
      </c>
      <c r="AN40" s="132">
        <f>+AVERAGE(AN7:AN38)</f>
        <v>0</v>
      </c>
      <c r="AO40" s="133" t="e">
        <f>+AVERAGE(AO7:AO38)</f>
        <v>#DIV/0!</v>
      </c>
      <c r="AP40" s="52" t="e">
        <f>+AO40/AN40</f>
        <v>#DIV/0!</v>
      </c>
      <c r="AQ40" s="206"/>
      <c r="AR40" s="206"/>
      <c r="AS40" s="206"/>
      <c r="AT40" s="206"/>
      <c r="AU40" s="206"/>
      <c r="AV40" s="51" t="e">
        <f>VLOOKUP("MTD Average",'Datos Rebisco'!A9:BB142,47,0)</f>
        <v>#N/A</v>
      </c>
      <c r="AW40" s="49" t="e">
        <f>+AV40/C40</f>
        <v>#N/A</v>
      </c>
      <c r="AY40" s="32"/>
      <c r="BB40" s="61" t="s">
        <v>48</v>
      </c>
      <c r="BC40" s="61"/>
      <c r="BD40" s="61"/>
      <c r="BE40" s="62" t="e">
        <f>+AV40</f>
        <v>#N/A</v>
      </c>
      <c r="BF40" s="62" t="e">
        <f>+AD40</f>
        <v>#N/A</v>
      </c>
      <c r="BG40" s="62" t="e">
        <f>+AI40</f>
        <v>#N/A</v>
      </c>
      <c r="BH40" s="62" t="e">
        <f>+AL40</f>
        <v>#N/A</v>
      </c>
      <c r="BI40" s="62"/>
      <c r="BJ40" s="280" t="e">
        <f>(1+BJ39)*BJ6</f>
        <v>#N/A</v>
      </c>
      <c r="BK40" s="63" t="e">
        <f>(1+BK39)*BK6</f>
        <v>#N/A</v>
      </c>
      <c r="BL40" s="63" t="e">
        <f>(1+BL39)*BL6</f>
        <v>#N/A</v>
      </c>
      <c r="BM40" s="63" t="e">
        <f>(1+BM39)*BM6</f>
        <v>#N/A</v>
      </c>
      <c r="BN40" s="63"/>
    </row>
    <row r="41" spans="1:76" ht="13.5" thickBot="1" x14ac:dyDescent="0.25">
      <c r="B41" s="55"/>
      <c r="C41" s="32"/>
      <c r="D41" s="32"/>
      <c r="E41" s="32"/>
      <c r="F41" s="32"/>
      <c r="G41" s="32"/>
      <c r="H41" s="33"/>
      <c r="I41" s="33"/>
      <c r="J41" s="34"/>
      <c r="K41" s="32"/>
      <c r="L41" s="32"/>
      <c r="M41" s="32"/>
      <c r="N41" s="32"/>
      <c r="O41" s="32"/>
      <c r="P41" s="33"/>
      <c r="Q41" s="33"/>
      <c r="R41" s="34" t="s">
        <v>4</v>
      </c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4"/>
      <c r="AK41" s="32"/>
      <c r="AL41" s="32"/>
      <c r="AM41" s="58"/>
      <c r="AN41" s="58"/>
      <c r="AO41" s="32"/>
      <c r="AP41" s="58"/>
      <c r="AQ41" s="58"/>
      <c r="AR41" s="58"/>
      <c r="AS41" s="58"/>
      <c r="AT41" s="58"/>
      <c r="AU41" s="58"/>
      <c r="AV41" s="32"/>
      <c r="AW41" s="34"/>
      <c r="BB41" s="60" t="s">
        <v>49</v>
      </c>
      <c r="BC41" s="60"/>
      <c r="BD41" s="60"/>
      <c r="BE41" s="64" t="e">
        <f>HLOOKUP(BP41,'Datos Rebisco'!AX7:BB110,COUNT(BF7:BF38)+5,0)</f>
        <v>#N/A</v>
      </c>
      <c r="BF41" s="64" t="e">
        <f>HLOOKUP(BQ41,'Datos Rebisco'!AY7:BC110,COUNT(BG7:BG38)+5,0)</f>
        <v>#N/A</v>
      </c>
      <c r="BG41" s="64" t="e">
        <f>HLOOKUP(BR41,'Datos Rebisco'!AZ7:BD110,COUNT(BH7:BH38)+5,0)</f>
        <v>#N/A</v>
      </c>
      <c r="BH41" s="64" t="e">
        <f>HLOOKUP(BS41,'Datos Rebisco'!BA7:BE110,COUNT(BI7:BI38)+5,0)</f>
        <v>#N/A</v>
      </c>
      <c r="BI41" s="64"/>
      <c r="BJ41" s="65" t="e">
        <f>HLOOKUP(BT41,'Datos Rebisco'!BB7:BF138,COUNT(BF7:BF38)+5,0)</f>
        <v>#N/A</v>
      </c>
      <c r="BK41" s="65" t="e">
        <f>HLOOKUP(BU41,'Datos Rebisco'!BB7:BF215,COUNT(BF7:BF38)+5,0)</f>
        <v>#N/A</v>
      </c>
      <c r="BL41" s="65" t="e">
        <f>HLOOKUP(BV41,'Datos Rebisco'!BB7:BF215,COUNT(BF7:BF38)+5,0)</f>
        <v>#N/A</v>
      </c>
      <c r="BM41" s="65" t="e">
        <f>HLOOKUP(BW41,'Datos Rebisco'!BB7:BF215,COUNT(BF7:BF38)+5,0)</f>
        <v>#N/A</v>
      </c>
      <c r="BN41" s="65"/>
      <c r="BP41" t="s">
        <v>97</v>
      </c>
      <c r="BQ41" s="39" t="s">
        <v>42</v>
      </c>
      <c r="BR41" s="39" t="s">
        <v>98</v>
      </c>
      <c r="BS41" s="39" t="s">
        <v>99</v>
      </c>
      <c r="BT41" s="39" t="s">
        <v>97</v>
      </c>
      <c r="BU41" s="39" t="s">
        <v>42</v>
      </c>
      <c r="BV41" s="39" t="s">
        <v>98</v>
      </c>
      <c r="BW41" s="39" t="s">
        <v>100</v>
      </c>
      <c r="BX41" s="39" t="s">
        <v>120</v>
      </c>
    </row>
    <row r="42" spans="1:76" ht="13.5" thickTop="1" x14ac:dyDescent="0.2">
      <c r="B42" s="55"/>
      <c r="C42" s="32"/>
      <c r="D42" s="32"/>
      <c r="E42" s="32"/>
      <c r="F42" s="32"/>
      <c r="G42" s="166"/>
      <c r="H42" s="56"/>
      <c r="I42" s="33"/>
      <c r="J42" s="34"/>
      <c r="K42" s="32"/>
      <c r="L42" s="32"/>
      <c r="M42" s="32"/>
      <c r="N42" s="32"/>
      <c r="O42" s="32"/>
      <c r="P42" s="56"/>
      <c r="Q42" s="56"/>
      <c r="R42" s="34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4"/>
      <c r="AK42" s="32"/>
      <c r="AL42" s="32"/>
      <c r="AM42" s="58"/>
      <c r="AN42" s="58"/>
      <c r="AO42" s="32"/>
      <c r="AP42" s="58"/>
      <c r="AQ42" s="58"/>
      <c r="AR42" s="58"/>
      <c r="AS42" s="58"/>
      <c r="AT42" s="58"/>
      <c r="AU42" s="58"/>
      <c r="AV42" s="32"/>
      <c r="AW42" s="34"/>
      <c r="BB42" s="60"/>
      <c r="BC42" s="60"/>
      <c r="BD42" s="60"/>
      <c r="BE42" s="113"/>
      <c r="BF42" s="113"/>
      <c r="BG42" s="113"/>
      <c r="BH42" s="113"/>
      <c r="BI42" s="113"/>
      <c r="BJ42" s="119"/>
      <c r="BK42" s="119"/>
      <c r="BL42" s="119"/>
      <c r="BM42" s="119"/>
      <c r="BN42" s="29"/>
    </row>
    <row r="43" spans="1:76" x14ac:dyDescent="0.2">
      <c r="B43" s="55"/>
      <c r="C43" s="32"/>
      <c r="D43" s="32"/>
      <c r="E43" s="32"/>
      <c r="F43" s="32"/>
      <c r="G43" s="32"/>
      <c r="H43" s="56"/>
      <c r="I43" s="33"/>
      <c r="J43" s="34"/>
      <c r="K43" s="32"/>
      <c r="L43" s="32"/>
      <c r="M43" s="32"/>
      <c r="N43" s="32"/>
      <c r="O43" s="32"/>
      <c r="P43" s="56"/>
      <c r="Q43" s="56"/>
      <c r="R43" s="34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4"/>
      <c r="AK43" s="32"/>
      <c r="AL43" s="32"/>
      <c r="AM43" s="58"/>
      <c r="AN43" s="58"/>
      <c r="AO43" s="32"/>
      <c r="AP43" s="58"/>
      <c r="AQ43" s="58"/>
      <c r="AR43" s="58"/>
      <c r="AS43" s="58"/>
      <c r="AT43" s="58"/>
      <c r="AU43" s="58"/>
      <c r="AV43" s="32"/>
      <c r="AW43" s="34"/>
      <c r="BB43" s="60"/>
      <c r="BC43" s="60"/>
      <c r="BD43" s="60"/>
      <c r="BE43" s="113"/>
      <c r="BF43" s="113"/>
      <c r="BG43" s="113"/>
      <c r="BH43" s="113"/>
      <c r="BI43" s="113"/>
      <c r="BJ43" s="119"/>
      <c r="BK43" s="119"/>
      <c r="BL43" s="119"/>
      <c r="BM43" s="119"/>
      <c r="BN43" s="29"/>
    </row>
    <row r="44" spans="1:76" ht="12" thickBot="1" x14ac:dyDescent="0.25">
      <c r="A44" s="234" t="str">
        <f>+'Biyemas S.A.'!A44</f>
        <v>Reporte Flash Julio 2026</v>
      </c>
      <c r="B44" s="235"/>
      <c r="C44" s="235"/>
      <c r="D44" s="32"/>
      <c r="E44" s="32"/>
      <c r="F44" s="32"/>
      <c r="G44" s="32"/>
      <c r="H44" s="56"/>
      <c r="I44" s="33"/>
      <c r="J44" s="34"/>
      <c r="K44" s="57"/>
      <c r="L44" s="32"/>
      <c r="M44" s="32"/>
      <c r="N44" s="32"/>
      <c r="O44" s="32"/>
      <c r="P44" s="56"/>
      <c r="Q44" s="56"/>
      <c r="R44" s="34"/>
      <c r="S44" s="32"/>
      <c r="T44" s="32"/>
      <c r="U44" s="32"/>
      <c r="V44" s="32"/>
      <c r="W44" s="32"/>
      <c r="X44" s="32"/>
      <c r="Y44" s="32"/>
      <c r="Z44" s="57"/>
      <c r="AA44" s="57"/>
      <c r="AB44" s="57"/>
      <c r="AC44" s="57"/>
      <c r="AD44" s="57"/>
      <c r="AE44" s="57"/>
      <c r="AF44" s="57"/>
      <c r="AG44" s="32"/>
      <c r="AH44" s="32"/>
      <c r="AI44" s="32"/>
      <c r="AJ44" s="34"/>
      <c r="AK44" s="32"/>
      <c r="AL44" s="32"/>
      <c r="AM44" s="58"/>
      <c r="AN44" s="58"/>
      <c r="AO44" s="32"/>
      <c r="AP44" s="58"/>
      <c r="AQ44" s="58"/>
      <c r="AR44" s="58"/>
      <c r="AS44" s="58"/>
      <c r="AT44" s="58"/>
      <c r="AU44" s="58"/>
      <c r="AV44" s="59"/>
      <c r="AW44" s="34"/>
      <c r="AX44" s="34"/>
      <c r="AY44" s="34"/>
      <c r="BB44" s="60"/>
      <c r="BC44" s="60"/>
      <c r="BD44" s="60"/>
      <c r="BE44" s="60"/>
      <c r="BF44" s="60"/>
      <c r="BG44" s="60"/>
      <c r="BH44" s="60"/>
      <c r="BI44" s="60"/>
      <c r="BJ44" s="114"/>
      <c r="BK44" s="114"/>
      <c r="BL44" s="114"/>
      <c r="BM44" s="114"/>
      <c r="BN44" s="214"/>
    </row>
    <row r="45" spans="1:76" ht="13.5" customHeight="1" thickBot="1" x14ac:dyDescent="0.25">
      <c r="A45" s="92" t="s">
        <v>15</v>
      </c>
      <c r="B45" s="93" t="s">
        <v>4</v>
      </c>
      <c r="C45" s="94" t="e">
        <f>VLOOKUP(+BP45,'Datos Rebisco'!A9:BB145,3,0)</f>
        <v>#N/A</v>
      </c>
      <c r="D45" s="94"/>
      <c r="E45" s="94" t="e">
        <f>VLOOKUP(+BP45,'Datos Rebisco'!A9:BB145,5,0)</f>
        <v>#N/A</v>
      </c>
      <c r="F45" s="94" t="e">
        <f>VLOOKUP(+BP45,'Datos Rebisco'!A9:BB145,6,0)</f>
        <v>#N/A</v>
      </c>
      <c r="G45" s="94" t="e">
        <f>VLOOKUP(+BP45,'Datos Rebisco'!A9:BB145,7,0)</f>
        <v>#N/A</v>
      </c>
      <c r="H45" s="95"/>
      <c r="I45" s="96"/>
      <c r="J45" s="97"/>
      <c r="K45" s="94" t="s">
        <v>1</v>
      </c>
      <c r="L45" s="98"/>
      <c r="M45" s="94" t="e">
        <f>VLOOKUP(+BP45,'Datos Rebisco'!A9:BB145,13,0)</f>
        <v>#N/A</v>
      </c>
      <c r="N45" s="94" t="e">
        <f>VLOOKUP(+BP45,'Datos Rebisco'!A9:BB145,14,0)</f>
        <v>#N/A</v>
      </c>
      <c r="O45" s="94" t="e">
        <f>VLOOKUP(+BP45,'Datos Rebisco'!A9:BB145,15,0)</f>
        <v>#N/A</v>
      </c>
      <c r="P45" s="95"/>
      <c r="Q45" s="95"/>
      <c r="R45" s="99"/>
      <c r="S45" s="100"/>
      <c r="T45" s="101"/>
      <c r="U45" s="102"/>
      <c r="V45" s="94"/>
      <c r="W45" s="94" t="e">
        <f>VLOOKUP(+BP45,'Datos Rebisco'!A9:BB145,23,0)</f>
        <v>#N/A</v>
      </c>
      <c r="X45" s="94" t="e">
        <f>VLOOKUP(+BP45,'Datos Rebisco'!A9:BB145,24,0)</f>
        <v>#N/A</v>
      </c>
      <c r="Y45" s="94" t="e">
        <f>VLOOKUP(+BP45,'Datos Rebisco'!A9:BB145,25,0)</f>
        <v>#N/A</v>
      </c>
      <c r="Z45" s="94"/>
      <c r="AA45" s="94"/>
      <c r="AB45" s="94"/>
      <c r="AC45" s="94"/>
      <c r="AD45" s="98" t="e">
        <f>VLOOKUP(+BP45,'Datos Rebisco'!A9:BB145,30,0)</f>
        <v>#N/A</v>
      </c>
      <c r="AE45" s="94" t="e">
        <f>VLOOKUP(+BP45,'Datos Rebisco'!A9:BB145,31,0)</f>
        <v>#N/A</v>
      </c>
      <c r="AF45" s="141" t="e">
        <f>VLOOKUP(+BP45,'Datos Rebisco'!A9:BB145,32,0)</f>
        <v>#N/A</v>
      </c>
      <c r="AG45" s="98" t="e">
        <f>VLOOKUP(+BP45,'Datos Rebisco'!A9:BB145,33,0)</f>
        <v>#N/A</v>
      </c>
      <c r="AH45" s="94" t="e">
        <f>VLOOKUP(+BP45,'Datos Rebisco'!A9:BB145,34,0)</f>
        <v>#N/A</v>
      </c>
      <c r="AI45" s="94" t="e">
        <f>VLOOKUP(+BP45,'Datos Rebisco'!A9:BB145,35,0)</f>
        <v>#N/A</v>
      </c>
      <c r="AJ45" s="103"/>
      <c r="AK45" s="138" t="e">
        <f>VLOOKUP(+BP45,'Datos Rebisco'!A9:BB145,37,0)</f>
        <v>#N/A</v>
      </c>
      <c r="AL45" s="98" t="e">
        <f>VLOOKUP(+BP45,'Datos Rebisco'!A9:BB145,38,0)</f>
        <v>#N/A</v>
      </c>
      <c r="AM45" s="142"/>
      <c r="AN45" s="51" t="e">
        <f>VLOOKUP(+BP45,'Datos Rebisco'!A9:BL145,64,0)</f>
        <v>#N/A</v>
      </c>
      <c r="AO45" s="133" t="e">
        <f>VLOOKUP(+BP45,'Datos Rebisco'!A9:BF145,40,0)</f>
        <v>#N/A</v>
      </c>
      <c r="AP45" s="52"/>
      <c r="AQ45" s="206"/>
      <c r="AR45" s="206"/>
      <c r="AS45" s="206"/>
      <c r="AT45" s="206"/>
      <c r="AU45" s="206"/>
      <c r="AV45" s="94" t="e">
        <f>VLOOKUP(+BP45,'Datos Rebisco'!A9:BF145,47,0)</f>
        <v>#N/A</v>
      </c>
      <c r="AW45" s="103"/>
      <c r="BA45" s="175" t="e">
        <f>VLOOKUP(+BP45,'Datos Rebisco'!A9:BF145,47,0)</f>
        <v>#N/A</v>
      </c>
      <c r="BB45" s="171" t="e">
        <f>IF($AK45&gt;0,(C45-($BA45))/($BA$45),0)</f>
        <v>#N/A</v>
      </c>
      <c r="BC45" s="175" t="e">
        <f>VLOOKUP(+BP45,'Datos Rebisco'!A9:BH145,60,0)</f>
        <v>#N/A</v>
      </c>
      <c r="BD45" s="171"/>
      <c r="BE45" s="222" t="e">
        <f>VLOOKUP(+BP45,'Datos Rebisco'!A9:BF145,54,0)</f>
        <v>#N/A</v>
      </c>
      <c r="BF45" s="173" t="e">
        <f>VLOOKUP(+BP45,'Datos Rebisco'!A9:BF145,55,0)</f>
        <v>#N/A</v>
      </c>
      <c r="BG45" s="173" t="e">
        <f>VLOOKUP(+BP45,'Datos Rebisco'!A9:BB145,51,0)</f>
        <v>#N/A</v>
      </c>
      <c r="BH45" s="223" t="e">
        <f>VLOOKUP(+BP45,'Datos Rebisco'!A9:BB145,52,0)</f>
        <v>#N/A</v>
      </c>
      <c r="BI45" s="173"/>
      <c r="BJ45" s="169" t="e">
        <f>VLOOKUP(+BP45,'Datos Rebisco'!A9:BH145,59,0)</f>
        <v>#N/A</v>
      </c>
      <c r="BK45" s="170" t="e">
        <f>VLOOKUP(+BP45,'Datos Rebisco'!A9:BH145,60,0)</f>
        <v>#N/A</v>
      </c>
      <c r="BL45" s="170" t="e">
        <f>VLOOKUP(+BP45,'Datos Rebisco'!A9:BF145,56,0)</f>
        <v>#N/A</v>
      </c>
      <c r="BM45" s="171" t="e">
        <f>VLOOKUP(+BP45,'Datos Rebisco'!A9:BF145,57,0)</f>
        <v>#N/A</v>
      </c>
      <c r="BN45" s="271"/>
      <c r="BP45" s="39" t="s">
        <v>106</v>
      </c>
    </row>
    <row r="46" spans="1:76" ht="12" thickBot="1" x14ac:dyDescent="0.25">
      <c r="A46" s="88" t="s">
        <v>26</v>
      </c>
      <c r="B46" s="83"/>
      <c r="C46" s="91" t="e">
        <f>VLOOKUP(+BP46,'Datos Rebisco'!A9:BB145,3,0)</f>
        <v>#N/A</v>
      </c>
      <c r="D46" s="84" t="e">
        <f>VLOOKUP(+BP46,'Datos Rebisco'!A9:BB145,4,0)</f>
        <v>#N/A</v>
      </c>
      <c r="E46" s="84" t="e">
        <f>VLOOKUP(+BP46,'Datos Rebisco'!A9:BB145,5,0)</f>
        <v>#N/A</v>
      </c>
      <c r="F46" s="84" t="e">
        <f>VLOOKUP(+BP46,'Datos Rebisco'!A9:BB145,6,0)</f>
        <v>#N/A</v>
      </c>
      <c r="G46" s="84" t="e">
        <f>VLOOKUP(+BP46,'Datos Rebisco'!A9:BB145,7,0)</f>
        <v>#N/A</v>
      </c>
      <c r="H46" s="85" t="e">
        <f>+G46/E46</f>
        <v>#N/A</v>
      </c>
      <c r="I46" s="78" t="e">
        <f>+G46/F46</f>
        <v>#N/A</v>
      </c>
      <c r="J46" s="86" t="e">
        <f>+G46/C46</f>
        <v>#N/A</v>
      </c>
      <c r="K46" s="84" t="e">
        <f>+G46/D46</f>
        <v>#N/A</v>
      </c>
      <c r="L46" s="89" t="e">
        <f>VLOOKUP(+BP46,'Datos Rebisco'!A9:BB145,12,0)</f>
        <v>#N/A</v>
      </c>
      <c r="M46" s="84" t="e">
        <f>VLOOKUP(+BP46,'Datos Rebisco'!A9:BB145,13,0)</f>
        <v>#N/A</v>
      </c>
      <c r="N46" s="84" t="e">
        <f>VLOOKUP(+BP46,'Datos Rebisco'!A9:BB145,14,0)</f>
        <v>#N/A</v>
      </c>
      <c r="O46" s="84" t="e">
        <f>VLOOKUP(+BP46,'Datos Rebisco'!A9:BB145,15,0)</f>
        <v>#N/A</v>
      </c>
      <c r="P46" s="85" t="e">
        <f>+O46/M46</f>
        <v>#N/A</v>
      </c>
      <c r="Q46" s="85" t="e">
        <f>+O46/N46</f>
        <v>#N/A</v>
      </c>
      <c r="R46" s="87" t="e">
        <f>+O46/C46</f>
        <v>#N/A</v>
      </c>
      <c r="S46" s="102" t="e">
        <f>+O46/L46</f>
        <v>#N/A</v>
      </c>
      <c r="T46" s="90" t="e">
        <f>+SUM(O46+G46)/+SUM(D46+L46)</f>
        <v>#N/A</v>
      </c>
      <c r="U46" s="79" t="e">
        <f>+D46+L46</f>
        <v>#N/A</v>
      </c>
      <c r="V46" s="89" t="e">
        <f>VLOOKUP(+BP46,'Datos Rebisco'!A9:BB145,22,0)</f>
        <v>#N/A</v>
      </c>
      <c r="W46" s="84" t="e">
        <f>VLOOKUP(+BP46,'Datos Rebisco'!A9:BB145,23,0)</f>
        <v>#N/A</v>
      </c>
      <c r="X46" s="84" t="e">
        <f>VLOOKUP(+BP46,'Datos Rebisco'!A9:BB145,24,0)</f>
        <v>#N/A</v>
      </c>
      <c r="Y46" s="84" t="e">
        <f>VLOOKUP(+BP46,'Datos Rebisco'!A9:BB145,25,0)</f>
        <v>#N/A</v>
      </c>
      <c r="Z46" s="85" t="e">
        <f>+Y46/W46</f>
        <v>#N/A</v>
      </c>
      <c r="AA46" s="85" t="e">
        <f>+Y46/X46</f>
        <v>#N/A</v>
      </c>
      <c r="AB46" s="87" t="e">
        <f>+Y46/M46</f>
        <v>#N/A</v>
      </c>
      <c r="AC46" s="80" t="e">
        <f>VLOOKUP(+BP46,'Datos Rebisco'!A9:BB145,29,0)</f>
        <v>#N/A</v>
      </c>
      <c r="AD46" s="89" t="e">
        <f>VLOOKUP(+BP46,'Datos Rebisco'!A9:BB145,30,0)</f>
        <v>#N/A</v>
      </c>
      <c r="AE46" s="84" t="e">
        <f>VLOOKUP(+BP46,'Datos Rebisco'!A9:BB145,31,0)</f>
        <v>#N/A</v>
      </c>
      <c r="AF46" s="91" t="e">
        <f>VLOOKUP(+BP46,'Datos Rebisco'!A9:BB145,32,0)</f>
        <v>#N/A</v>
      </c>
      <c r="AG46" s="81" t="e">
        <f>VLOOKUP(+BP46,'Datos Rebisco'!A9:BB145,33,0)</f>
        <v>#N/A</v>
      </c>
      <c r="AH46" s="80" t="e">
        <f>VLOOKUP(+BP46,'Datos Rebisco'!A9:BB145,34,0)</f>
        <v>#N/A</v>
      </c>
      <c r="AI46" s="84" t="e">
        <f>VLOOKUP(+BP46,'Datos Rebisco'!A9:BB145,35,0)</f>
        <v>#N/A</v>
      </c>
      <c r="AJ46" s="82" t="e">
        <f>+AI46/C46</f>
        <v>#N/A</v>
      </c>
      <c r="AK46" s="90" t="e">
        <f>VLOOKUP(+BP46,'Datos Rebisco'!A9:BB145,37,0)</f>
        <v>#N/A</v>
      </c>
      <c r="AL46" s="81" t="e">
        <f>VLOOKUP(+BP46,'Datos Rebisco'!A9:BB145,38,0)</f>
        <v>#N/A</v>
      </c>
      <c r="AM46" s="143" t="e">
        <f>+AL46/C46</f>
        <v>#N/A</v>
      </c>
      <c r="AN46" s="74" t="e">
        <f>+AN45/Resumen!D1</f>
        <v>#N/A</v>
      </c>
      <c r="AO46" s="74" t="e">
        <f>VLOOKUP(+BP46,'Datos Rebisco'!A9:BF145,40,0)</f>
        <v>#N/A</v>
      </c>
      <c r="AP46" s="82" t="e">
        <f>+AO46/AN46</f>
        <v>#N/A</v>
      </c>
      <c r="AQ46" s="87"/>
      <c r="AR46" s="87"/>
      <c r="AS46" s="87"/>
      <c r="AT46" s="87"/>
      <c r="AU46" s="87"/>
      <c r="AV46" s="80" t="e">
        <f>VLOOKUP(+BP46,'Datos Rebisco'!A9:BF145,47,0)</f>
        <v>#N/A</v>
      </c>
      <c r="AW46" s="82" t="e">
        <f>+AV46/C46</f>
        <v>#N/A</v>
      </c>
      <c r="BB46" s="61" t="s">
        <v>48</v>
      </c>
      <c r="BC46" s="61"/>
      <c r="BD46" s="61"/>
      <c r="BE46" s="62" t="e">
        <f>+AV46</f>
        <v>#N/A</v>
      </c>
      <c r="BF46" s="62" t="e">
        <f>+AD46</f>
        <v>#N/A</v>
      </c>
      <c r="BG46" s="62" t="e">
        <f>+AI46</f>
        <v>#N/A</v>
      </c>
      <c r="BH46" s="62" t="e">
        <f>+AL46</f>
        <v>#N/A</v>
      </c>
      <c r="BI46" s="62"/>
      <c r="BJ46" s="63" t="e">
        <f>+BE46</f>
        <v>#N/A</v>
      </c>
      <c r="BK46" s="63" t="e">
        <f>+BF46</f>
        <v>#N/A</v>
      </c>
      <c r="BL46" s="63" t="e">
        <f>+BG46</f>
        <v>#N/A</v>
      </c>
      <c r="BM46" s="63" t="e">
        <f>+BH46</f>
        <v>#N/A</v>
      </c>
      <c r="BN46" s="63"/>
      <c r="BP46" s="39" t="s">
        <v>107</v>
      </c>
    </row>
    <row r="47" spans="1:76" ht="12" thickBot="1" x14ac:dyDescent="0.25">
      <c r="C47" s="32"/>
      <c r="D47" s="32"/>
      <c r="E47" s="32"/>
      <c r="F47" s="32"/>
      <c r="G47" s="32"/>
      <c r="H47" s="56"/>
      <c r="I47" s="33"/>
      <c r="J47" s="34"/>
      <c r="K47" s="57"/>
      <c r="L47" s="32"/>
      <c r="M47" s="32"/>
      <c r="N47" s="32"/>
      <c r="O47" s="32"/>
      <c r="P47" s="56"/>
      <c r="Q47" s="56"/>
      <c r="R47" s="34"/>
      <c r="S47" s="32"/>
      <c r="T47" s="32"/>
      <c r="U47" s="32"/>
      <c r="V47" s="32"/>
      <c r="W47" s="32"/>
      <c r="X47" s="32"/>
      <c r="Y47" s="32"/>
      <c r="Z47" s="57"/>
      <c r="AA47" s="57"/>
      <c r="AB47" s="57"/>
      <c r="AC47" s="57"/>
      <c r="AD47" s="57"/>
      <c r="AE47" s="57"/>
      <c r="AF47" s="57"/>
      <c r="AG47" s="32"/>
      <c r="AH47" s="32"/>
      <c r="AI47" s="32"/>
      <c r="AJ47" s="34"/>
      <c r="AK47" s="32"/>
      <c r="AL47" s="32"/>
      <c r="AM47" s="58"/>
      <c r="AN47" s="58"/>
      <c r="AO47" s="32"/>
      <c r="AP47" s="58"/>
      <c r="AQ47" s="58"/>
      <c r="AR47" s="58"/>
      <c r="AS47" s="58"/>
      <c r="AT47" s="58"/>
      <c r="AU47" s="58"/>
      <c r="AV47" s="59"/>
      <c r="AW47" s="34"/>
      <c r="AX47" s="34"/>
      <c r="AY47" s="34"/>
      <c r="BB47" s="60" t="s">
        <v>49</v>
      </c>
      <c r="BC47" s="60"/>
      <c r="BD47" s="60"/>
      <c r="BE47" s="64" t="e">
        <f>VLOOKUP(+BP47,'Datos Rebisco'!AY4:BG171,4,0)</f>
        <v>#N/A</v>
      </c>
      <c r="BF47" s="64" t="e">
        <f>VLOOKUP(+BP47,'Datos Rebisco'!AY4:BG171,5,0)</f>
        <v>#N/A</v>
      </c>
      <c r="BG47" s="64" t="e">
        <f>VLOOKUP(+BP47,'Datos Rebisco'!AY4:BG171,6,0)</f>
        <v>#N/A</v>
      </c>
      <c r="BH47" s="64" t="e">
        <f>VLOOKUP(+BP47,'Datos Rebisco'!AY4:BG171,7,0)</f>
        <v>#N/A</v>
      </c>
      <c r="BI47" s="64"/>
      <c r="BJ47" s="64" t="e">
        <f>VLOOKUP(+BP47,'Datos Rebisco'!AY4:BH171,9,0)</f>
        <v>#N/A</v>
      </c>
      <c r="BK47" s="64" t="e">
        <f>VLOOKUP(+BP47,'Datos Rebisco'!AY4:BH171,10,0)</f>
        <v>#N/A</v>
      </c>
      <c r="BL47" s="64" t="e">
        <f>VLOOKUP(+BP47,'Datos Rebisco'!AT4:BF171,11,0)</f>
        <v>#N/A</v>
      </c>
      <c r="BM47" s="64" t="e">
        <f>VLOOKUP(+BP47,'Datos Rebisco'!AT4:BF171,12,0)</f>
        <v>#N/A</v>
      </c>
      <c r="BN47" s="65"/>
      <c r="BP47" s="39" t="s">
        <v>116</v>
      </c>
    </row>
    <row r="48" spans="1:76" ht="12.75" thickTop="1" thickBot="1" x14ac:dyDescent="0.25">
      <c r="A48" s="66" t="s">
        <v>82</v>
      </c>
      <c r="B48" s="67"/>
      <c r="C48" s="68" t="e">
        <f>(+C40-C46)/C46</f>
        <v>#N/A</v>
      </c>
      <c r="D48" s="66"/>
      <c r="E48" s="68" t="e">
        <f>(+E40-E46)/E46</f>
        <v>#N/A</v>
      </c>
      <c r="F48" s="68" t="e">
        <f>(+F40-F46)/F46</f>
        <v>#N/A</v>
      </c>
      <c r="G48" s="68" t="e">
        <f>(+G40-G46)/G46</f>
        <v>#N/A</v>
      </c>
      <c r="H48" s="67"/>
      <c r="I48" s="67"/>
      <c r="J48" s="67"/>
      <c r="K48" s="69" t="e">
        <f>(+K40-K46)/K46</f>
        <v>#N/A</v>
      </c>
      <c r="L48" s="67"/>
      <c r="M48" s="68" t="e">
        <f>(+M40-M46)/M46</f>
        <v>#N/A</v>
      </c>
      <c r="N48" s="68" t="e">
        <f>(+N40-N46)/N46</f>
        <v>#N/A</v>
      </c>
      <c r="O48" s="68" t="e">
        <f>(+O40-O46)/O46</f>
        <v>#N/A</v>
      </c>
      <c r="P48" s="67"/>
      <c r="Q48" s="67"/>
      <c r="R48" s="67"/>
      <c r="S48" s="68" t="e">
        <f>(+S40-S46)/S46</f>
        <v>#N/A</v>
      </c>
      <c r="T48" s="139" t="e">
        <f>(+T40-T46)/T46</f>
        <v>#DIV/0!</v>
      </c>
      <c r="U48" s="70" t="e">
        <f>(+U40-U46)/U46</f>
        <v>#DIV/0!</v>
      </c>
      <c r="V48" s="66"/>
      <c r="W48" s="68" t="e">
        <f>(+W40-W46)/W46</f>
        <v>#N/A</v>
      </c>
      <c r="X48" s="68" t="e">
        <f>(+X40-X46)/X46</f>
        <v>#N/A</v>
      </c>
      <c r="Y48" s="68" t="e">
        <f>(+Y40-Y46)/Y46</f>
        <v>#N/A</v>
      </c>
      <c r="Z48" s="68"/>
      <c r="AA48" s="68"/>
      <c r="AB48" s="68"/>
      <c r="AC48" s="68"/>
      <c r="AD48" s="139" t="e">
        <f t="shared" ref="AD48:AI48" si="27">(+AD40-AD46)/AD46</f>
        <v>#N/A</v>
      </c>
      <c r="AE48" s="68" t="e">
        <f t="shared" si="27"/>
        <v>#N/A</v>
      </c>
      <c r="AF48" s="69" t="e">
        <f t="shared" si="27"/>
        <v>#N/A</v>
      </c>
      <c r="AG48" s="68" t="e">
        <f t="shared" si="27"/>
        <v>#N/A</v>
      </c>
      <c r="AH48" s="68" t="e">
        <f t="shared" si="27"/>
        <v>#N/A</v>
      </c>
      <c r="AI48" s="68" t="e">
        <f t="shared" si="27"/>
        <v>#N/A</v>
      </c>
      <c r="AJ48" s="67"/>
      <c r="AK48" s="70" t="e">
        <f>(+AK40-AK46)/AK46</f>
        <v>#N/A</v>
      </c>
      <c r="AL48" s="68" t="e">
        <f>(+AL40-AL46)/AL46</f>
        <v>#N/A</v>
      </c>
      <c r="AM48" s="69"/>
      <c r="AN48" s="68" t="e">
        <f>(+AN40-AN46)/AN46</f>
        <v>#N/A</v>
      </c>
      <c r="AO48" s="68" t="e">
        <f>(+AO40-AO46)/AO46</f>
        <v>#DIV/0!</v>
      </c>
      <c r="AP48" s="69"/>
      <c r="AQ48" s="68"/>
      <c r="AR48" s="68"/>
      <c r="AS48" s="68"/>
      <c r="AT48" s="68"/>
      <c r="AU48" s="68"/>
      <c r="AV48" s="68" t="e">
        <f>(+AV40-AV46)/AV46</f>
        <v>#N/A</v>
      </c>
      <c r="AW48" s="71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8" ht="12" thickBot="1" x14ac:dyDescent="0.25">
      <c r="A49" s="72" t="s">
        <v>83</v>
      </c>
      <c r="B49" s="73"/>
      <c r="C49" s="73"/>
      <c r="D49" s="72"/>
      <c r="E49" s="74" t="e">
        <f>+E40-E46</f>
        <v>#N/A</v>
      </c>
      <c r="F49" s="74" t="e">
        <f>+F40-F46</f>
        <v>#N/A</v>
      </c>
      <c r="G49" s="74" t="e">
        <f>+G40-G46</f>
        <v>#N/A</v>
      </c>
      <c r="H49" s="73"/>
      <c r="I49" s="73"/>
      <c r="J49" s="73"/>
      <c r="K49" s="75" t="e">
        <f>+K40-K46</f>
        <v>#N/A</v>
      </c>
      <c r="L49" s="73"/>
      <c r="M49" s="74" t="e">
        <f>+M40-M46</f>
        <v>#N/A</v>
      </c>
      <c r="N49" s="74" t="e">
        <f>+N40-N46</f>
        <v>#N/A</v>
      </c>
      <c r="O49" s="74" t="e">
        <f>+O40-O46</f>
        <v>#N/A</v>
      </c>
      <c r="P49" s="73"/>
      <c r="Q49" s="73"/>
      <c r="R49" s="73"/>
      <c r="S49" s="74" t="e">
        <f>+S40-S46</f>
        <v>#N/A</v>
      </c>
      <c r="T49" s="140" t="e">
        <f>+T40-T46</f>
        <v>#DIV/0!</v>
      </c>
      <c r="U49" s="76" t="e">
        <f>+U40-U46</f>
        <v>#DIV/0!</v>
      </c>
      <c r="V49" s="72"/>
      <c r="W49" s="74" t="e">
        <f>+W40-W46</f>
        <v>#N/A</v>
      </c>
      <c r="X49" s="74" t="e">
        <f>+X40-X46</f>
        <v>#N/A</v>
      </c>
      <c r="Y49" s="74" t="e">
        <f>+Y40-Y46</f>
        <v>#N/A</v>
      </c>
      <c r="Z49" s="74"/>
      <c r="AA49" s="74"/>
      <c r="AB49" s="74"/>
      <c r="AC49" s="74"/>
      <c r="AD49" s="140" t="e">
        <f t="shared" ref="AD49:AI49" si="28">+AD40-AD46</f>
        <v>#N/A</v>
      </c>
      <c r="AE49" s="74" t="e">
        <f t="shared" si="28"/>
        <v>#N/A</v>
      </c>
      <c r="AF49" s="79" t="e">
        <f t="shared" si="28"/>
        <v>#N/A</v>
      </c>
      <c r="AG49" s="74" t="e">
        <f t="shared" si="28"/>
        <v>#N/A</v>
      </c>
      <c r="AH49" s="74" t="e">
        <f t="shared" si="28"/>
        <v>#N/A</v>
      </c>
      <c r="AI49" s="74" t="e">
        <f t="shared" si="28"/>
        <v>#N/A</v>
      </c>
      <c r="AJ49" s="73"/>
      <c r="AK49" s="76" t="e">
        <f>+AK40-AK46</f>
        <v>#N/A</v>
      </c>
      <c r="AL49" s="74" t="e">
        <f>+AL40-AL46</f>
        <v>#N/A</v>
      </c>
      <c r="AM49" s="77"/>
      <c r="AN49" s="73"/>
      <c r="AO49" s="74" t="e">
        <f>+AO40-AO46</f>
        <v>#DIV/0!</v>
      </c>
      <c r="AP49" s="77"/>
      <c r="AQ49" s="73"/>
      <c r="AR49" s="73"/>
      <c r="AS49" s="73"/>
      <c r="AT49" s="73"/>
      <c r="AU49" s="73"/>
      <c r="AV49" s="74" t="e">
        <f>+AV40-AV46</f>
        <v>#N/A</v>
      </c>
      <c r="AW49" s="77"/>
      <c r="BE49" s="3"/>
      <c r="BF49" s="3"/>
      <c r="BG49" s="3"/>
      <c r="BH49" s="237"/>
      <c r="BI49" s="237"/>
      <c r="BJ49" s="238"/>
      <c r="BK49" s="3"/>
      <c r="BL49" s="3"/>
      <c r="BM49" s="3"/>
      <c r="BN49" s="3"/>
    </row>
    <row r="50" spans="1:68" x14ac:dyDescent="0.2">
      <c r="BE50" s="3"/>
      <c r="BF50" s="3"/>
      <c r="BG50" s="3"/>
      <c r="BH50" s="3"/>
      <c r="BI50" s="3"/>
      <c r="BJ50" s="238"/>
      <c r="BK50" s="3"/>
      <c r="BL50" s="3"/>
      <c r="BM50" s="3"/>
      <c r="BN50" s="3"/>
    </row>
    <row r="51" spans="1:68" x14ac:dyDescent="0.2">
      <c r="BE51" s="3"/>
      <c r="BF51" s="3"/>
      <c r="BG51" s="3"/>
      <c r="BH51" s="237"/>
      <c r="BI51" s="237"/>
      <c r="BJ51" s="3"/>
      <c r="BK51" s="3"/>
      <c r="BL51" s="3"/>
      <c r="BM51" s="3"/>
      <c r="BN51" s="3"/>
    </row>
    <row r="52" spans="1:68" x14ac:dyDescent="0.2"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8" ht="12" thickBot="1" x14ac:dyDescent="0.25">
      <c r="A53" s="234" t="str">
        <f>+'Biyemas S.A.'!A53</f>
        <v>Reporte Flash Agosto 25</v>
      </c>
      <c r="B53" s="235"/>
      <c r="C53" s="235"/>
      <c r="D53" s="32"/>
      <c r="E53" s="115"/>
      <c r="F53" s="32"/>
      <c r="G53" s="32"/>
      <c r="H53" s="56"/>
      <c r="I53" s="33"/>
      <c r="J53" s="34"/>
      <c r="K53" s="57"/>
      <c r="L53" s="32"/>
      <c r="M53" s="116"/>
      <c r="N53" s="116"/>
      <c r="O53" s="116"/>
      <c r="P53" s="56"/>
      <c r="Q53" s="56"/>
      <c r="R53" s="34"/>
      <c r="S53" s="32"/>
      <c r="T53" s="32"/>
      <c r="U53" s="32"/>
      <c r="V53" s="32"/>
      <c r="W53" s="115"/>
      <c r="X53" s="32"/>
      <c r="Y53" s="32"/>
      <c r="Z53" s="57"/>
      <c r="AA53" s="57"/>
      <c r="AB53" s="57"/>
      <c r="AC53" s="57"/>
      <c r="AD53" s="57"/>
      <c r="AE53" s="57"/>
      <c r="AF53" s="57"/>
      <c r="AG53" s="32"/>
      <c r="AH53" s="32"/>
      <c r="AI53" s="32"/>
      <c r="AJ53" s="34"/>
      <c r="AK53" s="32"/>
      <c r="AL53" s="32"/>
      <c r="AM53" s="58"/>
      <c r="AN53" s="58"/>
      <c r="AO53" s="32"/>
      <c r="AP53" s="58"/>
      <c r="AQ53" s="58"/>
      <c r="AR53" s="58"/>
      <c r="AS53" s="58"/>
      <c r="AT53" s="58"/>
      <c r="AU53" s="58"/>
      <c r="AV53" s="59"/>
      <c r="AW53" s="34"/>
      <c r="AX53" s="34"/>
      <c r="AY53" s="34"/>
      <c r="BB53" s="60"/>
      <c r="BC53" s="60"/>
      <c r="BD53" s="60"/>
      <c r="BE53" s="60"/>
      <c r="BF53" s="60"/>
      <c r="BG53" s="60"/>
      <c r="BH53" s="60"/>
      <c r="BI53" s="60"/>
      <c r="BJ53" s="114"/>
      <c r="BK53" s="114"/>
      <c r="BL53" s="114"/>
      <c r="BM53" s="114"/>
      <c r="BN53" s="114"/>
    </row>
    <row r="54" spans="1:68" ht="13.5" customHeight="1" thickBot="1" x14ac:dyDescent="0.25">
      <c r="A54" s="92">
        <v>0</v>
      </c>
      <c r="B54" s="93" t="s">
        <v>4</v>
      </c>
      <c r="C54" s="94" t="e">
        <f>VLOOKUP(+BP54,'Datos Rebisco'!A9:BB145,3,0)</f>
        <v>#N/A</v>
      </c>
      <c r="D54" s="98"/>
      <c r="E54" s="94" t="e">
        <f>VLOOKUP(+BP54,'Datos Rebisco'!A9:BB145,5,0)</f>
        <v>#N/A</v>
      </c>
      <c r="F54" s="94" t="e">
        <f>VLOOKUP(+BP54,'Datos Rebisco'!A9:BB145,6,0)</f>
        <v>#N/A</v>
      </c>
      <c r="G54" s="94" t="e">
        <f>VLOOKUP(+BP54,'Datos Rebisco'!A9:BB145,7,0)</f>
        <v>#N/A</v>
      </c>
      <c r="H54" s="95"/>
      <c r="I54" s="96"/>
      <c r="J54" s="97"/>
      <c r="K54" s="141" t="s">
        <v>1</v>
      </c>
      <c r="L54" s="94"/>
      <c r="M54" s="94" t="e">
        <f>VLOOKUP(+BP54,'Datos Rebisco'!A9:BB145,13,0)</f>
        <v>#N/A</v>
      </c>
      <c r="N54" s="94" t="e">
        <f>VLOOKUP(+BP54,'Datos Rebisco'!A9:BB145,14,0)</f>
        <v>#N/A</v>
      </c>
      <c r="O54" s="94" t="e">
        <f>VLOOKUP(+BP54,'Datos Rebisco'!A9:BB145,15,0)</f>
        <v>#N/A</v>
      </c>
      <c r="P54" s="95"/>
      <c r="Q54" s="95"/>
      <c r="R54" s="99"/>
      <c r="S54" s="100"/>
      <c r="T54" s="101"/>
      <c r="U54" s="101"/>
      <c r="V54" s="98"/>
      <c r="W54" s="94" t="e">
        <f>VLOOKUP(+BP54,'Datos Rebisco'!A9:BB145,23,0)</f>
        <v>#N/A</v>
      </c>
      <c r="X54" s="94" t="e">
        <f>VLOOKUP(+BP54,'Datos Rebisco'!A9:BB145,24,0)</f>
        <v>#N/A</v>
      </c>
      <c r="Y54" s="94" t="e">
        <f>VLOOKUP(+BP54,'Datos Rebisco'!A9:BB145,25,0)</f>
        <v>#N/A</v>
      </c>
      <c r="Z54" s="94"/>
      <c r="AA54" s="94"/>
      <c r="AB54" s="94"/>
      <c r="AC54" s="94"/>
      <c r="AD54" s="98" t="e">
        <f>VLOOKUP(+BP54,'Datos Rebisco'!A9:BB145,30,0)</f>
        <v>#N/A</v>
      </c>
      <c r="AE54" s="94" t="e">
        <f>VLOOKUP(+BP54,'Datos Rebisco'!A9:BB145,31,0)</f>
        <v>#N/A</v>
      </c>
      <c r="AF54" s="141" t="e">
        <f>VLOOKUP(+BP54,'Datos Rebisco'!A9:BB145,32,0)</f>
        <v>#N/A</v>
      </c>
      <c r="AG54" s="94" t="e">
        <f>VLOOKUP(+BP54,'Datos Rebisco'!A9:BB145,33,0)</f>
        <v>#N/A</v>
      </c>
      <c r="AH54" s="94" t="e">
        <f>VLOOKUP(+BP54,'Datos Rebisco'!A9:BB145,34,0)</f>
        <v>#N/A</v>
      </c>
      <c r="AI54" s="94" t="e">
        <f>VLOOKUP(+BP54,'Datos Rebisco'!A9:BB145,35,0)</f>
        <v>#N/A</v>
      </c>
      <c r="AJ54" s="99"/>
      <c r="AK54" s="138" t="e">
        <f>VLOOKUP(+BP54,'Datos Rebisco'!A9:BB145,37,0)</f>
        <v>#N/A</v>
      </c>
      <c r="AL54" s="98" t="e">
        <f>VLOOKUP(+BP54,'Datos Rebisco'!A9:BB145,38,0)</f>
        <v>#N/A</v>
      </c>
      <c r="AM54" s="142"/>
      <c r="AN54" s="51" t="e">
        <f>VLOOKUP(+BP54,'Datos Rebisco'!A9:BL145,64,0)</f>
        <v>#N/A</v>
      </c>
      <c r="AO54" s="248" t="e">
        <f>VLOOKUP(+BP54,'Datos Rebisco'!A9:BF145,40,0)</f>
        <v>#N/A</v>
      </c>
      <c r="AP54" s="249"/>
      <c r="AQ54" s="282"/>
      <c r="AR54" s="282"/>
      <c r="AS54" s="282"/>
      <c r="AT54" s="282"/>
      <c r="AU54" s="282"/>
      <c r="AV54" s="94" t="e">
        <f>VLOOKUP(+BP54,'Datos Rebisco'!A9:BF145,47,0)</f>
        <v>#N/A</v>
      </c>
      <c r="AW54" s="103"/>
      <c r="BA54" s="175" t="e">
        <f>VLOOKUP(+BP54,'Datos Rebisco'!A9:BB145,47,0)</f>
        <v>#N/A</v>
      </c>
      <c r="BB54" s="171" t="e">
        <f>IF($AK54&gt;0,(C54-($BA54))/($BA$54),0)</f>
        <v>#N/A</v>
      </c>
      <c r="BC54" s="175" t="e">
        <f>VLOOKUP(+BP54,'Datos Rebisco'!A9:BH145,60,0)</f>
        <v>#N/A</v>
      </c>
      <c r="BD54" s="171"/>
      <c r="BE54" s="172" t="e">
        <f>VLOOKUP(+BP54,'Datos Rebisco'!A9:BF145,54,0)</f>
        <v>#N/A</v>
      </c>
      <c r="BF54" s="173" t="e">
        <f>VLOOKUP(+BP54,'Datos Rebisco'!A9:BF145,55,0)</f>
        <v>#N/A</v>
      </c>
      <c r="BG54" s="173" t="e">
        <f>VLOOKUP(+BP54,'Datos Rebisco'!A9:BB145,51,0)</f>
        <v>#N/A</v>
      </c>
      <c r="BH54" s="223" t="e">
        <f>VLOOKUP(+BP54,'Datos Rebisco'!A9:BB145,52,0)</f>
        <v>#N/A</v>
      </c>
      <c r="BI54" s="173"/>
      <c r="BJ54" s="169" t="e">
        <f>BJ55/SUM(BJ55-BJ56)-1</f>
        <v>#N/A</v>
      </c>
      <c r="BK54" s="170" t="e">
        <f>BK55/SUM(BK55-BK56)-1</f>
        <v>#N/A</v>
      </c>
      <c r="BL54" s="170" t="e">
        <f>BL55/SUM(BL55-BL56)-1</f>
        <v>#N/A</v>
      </c>
      <c r="BM54" s="171" t="e">
        <f>BM55/SUM(BM55-BM56)-1</f>
        <v>#N/A</v>
      </c>
      <c r="BN54" s="272"/>
      <c r="BP54" s="39" t="s">
        <v>108</v>
      </c>
    </row>
    <row r="55" spans="1:68" ht="12" thickBot="1" x14ac:dyDescent="0.25">
      <c r="A55" s="88" t="s">
        <v>26</v>
      </c>
      <c r="B55" s="83"/>
      <c r="C55" s="84" t="e">
        <f>VLOOKUP(+BP55,'Datos Rebisco'!A9:BB145,3,0)</f>
        <v>#N/A</v>
      </c>
      <c r="D55" s="89" t="e">
        <f>VLOOKUP(+BP55,'Datos Rebisco'!A9:BB145,4,0)</f>
        <v>#N/A</v>
      </c>
      <c r="E55" s="84" t="e">
        <f>VLOOKUP(+BP55,'Datos Rebisco'!A9:BB145,5,0)</f>
        <v>#N/A</v>
      </c>
      <c r="F55" s="84" t="e">
        <f>VLOOKUP(+BP55,'Datos Rebisco'!A9:BB145,6,0)</f>
        <v>#N/A</v>
      </c>
      <c r="G55" s="84" t="e">
        <f>VLOOKUP(+BP55,'Datos Rebisco'!A9:BB145,7,0)</f>
        <v>#N/A</v>
      </c>
      <c r="H55" s="85" t="e">
        <f>+G55/E55</f>
        <v>#N/A</v>
      </c>
      <c r="I55" s="78" t="e">
        <f>+G55/F55</f>
        <v>#N/A</v>
      </c>
      <c r="J55" s="86" t="e">
        <f>+G55/C55</f>
        <v>#N/A</v>
      </c>
      <c r="K55" s="91" t="e">
        <f>+G55/D55</f>
        <v>#N/A</v>
      </c>
      <c r="L55" s="84" t="e">
        <f>VLOOKUP(+BP55,'Datos Rebisco'!A9:BB145,12,0)</f>
        <v>#N/A</v>
      </c>
      <c r="M55" s="84" t="e">
        <f>VLOOKUP(+BP55,'Datos Rebisco'!A9:BB145,13,0)</f>
        <v>#N/A</v>
      </c>
      <c r="N55" s="84" t="e">
        <f>VLOOKUP(+BP55,'Datos Rebisco'!A9:BB145,14,0)</f>
        <v>#N/A</v>
      </c>
      <c r="O55" s="84" t="e">
        <f>VLOOKUP(+BP55,'Datos Rebisco'!A9:BB145,15,0)</f>
        <v>#N/A</v>
      </c>
      <c r="P55" s="85" t="e">
        <f>+O55/M55</f>
        <v>#N/A</v>
      </c>
      <c r="Q55" s="85" t="e">
        <f>+O55/N55</f>
        <v>#N/A</v>
      </c>
      <c r="R55" s="87" t="e">
        <f>+O55/C55</f>
        <v>#N/A</v>
      </c>
      <c r="S55" s="102" t="e">
        <f>+O55/L55</f>
        <v>#N/A</v>
      </c>
      <c r="T55" s="90" t="e">
        <f>+SUM(O55+G55)/+SUM(D55+L55)</f>
        <v>#N/A</v>
      </c>
      <c r="U55" s="79" t="e">
        <f>+D55+L55</f>
        <v>#N/A</v>
      </c>
      <c r="V55" s="84" t="e">
        <f>VLOOKUP(+BP55,'Datos Rebisco'!A9:BB145,22,0)</f>
        <v>#N/A</v>
      </c>
      <c r="W55" s="84" t="e">
        <f>VLOOKUP(+BP55,'Datos Rebisco'!A9:BB145,23,0)</f>
        <v>#N/A</v>
      </c>
      <c r="X55" s="84" t="e">
        <f>VLOOKUP(+BP55,'Datos Rebisco'!A9:BB145,24,0)</f>
        <v>#N/A</v>
      </c>
      <c r="Y55" s="84" t="e">
        <f>VLOOKUP(+BP55,'Datos Rebisco'!A9:BB145,25,0)</f>
        <v>#N/A</v>
      </c>
      <c r="Z55" s="85" t="e">
        <f>+Y55/W55</f>
        <v>#N/A</v>
      </c>
      <c r="AA55" s="85" t="e">
        <f>+Y55/X55</f>
        <v>#N/A</v>
      </c>
      <c r="AB55" s="87" t="e">
        <f>+Y55/M55</f>
        <v>#N/A</v>
      </c>
      <c r="AC55" s="84" t="e">
        <f>VLOOKUP(+BP55,'Datos Rebisco'!A9:BB145,29,0)</f>
        <v>#N/A</v>
      </c>
      <c r="AD55" s="89" t="e">
        <f>VLOOKUP(+BP55,'Datos Rebisco'!A9:BB145,30,0)</f>
        <v>#N/A</v>
      </c>
      <c r="AE55" s="84" t="e">
        <f>VLOOKUP(+BP55,'Datos Rebisco'!A9:BB145,31,0)</f>
        <v>#N/A</v>
      </c>
      <c r="AF55" s="91" t="e">
        <f>VLOOKUP(+BP55,'Datos Rebisco'!A9:BB145,32,0)</f>
        <v>#N/A</v>
      </c>
      <c r="AG55" s="80" t="e">
        <f>VLOOKUP(+BP55,'Datos Rebisco'!A9:BB145,33,0)</f>
        <v>#N/A</v>
      </c>
      <c r="AH55" s="80" t="e">
        <f>VLOOKUP(+BP55,'Datos Rebisco'!A9:BB145,34,0)</f>
        <v>#N/A</v>
      </c>
      <c r="AI55" s="84" t="e">
        <f>VLOOKUP(+BP55,'Datos Rebisco'!A9:BB145,35,0)</f>
        <v>#N/A</v>
      </c>
      <c r="AJ55" s="87" t="e">
        <f>+AI55/C55</f>
        <v>#N/A</v>
      </c>
      <c r="AK55" s="137" t="e">
        <f>VLOOKUP(+BP55,'Datos Rebisco'!A9:BB145,37,0)</f>
        <v>#N/A</v>
      </c>
      <c r="AL55" s="81" t="e">
        <f>VLOOKUP(+BP55,'Datos Rebisco'!A9:BB145,38,0)</f>
        <v>#N/A</v>
      </c>
      <c r="AM55" s="143" t="e">
        <f>+AL55/C55</f>
        <v>#N/A</v>
      </c>
      <c r="AN55" s="245" t="e">
        <f>+AN54/Resumen!D1</f>
        <v>#N/A</v>
      </c>
      <c r="AO55" s="84" t="e">
        <f>VLOOKUP(+BP55,'Datos Rebisco'!A9:BF145,40,0)</f>
        <v>#N/A</v>
      </c>
      <c r="AP55" s="143" t="e">
        <f>+AO55/AN55</f>
        <v>#N/A</v>
      </c>
      <c r="AQ55" s="245"/>
      <c r="AR55" s="245"/>
      <c r="AS55" s="245"/>
      <c r="AT55" s="245"/>
      <c r="AU55" s="245"/>
      <c r="AV55" s="80" t="e">
        <f>VLOOKUP(+BP55,'Datos Rebisco'!A9:BF145,47,0)</f>
        <v>#N/A</v>
      </c>
      <c r="AW55" s="82" t="e">
        <f>+AV55/C55</f>
        <v>#N/A</v>
      </c>
      <c r="BB55" s="61" t="s">
        <v>48</v>
      </c>
      <c r="BC55" s="61"/>
      <c r="BD55" s="61"/>
      <c r="BE55" s="62" t="e">
        <f>+AV55</f>
        <v>#N/A</v>
      </c>
      <c r="BF55" s="62" t="e">
        <f>+AD55</f>
        <v>#N/A</v>
      </c>
      <c r="BG55" s="62" t="e">
        <f>+AI55</f>
        <v>#N/A</v>
      </c>
      <c r="BH55" s="62" t="e">
        <f>+AL55</f>
        <v>#N/A</v>
      </c>
      <c r="BI55" s="62"/>
      <c r="BJ55" s="63" t="e">
        <f>+BE55</f>
        <v>#N/A</v>
      </c>
      <c r="BK55" s="63" t="e">
        <f t="shared" ref="BK55:BM55" si="29">+BF55</f>
        <v>#N/A</v>
      </c>
      <c r="BL55" s="63" t="e">
        <f t="shared" si="29"/>
        <v>#N/A</v>
      </c>
      <c r="BM55" s="63" t="e">
        <f t="shared" si="29"/>
        <v>#N/A</v>
      </c>
      <c r="BN55" s="63"/>
      <c r="BP55" s="39" t="s">
        <v>109</v>
      </c>
    </row>
    <row r="56" spans="1:68" ht="12" thickBot="1" x14ac:dyDescent="0.25">
      <c r="C56" s="32"/>
      <c r="D56" s="32"/>
      <c r="E56" s="32"/>
      <c r="F56" s="32"/>
      <c r="G56" s="32"/>
      <c r="H56" s="56"/>
      <c r="I56" s="33"/>
      <c r="J56" s="34"/>
      <c r="K56" s="57"/>
      <c r="L56" s="32"/>
      <c r="M56" s="32"/>
      <c r="N56" s="32"/>
      <c r="O56" s="32"/>
      <c r="P56" s="56"/>
      <c r="Q56" s="56"/>
      <c r="R56" s="34"/>
      <c r="S56" s="32"/>
      <c r="T56" s="32"/>
      <c r="U56" s="32"/>
      <c r="V56" s="32"/>
      <c r="W56" s="32"/>
      <c r="X56" s="32"/>
      <c r="Y56" s="32"/>
      <c r="Z56" s="57"/>
      <c r="AA56" s="57"/>
      <c r="AB56" s="57"/>
      <c r="AC56" s="57"/>
      <c r="AD56" s="32"/>
      <c r="AE56" s="32"/>
      <c r="AF56" s="32"/>
      <c r="AG56" s="32"/>
      <c r="AH56" s="32"/>
      <c r="AI56" s="32"/>
      <c r="AJ56" s="34"/>
      <c r="AK56" s="32"/>
      <c r="AL56" s="32"/>
      <c r="AM56" s="58"/>
      <c r="AN56" s="58"/>
      <c r="AO56" s="32"/>
      <c r="AP56" s="58"/>
      <c r="AQ56" s="58"/>
      <c r="AR56" s="58"/>
      <c r="AS56" s="58"/>
      <c r="AT56" s="58"/>
      <c r="AU56" s="58"/>
      <c r="AV56" s="59"/>
      <c r="AW56" s="34"/>
      <c r="AX56" s="34"/>
      <c r="AY56" s="34"/>
      <c r="BB56" s="60" t="s">
        <v>49</v>
      </c>
      <c r="BC56" s="60"/>
      <c r="BD56" s="60"/>
      <c r="BE56" s="64" t="e">
        <f>VLOOKUP(+BP56,'Datos Rebisco'!AY4:BG171,4,0)</f>
        <v>#N/A</v>
      </c>
      <c r="BF56" s="64" t="e">
        <f>VLOOKUP(+BP56,'Datos Rebisco'!AY4:BG171,5,0)</f>
        <v>#N/A</v>
      </c>
      <c r="BG56" s="64" t="e">
        <f>VLOOKUP(+BP56,'Datos Rebisco'!AY4:BG171,6,0)</f>
        <v>#N/A</v>
      </c>
      <c r="BH56" s="64" t="e">
        <f>VLOOKUP(+BP56,'Datos Rebisco'!AY4:BG171,7,0)</f>
        <v>#N/A</v>
      </c>
      <c r="BI56" s="64"/>
      <c r="BJ56" s="65" t="e">
        <f>VLOOKUP(+BP56,'Datos Rebisco'!AY4:BH171,9,0)</f>
        <v>#N/A</v>
      </c>
      <c r="BK56" s="65" t="e">
        <f>VLOOKUP(+BP56,'Datos Rebisco'!AY4:BH171,10,0)</f>
        <v>#N/A</v>
      </c>
      <c r="BL56" s="65" t="e">
        <f>VLOOKUP(+BP56,'Datos Rebisco'!AT4:BF171,11,0)</f>
        <v>#N/A</v>
      </c>
      <c r="BM56" s="65" t="e">
        <f>VLOOKUP(+BP56,'Datos Rebisco'!AT4:BF171,12,0)</f>
        <v>#N/A</v>
      </c>
      <c r="BN56" s="64"/>
      <c r="BP56" s="39" t="s">
        <v>117</v>
      </c>
    </row>
    <row r="57" spans="1:68" ht="12.75" thickTop="1" thickBot="1" x14ac:dyDescent="0.25">
      <c r="A57" s="66" t="s">
        <v>82</v>
      </c>
      <c r="B57" s="67"/>
      <c r="C57" s="68" t="e">
        <f>(+C40-C55)/C55</f>
        <v>#N/A</v>
      </c>
      <c r="D57" s="66"/>
      <c r="E57" s="68" t="e">
        <f>(+E40-E55)/E55</f>
        <v>#N/A</v>
      </c>
      <c r="F57" s="68" t="e">
        <f>(+F40-F55)/F55</f>
        <v>#N/A</v>
      </c>
      <c r="G57" s="68" t="e">
        <f>(+G40-G55)/G55</f>
        <v>#N/A</v>
      </c>
      <c r="H57" s="67"/>
      <c r="I57" s="67"/>
      <c r="J57" s="67"/>
      <c r="K57" s="69" t="e">
        <f>(+K40-K55)/K55</f>
        <v>#N/A</v>
      </c>
      <c r="L57" s="67"/>
      <c r="M57" s="68" t="e">
        <f>(+M40-M55)/M55</f>
        <v>#N/A</v>
      </c>
      <c r="N57" s="68" t="e">
        <f>(+N40-N55)/N55</f>
        <v>#N/A</v>
      </c>
      <c r="O57" s="68" t="e">
        <f>(+O40-O55)/O55</f>
        <v>#N/A</v>
      </c>
      <c r="P57" s="67"/>
      <c r="Q57" s="67"/>
      <c r="R57" s="67"/>
      <c r="S57" s="69" t="e">
        <f>(+S40-S55)/S55</f>
        <v>#N/A</v>
      </c>
      <c r="T57" s="69" t="e">
        <f>(+T40-T55)/T55</f>
        <v>#DIV/0!</v>
      </c>
      <c r="U57" s="69" t="e">
        <f>(+U40-U55)/U55</f>
        <v>#DIV/0!</v>
      </c>
      <c r="V57" s="66"/>
      <c r="W57" s="68" t="e">
        <f>(+W40-W55)/W55</f>
        <v>#N/A</v>
      </c>
      <c r="X57" s="68" t="e">
        <f>(+X40-X55)/X55</f>
        <v>#N/A</v>
      </c>
      <c r="Y57" s="68" t="e">
        <f>(+Y40-Y55)/Y55</f>
        <v>#N/A</v>
      </c>
      <c r="Z57" s="68"/>
      <c r="AA57" s="68"/>
      <c r="AB57" s="68"/>
      <c r="AC57" s="68"/>
      <c r="AD57" s="139" t="e">
        <f t="shared" ref="AD57:AI57" si="30">(+AD40-AD55)/AD55</f>
        <v>#N/A</v>
      </c>
      <c r="AE57" s="68" t="e">
        <f t="shared" si="30"/>
        <v>#N/A</v>
      </c>
      <c r="AF57" s="69" t="e">
        <f t="shared" si="30"/>
        <v>#N/A</v>
      </c>
      <c r="AG57" s="68" t="e">
        <f t="shared" si="30"/>
        <v>#N/A</v>
      </c>
      <c r="AH57" s="68" t="e">
        <f t="shared" si="30"/>
        <v>#N/A</v>
      </c>
      <c r="AI57" s="68" t="e">
        <f t="shared" si="30"/>
        <v>#N/A</v>
      </c>
      <c r="AJ57" s="67"/>
      <c r="AK57" s="70" t="e">
        <f>(+AK40-AK55)/AK55</f>
        <v>#N/A</v>
      </c>
      <c r="AL57" s="68" t="e">
        <f>(+AL40-AL55)/AL55</f>
        <v>#N/A</v>
      </c>
      <c r="AM57" s="69"/>
      <c r="AN57" s="68" t="e">
        <f>(+AN40-AN55)/AN55</f>
        <v>#N/A</v>
      </c>
      <c r="AO57" s="68" t="e">
        <f>(+AO40-AO55)/AO55</f>
        <v>#DIV/0!</v>
      </c>
      <c r="AP57" s="69"/>
      <c r="AQ57" s="68"/>
      <c r="AR57" s="68"/>
      <c r="AS57" s="68"/>
      <c r="AT57" s="68"/>
      <c r="AU57" s="68"/>
      <c r="AV57" s="68" t="e">
        <f>(+AV40-AV55)/AV55</f>
        <v>#N/A</v>
      </c>
      <c r="AW57" s="71"/>
      <c r="BE57" s="3"/>
      <c r="BF57" s="3"/>
      <c r="BG57" s="3"/>
      <c r="BH57" s="3"/>
      <c r="BI57" s="3"/>
      <c r="BJ57" s="3"/>
      <c r="BK57" s="3"/>
      <c r="BL57" s="3"/>
    </row>
    <row r="58" spans="1:68" ht="12" thickBot="1" x14ac:dyDescent="0.25">
      <c r="A58" s="72" t="s">
        <v>83</v>
      </c>
      <c r="B58" s="73"/>
      <c r="C58" s="73"/>
      <c r="D58" s="72"/>
      <c r="E58" s="74" t="e">
        <f>+E40-E55</f>
        <v>#N/A</v>
      </c>
      <c r="F58" s="74" t="e">
        <f>+F40-F55</f>
        <v>#N/A</v>
      </c>
      <c r="G58" s="74" t="e">
        <f>+G40-G55</f>
        <v>#N/A</v>
      </c>
      <c r="H58" s="73"/>
      <c r="I58" s="73"/>
      <c r="J58" s="73"/>
      <c r="K58" s="75" t="e">
        <f>+K40-K55</f>
        <v>#N/A</v>
      </c>
      <c r="L58" s="73"/>
      <c r="M58" s="74" t="e">
        <f>+M40-M55</f>
        <v>#N/A</v>
      </c>
      <c r="N58" s="74" t="e">
        <f>+N40-N55</f>
        <v>#N/A</v>
      </c>
      <c r="O58" s="74" t="e">
        <f>+O40-O55</f>
        <v>#N/A</v>
      </c>
      <c r="P58" s="73"/>
      <c r="Q58" s="73"/>
      <c r="R58" s="73"/>
      <c r="S58" s="75" t="e">
        <f>+S40-S55</f>
        <v>#N/A</v>
      </c>
      <c r="T58" s="75" t="e">
        <f>+T40-T55</f>
        <v>#DIV/0!</v>
      </c>
      <c r="U58" s="75" t="e">
        <f>+U40-U55</f>
        <v>#DIV/0!</v>
      </c>
      <c r="V58" s="72"/>
      <c r="W58" s="74" t="e">
        <f>+W40-W55</f>
        <v>#N/A</v>
      </c>
      <c r="X58" s="74" t="e">
        <f>+X40-X55</f>
        <v>#N/A</v>
      </c>
      <c r="Y58" s="74" t="e">
        <f>+Y40-Y55</f>
        <v>#N/A</v>
      </c>
      <c r="Z58" s="74"/>
      <c r="AA58" s="74"/>
      <c r="AB58" s="74"/>
      <c r="AC58" s="74"/>
      <c r="AD58" s="140" t="e">
        <f t="shared" ref="AD58:AI58" si="31">+AD40-AD55</f>
        <v>#N/A</v>
      </c>
      <c r="AE58" s="74" t="e">
        <f t="shared" si="31"/>
        <v>#N/A</v>
      </c>
      <c r="AF58" s="79" t="e">
        <f t="shared" si="31"/>
        <v>#N/A</v>
      </c>
      <c r="AG58" s="74" t="e">
        <f t="shared" si="31"/>
        <v>#N/A</v>
      </c>
      <c r="AH58" s="74" t="e">
        <f t="shared" si="31"/>
        <v>#N/A</v>
      </c>
      <c r="AI58" s="74" t="e">
        <f t="shared" si="31"/>
        <v>#N/A</v>
      </c>
      <c r="AJ58" s="73"/>
      <c r="AK58" s="76" t="e">
        <f>+AK40-AK55</f>
        <v>#N/A</v>
      </c>
      <c r="AL58" s="74" t="e">
        <f>+AL40-AL55</f>
        <v>#N/A</v>
      </c>
      <c r="AM58" s="77"/>
      <c r="AN58" s="279" t="e">
        <f>+AN40-AN55</f>
        <v>#N/A</v>
      </c>
      <c r="AO58" s="74" t="e">
        <f>+AO40-AO55</f>
        <v>#DIV/0!</v>
      </c>
      <c r="AP58" s="77"/>
      <c r="AQ58" s="73"/>
      <c r="AR58" s="73"/>
      <c r="AS58" s="73"/>
      <c r="AT58" s="73"/>
      <c r="AU58" s="73"/>
      <c r="AV58" s="74" t="e">
        <f>+AV40-AV55</f>
        <v>#N/A</v>
      </c>
      <c r="AW58" s="77"/>
      <c r="BK58" s="114"/>
    </row>
    <row r="59" spans="1:68" x14ac:dyDescent="0.2">
      <c r="BJ59" s="232"/>
    </row>
    <row r="60" spans="1:68" x14ac:dyDescent="0.2">
      <c r="BJ60" s="114"/>
      <c r="BK60" s="233"/>
    </row>
  </sheetData>
  <mergeCells count="23">
    <mergeCell ref="D4:K4"/>
    <mergeCell ref="L4:S4"/>
    <mergeCell ref="V4:AC4"/>
    <mergeCell ref="AG4:AJ4"/>
    <mergeCell ref="AL4:AM4"/>
    <mergeCell ref="D5:K5"/>
    <mergeCell ref="V5:AC5"/>
    <mergeCell ref="BA5:BA6"/>
    <mergeCell ref="BB5:BB6"/>
    <mergeCell ref="BE5:BE6"/>
    <mergeCell ref="BJ4:BM4"/>
    <mergeCell ref="AY4:AZ4"/>
    <mergeCell ref="BF5:BF6"/>
    <mergeCell ref="AN4:AP4"/>
    <mergeCell ref="BC4:BD4"/>
    <mergeCell ref="BC5:BC6"/>
    <mergeCell ref="BD5:BD6"/>
    <mergeCell ref="BA4:BB4"/>
    <mergeCell ref="BE4:BI4"/>
    <mergeCell ref="BG5:BG6"/>
    <mergeCell ref="BH5:BH6"/>
    <mergeCell ref="BI5:BI6"/>
    <mergeCell ref="AQ4:AU4"/>
  </mergeCells>
  <printOptions horizontalCentered="1"/>
  <pageMargins left="7.874015748031496E-2" right="0.11811023622047245" top="0.39370078740157483" bottom="0.98425196850393704" header="0" footer="0"/>
  <pageSetup paperSize="5" scale="72" orientation="landscape" r:id="rId1"/>
  <headerFooter alignWithMargins="0"/>
  <ignoredErrors>
    <ignoredError sqref="BB3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workbookViewId="0">
      <selection activeCell="A2" sqref="A2"/>
    </sheetView>
  </sheetViews>
  <sheetFormatPr defaultColWidth="11.42578125" defaultRowHeight="12" x14ac:dyDescent="0.2"/>
  <cols>
    <col min="1" max="7" width="17.138671875" style="145" customWidth="1"/>
  </cols>
  <sheetData>
    <row r="2" spans="1:7" ht="12.75" thickBot="1" x14ac:dyDescent="0.25">
      <c r="A2" s="160" t="s">
        <v>92</v>
      </c>
      <c r="B2" s="161" t="s">
        <v>135</v>
      </c>
      <c r="C2" s="161" t="s">
        <v>136</v>
      </c>
      <c r="D2" s="161" t="s">
        <v>137</v>
      </c>
      <c r="E2" s="161" t="s">
        <v>87</v>
      </c>
      <c r="F2" s="161"/>
    </row>
    <row r="3" spans="1:7" x14ac:dyDescent="0.2">
      <c r="A3" s="155" t="s">
        <v>88</v>
      </c>
      <c r="B3" s="338">
        <f>SUM(B4:B6)</f>
        <v>0</v>
      </c>
      <c r="C3" s="338">
        <f>SUM(C4:C6)</f>
        <v>0</v>
      </c>
      <c r="D3" s="338">
        <f>SUM(D4:D6)</f>
        <v>0</v>
      </c>
      <c r="E3" s="156">
        <f>HLOOKUP("Electronic",Resumen!BE5:BH39,+'Biyemas S.A.'!D1+2,0)</f>
        <v>0</v>
      </c>
      <c r="F3" s="39"/>
    </row>
    <row r="4" spans="1:7" ht="12.75" thickBot="1" x14ac:dyDescent="0.25">
      <c r="A4" s="155" t="s">
        <v>89</v>
      </c>
      <c r="B4" s="338">
        <f>INDEX('Biyemas S.A.'!G7:G37,'Biyemas S.A.'!D1)</f>
        <v>0</v>
      </c>
      <c r="C4" s="338">
        <f>INDEX('Biyemas S.A.'!O7:O37,'Biyemas S.A.'!D1)</f>
        <v>0</v>
      </c>
      <c r="D4" s="338">
        <f>SUM(B4,C4)</f>
        <v>0</v>
      </c>
      <c r="E4" s="156">
        <f>HLOOKUP("Electronic",'Biyemas S.A.'!BE5:BH39,+'Biyemas S.A.'!D1+2,0)</f>
        <v>0</v>
      </c>
      <c r="F4" s="39"/>
    </row>
    <row r="5" spans="1:7" x14ac:dyDescent="0.2">
      <c r="A5" s="155" t="s">
        <v>90</v>
      </c>
      <c r="B5" s="338">
        <f>INDEX('Kandiko S.A'!G7:G37,'Kandiko S.A'!D1)</f>
        <v>0</v>
      </c>
      <c r="C5" s="338">
        <f>INDEX('Kandiko S.A'!O7:O37,'Kandiko S.A'!D1)</f>
        <v>0</v>
      </c>
      <c r="D5" s="338">
        <f>SUM(B5,C5)</f>
        <v>0</v>
      </c>
      <c r="E5" s="156">
        <f>HLOOKUP("Electronic",'Kandiko S.A'!BA5:BF39,+'Biyemas S.A.'!D1+2,0)</f>
        <v>0</v>
      </c>
      <c r="F5" s="39"/>
    </row>
    <row r="6" spans="1:7" x14ac:dyDescent="0.2">
      <c r="A6" s="155" t="s">
        <v>91</v>
      </c>
      <c r="B6" s="338">
        <f>INDEX('Rebisco S.A.'!G7:G37,'Rebisco S.A.'!D1)</f>
        <v>0</v>
      </c>
      <c r="C6" s="338">
        <f>INDEX('Rebisco S.A.'!O7:O37,'Rebisco S.A.'!D1)</f>
        <v>0</v>
      </c>
      <c r="D6" s="338">
        <f>SUM(B6,C6)</f>
        <v>0</v>
      </c>
      <c r="E6" s="156">
        <f>HLOOKUP("Electronic",'Rebisco S.A.'!BA5:BF39,+'Biyemas S.A.'!D1+2,0)</f>
        <v>0</v>
      </c>
      <c r="F6" s="39"/>
    </row>
    <row r="7" spans="1:7" ht="7.5" customHeight="1" x14ac:dyDescent="0.2">
      <c r="A7" s="157"/>
      <c r="B7" s="158"/>
      <c r="C7" s="158"/>
      <c r="D7" s="158"/>
      <c r="E7" s="158"/>
      <c r="F7" s="39"/>
    </row>
    <row r="8" spans="1:7" x14ac:dyDescent="0.2">
      <c r="A8" s="160" t="s">
        <v>93</v>
      </c>
      <c r="B8" s="164" t="s">
        <v>135</v>
      </c>
      <c r="C8" s="164" t="s">
        <v>136</v>
      </c>
      <c r="D8" s="164" t="s">
        <v>137</v>
      </c>
      <c r="E8" s="164" t="s">
        <v>87</v>
      </c>
      <c r="F8" s="161" t="s">
        <v>118</v>
      </c>
      <c r="G8" s="161" t="s">
        <v>119</v>
      </c>
    </row>
    <row r="9" spans="1:7" x14ac:dyDescent="0.2">
      <c r="A9" s="155" t="s">
        <v>88</v>
      </c>
      <c r="B9" s="338">
        <f>SUM(B10:B12)</f>
        <v>0</v>
      </c>
      <c r="C9" s="338">
        <f>SUM(C10:C12)</f>
        <v>0</v>
      </c>
      <c r="D9" s="338">
        <f>SUM(D10:D12)</f>
        <v>0</v>
      </c>
      <c r="E9" s="156" t="e">
        <f>+Resumen!BF39</f>
        <v>#N/A</v>
      </c>
      <c r="F9" s="156" t="e">
        <f>+Resumen!AD48</f>
        <v>#DIV/0!</v>
      </c>
      <c r="G9" s="156" t="e">
        <f>+Resumen!AD57</f>
        <v>#DIV/0!</v>
      </c>
    </row>
    <row r="10" spans="1:7" x14ac:dyDescent="0.2">
      <c r="A10" s="155" t="s">
        <v>89</v>
      </c>
      <c r="B10" s="338">
        <f>+'Biyemas S.A.'!G39</f>
        <v>0</v>
      </c>
      <c r="C10" s="338">
        <f>+'Biyemas S.A.'!O39</f>
        <v>0</v>
      </c>
      <c r="D10" s="338">
        <f>SUM(B10,C10)</f>
        <v>0</v>
      </c>
      <c r="E10" s="156" t="e">
        <f>+'Biyemas S.A.'!BF39</f>
        <v>#N/A</v>
      </c>
      <c r="F10" s="156" t="e">
        <f>+'Biyemas S.A.'!AD48</f>
        <v>#N/A</v>
      </c>
      <c r="G10" s="156" t="e">
        <f>+'Biyemas S.A.'!AD57</f>
        <v>#N/A</v>
      </c>
    </row>
    <row r="11" spans="1:7" x14ac:dyDescent="0.2">
      <c r="A11" s="155" t="s">
        <v>90</v>
      </c>
      <c r="B11" s="338">
        <f>+'Kandiko S.A'!G39</f>
        <v>0</v>
      </c>
      <c r="C11" s="338">
        <f>+'Kandiko S.A'!O39</f>
        <v>0</v>
      </c>
      <c r="D11" s="338">
        <f>SUM(B11,C11)</f>
        <v>0</v>
      </c>
      <c r="E11" s="156" t="e">
        <f>+'Kandiko S.A'!BF39</f>
        <v>#N/A</v>
      </c>
      <c r="F11" s="156" t="e">
        <f>+'Kandiko S.A'!AD48</f>
        <v>#N/A</v>
      </c>
      <c r="G11" s="156" t="e">
        <f>+'Kandiko S.A'!AD57</f>
        <v>#N/A</v>
      </c>
    </row>
    <row r="12" spans="1:7" x14ac:dyDescent="0.2">
      <c r="A12" s="155" t="s">
        <v>91</v>
      </c>
      <c r="B12" s="338">
        <f>+'Rebisco S.A.'!G39</f>
        <v>0</v>
      </c>
      <c r="C12" s="338">
        <f>+'Rebisco S.A.'!O39</f>
        <v>0</v>
      </c>
      <c r="D12" s="338">
        <f>SUM(B12,C12)</f>
        <v>0</v>
      </c>
      <c r="E12" s="156" t="e">
        <f>+'Rebisco S.A.'!BF39</f>
        <v>#N/A</v>
      </c>
      <c r="F12" s="156" t="e">
        <f>+'Rebisco S.A.'!AD48</f>
        <v>#N/A</v>
      </c>
      <c r="G12" s="156" t="e">
        <f>+'Rebisco S.A.'!AD57</f>
        <v>#N/A</v>
      </c>
    </row>
    <row r="13" spans="1:7" x14ac:dyDescent="0.2">
      <c r="A13" s="39"/>
      <c r="D13" s="39"/>
      <c r="E13" s="39"/>
    </row>
  </sheetData>
  <phoneticPr fontId="0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B2:T215"/>
  <sheetViews>
    <sheetView showGridLines="0" workbookViewId="0">
      <selection activeCell="D182" sqref="D182"/>
    </sheetView>
  </sheetViews>
  <sheetFormatPr defaultColWidth="11.42578125" defaultRowHeight="11.25" x14ac:dyDescent="0.2"/>
  <cols>
    <col min="1" max="2" width="11.44140625" style="39"/>
    <col min="3" max="3" width="13" style="39" customWidth="1"/>
    <col min="4" max="5" width="12.6640625" style="39" customWidth="1"/>
    <col min="6" max="10" width="11.44140625" style="39"/>
    <col min="11" max="11" width="13" style="39" customWidth="1"/>
    <col min="12" max="12" width="12.109375" style="39" customWidth="1"/>
    <col min="13" max="13" width="12.6640625" style="39" customWidth="1"/>
    <col min="14" max="14" width="12.88671875" style="39" customWidth="1"/>
    <col min="15" max="18" width="11.44140625" style="39"/>
    <col min="19" max="19" width="12.33203125" style="39" customWidth="1"/>
    <col min="20" max="20" width="12.88671875" style="39" customWidth="1"/>
    <col min="21" max="16384" width="11.44140625" style="39"/>
  </cols>
  <sheetData>
    <row r="2" spans="2:6" x14ac:dyDescent="0.2">
      <c r="B2" s="2" t="s">
        <v>0</v>
      </c>
    </row>
    <row r="4" spans="2:6" ht="11.25" customHeight="1" x14ac:dyDescent="0.2">
      <c r="D4" s="336" t="s">
        <v>77</v>
      </c>
      <c r="E4" s="336" t="s">
        <v>51</v>
      </c>
      <c r="F4" s="336" t="s">
        <v>79</v>
      </c>
    </row>
    <row r="5" spans="2:6" x14ac:dyDescent="0.2">
      <c r="D5" s="336"/>
      <c r="E5" s="336"/>
      <c r="F5" s="336"/>
    </row>
    <row r="6" spans="2:6" x14ac:dyDescent="0.2">
      <c r="D6" s="336"/>
      <c r="E6" s="336"/>
      <c r="F6" s="336"/>
    </row>
    <row r="7" spans="2:6" x14ac:dyDescent="0.2">
      <c r="B7" s="3" t="e">
        <f>+'Biyemas S.A.'!#REF!</f>
        <v>#REF!</v>
      </c>
      <c r="C7" s="5" t="str">
        <f>C67</f>
        <v/>
      </c>
      <c r="D7" s="8" t="e">
        <f t="shared" ref="D7:D34" si="0">M67+M125+M182</f>
        <v>#REF!</v>
      </c>
      <c r="E7" s="8" t="e">
        <f t="shared" ref="E7:E34" si="1">N67+N125+N182</f>
        <v>#VALUE!</v>
      </c>
      <c r="F7" s="8" t="e">
        <f>Seasonality!O67+Seasonality!O125+Seasonality!O182</f>
        <v>#VALUE!</v>
      </c>
    </row>
    <row r="8" spans="2:6" x14ac:dyDescent="0.2">
      <c r="B8" s="3" t="e">
        <f>+'Biyemas S.A.'!#REF!</f>
        <v>#REF!</v>
      </c>
      <c r="C8" s="5" t="str">
        <f t="shared" ref="C8:C37" si="2">C68</f>
        <v/>
      </c>
      <c r="D8" s="8" t="e">
        <f t="shared" si="0"/>
        <v>#REF!</v>
      </c>
      <c r="E8" s="8" t="e">
        <f t="shared" si="1"/>
        <v>#VALUE!</v>
      </c>
      <c r="F8" s="8" t="e">
        <f>Seasonality!O68+Seasonality!O126+Seasonality!O183</f>
        <v>#VALUE!</v>
      </c>
    </row>
    <row r="9" spans="2:6" x14ac:dyDescent="0.2">
      <c r="B9" s="3" t="e">
        <f>+'Biyemas S.A.'!#REF!</f>
        <v>#REF!</v>
      </c>
      <c r="C9" s="5" t="str">
        <f t="shared" si="2"/>
        <v/>
      </c>
      <c r="D9" s="8" t="e">
        <f t="shared" si="0"/>
        <v>#REF!</v>
      </c>
      <c r="E9" s="8" t="e">
        <f t="shared" si="1"/>
        <v>#VALUE!</v>
      </c>
      <c r="F9" s="8" t="e">
        <f>Seasonality!O69+Seasonality!O127+Seasonality!O184</f>
        <v>#VALUE!</v>
      </c>
    </row>
    <row r="10" spans="2:6" x14ac:dyDescent="0.2">
      <c r="B10" s="3" t="e">
        <f>+'Biyemas S.A.'!#REF!</f>
        <v>#REF!</v>
      </c>
      <c r="C10" s="5" t="str">
        <f t="shared" si="2"/>
        <v/>
      </c>
      <c r="D10" s="8" t="e">
        <f t="shared" si="0"/>
        <v>#REF!</v>
      </c>
      <c r="E10" s="8" t="e">
        <f t="shared" si="1"/>
        <v>#VALUE!</v>
      </c>
      <c r="F10" s="8" t="e">
        <f>Seasonality!O70+Seasonality!O128+Seasonality!O185</f>
        <v>#VALUE!</v>
      </c>
    </row>
    <row r="11" spans="2:6" x14ac:dyDescent="0.2">
      <c r="B11" s="3" t="e">
        <f>+'Biyemas S.A.'!#REF!</f>
        <v>#REF!</v>
      </c>
      <c r="C11" s="5" t="str">
        <f t="shared" si="2"/>
        <v/>
      </c>
      <c r="D11" s="8" t="e">
        <f t="shared" si="0"/>
        <v>#REF!</v>
      </c>
      <c r="E11" s="8" t="e">
        <f t="shared" si="1"/>
        <v>#VALUE!</v>
      </c>
      <c r="F11" s="8" t="e">
        <f>Seasonality!O71+Seasonality!O129+Seasonality!O186</f>
        <v>#VALUE!</v>
      </c>
    </row>
    <row r="12" spans="2:6" x14ac:dyDescent="0.2">
      <c r="B12" s="3" t="e">
        <f>+'Biyemas S.A.'!#REF!</f>
        <v>#REF!</v>
      </c>
      <c r="C12" s="5" t="str">
        <f t="shared" si="2"/>
        <v/>
      </c>
      <c r="D12" s="8" t="e">
        <f t="shared" si="0"/>
        <v>#REF!</v>
      </c>
      <c r="E12" s="8" t="e">
        <f t="shared" si="1"/>
        <v>#VALUE!</v>
      </c>
      <c r="F12" s="8" t="e">
        <f>Seasonality!O72+Seasonality!O130+Seasonality!O187</f>
        <v>#VALUE!</v>
      </c>
    </row>
    <row r="13" spans="2:6" x14ac:dyDescent="0.2">
      <c r="B13" s="3" t="e">
        <f>+'Biyemas S.A.'!#REF!</f>
        <v>#REF!</v>
      </c>
      <c r="C13" s="5" t="str">
        <f t="shared" si="2"/>
        <v/>
      </c>
      <c r="D13" s="8" t="e">
        <f t="shared" si="0"/>
        <v>#REF!</v>
      </c>
      <c r="E13" s="8" t="e">
        <f t="shared" si="1"/>
        <v>#VALUE!</v>
      </c>
      <c r="F13" s="8" t="e">
        <f>Seasonality!O73+Seasonality!O131+Seasonality!O188</f>
        <v>#VALUE!</v>
      </c>
    </row>
    <row r="14" spans="2:6" x14ac:dyDescent="0.2">
      <c r="B14" s="3" t="str">
        <f>+'Biyemas S.A.'!A7</f>
        <v/>
      </c>
      <c r="C14" s="5" t="str">
        <f t="shared" si="2"/>
        <v/>
      </c>
      <c r="D14" s="8" t="e">
        <f t="shared" si="0"/>
        <v>#REF!</v>
      </c>
      <c r="E14" s="8" t="e">
        <f t="shared" si="1"/>
        <v>#VALUE!</v>
      </c>
      <c r="F14" s="8" t="e">
        <f>Seasonality!O74+Seasonality!O132+Seasonality!O189</f>
        <v>#VALUE!</v>
      </c>
    </row>
    <row r="15" spans="2:6" x14ac:dyDescent="0.2">
      <c r="B15" s="3" t="str">
        <f>+'Biyemas S.A.'!A8</f>
        <v/>
      </c>
      <c r="C15" s="5" t="str">
        <f t="shared" si="2"/>
        <v/>
      </c>
      <c r="D15" s="8" t="e">
        <f t="shared" si="0"/>
        <v>#REF!</v>
      </c>
      <c r="E15" s="8" t="e">
        <f t="shared" si="1"/>
        <v>#VALUE!</v>
      </c>
      <c r="F15" s="8" t="e">
        <f>Seasonality!O75+Seasonality!O133+Seasonality!O190</f>
        <v>#VALUE!</v>
      </c>
    </row>
    <row r="16" spans="2:6" x14ac:dyDescent="0.2">
      <c r="B16" s="3" t="str">
        <f>+'Biyemas S.A.'!A9</f>
        <v/>
      </c>
      <c r="C16" s="5" t="str">
        <f t="shared" si="2"/>
        <v/>
      </c>
      <c r="D16" s="8" t="e">
        <f>M76+M134+M191</f>
        <v>#REF!</v>
      </c>
      <c r="E16" s="8" t="e">
        <f t="shared" si="1"/>
        <v>#VALUE!</v>
      </c>
      <c r="F16" s="8" t="e">
        <f>Seasonality!O76+Seasonality!O134+Seasonality!O191</f>
        <v>#VALUE!</v>
      </c>
    </row>
    <row r="17" spans="2:6" x14ac:dyDescent="0.2">
      <c r="B17" s="3" t="str">
        <f>+'Biyemas S.A.'!A10</f>
        <v/>
      </c>
      <c r="C17" s="5" t="str">
        <f t="shared" si="2"/>
        <v/>
      </c>
      <c r="D17" s="8" t="e">
        <f t="shared" si="0"/>
        <v>#REF!</v>
      </c>
      <c r="E17" s="8" t="e">
        <f t="shared" si="1"/>
        <v>#VALUE!</v>
      </c>
      <c r="F17" s="8" t="e">
        <f>Seasonality!O77+Seasonality!O135+Seasonality!O192</f>
        <v>#VALUE!</v>
      </c>
    </row>
    <row r="18" spans="2:6" x14ac:dyDescent="0.2">
      <c r="B18" s="3" t="str">
        <f>+'Biyemas S.A.'!A11</f>
        <v/>
      </c>
      <c r="C18" s="5" t="str">
        <f t="shared" si="2"/>
        <v/>
      </c>
      <c r="D18" s="8" t="e">
        <f t="shared" si="0"/>
        <v>#REF!</v>
      </c>
      <c r="E18" s="8" t="e">
        <f t="shared" si="1"/>
        <v>#VALUE!</v>
      </c>
      <c r="F18" s="8" t="e">
        <f>Seasonality!O78+Seasonality!O136+Seasonality!O193</f>
        <v>#VALUE!</v>
      </c>
    </row>
    <row r="19" spans="2:6" ht="11.25" customHeight="1" x14ac:dyDescent="0.2">
      <c r="B19" s="3" t="str">
        <f>+'Biyemas S.A.'!A12</f>
        <v/>
      </c>
      <c r="C19" s="5" t="str">
        <f t="shared" si="2"/>
        <v/>
      </c>
      <c r="D19" s="8" t="e">
        <f t="shared" si="0"/>
        <v>#REF!</v>
      </c>
      <c r="E19" s="8" t="e">
        <f t="shared" si="1"/>
        <v>#VALUE!</v>
      </c>
      <c r="F19" s="8" t="e">
        <f>Seasonality!O79+Seasonality!O137+Seasonality!O194</f>
        <v>#VALUE!</v>
      </c>
    </row>
    <row r="20" spans="2:6" x14ac:dyDescent="0.2">
      <c r="B20" s="3" t="str">
        <f>+'Biyemas S.A.'!A13</f>
        <v/>
      </c>
      <c r="C20" s="5" t="str">
        <f t="shared" si="2"/>
        <v/>
      </c>
      <c r="D20" s="8" t="e">
        <f t="shared" si="0"/>
        <v>#REF!</v>
      </c>
      <c r="E20" s="8" t="e">
        <f t="shared" si="1"/>
        <v>#VALUE!</v>
      </c>
      <c r="F20" s="8" t="e">
        <f>Seasonality!O80+Seasonality!O138+Seasonality!O195</f>
        <v>#VALUE!</v>
      </c>
    </row>
    <row r="21" spans="2:6" x14ac:dyDescent="0.2">
      <c r="B21" s="3" t="str">
        <f>+'Biyemas S.A.'!A14</f>
        <v/>
      </c>
      <c r="C21" s="5" t="str">
        <f t="shared" si="2"/>
        <v/>
      </c>
      <c r="D21" s="8" t="e">
        <f t="shared" si="0"/>
        <v>#REF!</v>
      </c>
      <c r="E21" s="8" t="e">
        <f t="shared" si="1"/>
        <v>#VALUE!</v>
      </c>
      <c r="F21" s="8" t="e">
        <f>Seasonality!O81+Seasonality!O139+Seasonality!O196</f>
        <v>#VALUE!</v>
      </c>
    </row>
    <row r="22" spans="2:6" x14ac:dyDescent="0.2">
      <c r="B22" s="3" t="str">
        <f>+'Biyemas S.A.'!A15</f>
        <v/>
      </c>
      <c r="C22" s="5" t="str">
        <f t="shared" si="2"/>
        <v/>
      </c>
      <c r="D22" s="8" t="e">
        <f t="shared" si="0"/>
        <v>#REF!</v>
      </c>
      <c r="E22" s="8" t="e">
        <f t="shared" si="1"/>
        <v>#VALUE!</v>
      </c>
      <c r="F22" s="8" t="e">
        <f>Seasonality!O82+Seasonality!O140+Seasonality!O197</f>
        <v>#VALUE!</v>
      </c>
    </row>
    <row r="23" spans="2:6" x14ac:dyDescent="0.2">
      <c r="B23" s="3" t="str">
        <f>+'Biyemas S.A.'!A16</f>
        <v/>
      </c>
      <c r="C23" s="5" t="str">
        <f t="shared" si="2"/>
        <v/>
      </c>
      <c r="D23" s="8" t="e">
        <f t="shared" si="0"/>
        <v>#REF!</v>
      </c>
      <c r="E23" s="8" t="e">
        <f t="shared" si="1"/>
        <v>#VALUE!</v>
      </c>
      <c r="F23" s="8" t="e">
        <f>Seasonality!O83+Seasonality!O141+Seasonality!O198</f>
        <v>#VALUE!</v>
      </c>
    </row>
    <row r="24" spans="2:6" x14ac:dyDescent="0.2">
      <c r="B24" s="3" t="str">
        <f>+'Biyemas S.A.'!A17</f>
        <v/>
      </c>
      <c r="C24" s="5" t="str">
        <f t="shared" si="2"/>
        <v/>
      </c>
      <c r="D24" s="8" t="e">
        <f t="shared" si="0"/>
        <v>#REF!</v>
      </c>
      <c r="E24" s="8" t="e">
        <f t="shared" si="1"/>
        <v>#VALUE!</v>
      </c>
      <c r="F24" s="8" t="e">
        <f>Seasonality!O84+Seasonality!O142+Seasonality!O199</f>
        <v>#VALUE!</v>
      </c>
    </row>
    <row r="25" spans="2:6" x14ac:dyDescent="0.2">
      <c r="B25" s="3" t="str">
        <f>+'Biyemas S.A.'!A18</f>
        <v/>
      </c>
      <c r="C25" s="5" t="str">
        <f t="shared" si="2"/>
        <v/>
      </c>
      <c r="D25" s="8" t="e">
        <f t="shared" si="0"/>
        <v>#REF!</v>
      </c>
      <c r="E25" s="8" t="e">
        <f t="shared" si="1"/>
        <v>#VALUE!</v>
      </c>
      <c r="F25" s="8" t="e">
        <f>Seasonality!O85+Seasonality!O143+Seasonality!O200</f>
        <v>#VALUE!</v>
      </c>
    </row>
    <row r="26" spans="2:6" x14ac:dyDescent="0.2">
      <c r="B26" s="3" t="str">
        <f>+'Biyemas S.A.'!A19</f>
        <v/>
      </c>
      <c r="C26" s="5" t="str">
        <f t="shared" si="2"/>
        <v/>
      </c>
      <c r="D26" s="8" t="e">
        <f t="shared" si="0"/>
        <v>#REF!</v>
      </c>
      <c r="E26" s="8" t="e">
        <f t="shared" si="1"/>
        <v>#VALUE!</v>
      </c>
      <c r="F26" s="8" t="e">
        <f>Seasonality!O86+Seasonality!O144+Seasonality!O201</f>
        <v>#VALUE!</v>
      </c>
    </row>
    <row r="27" spans="2:6" ht="11.25" customHeight="1" x14ac:dyDescent="0.2">
      <c r="B27" s="3" t="str">
        <f>+'Biyemas S.A.'!A20</f>
        <v/>
      </c>
      <c r="C27" s="5" t="str">
        <f t="shared" si="2"/>
        <v/>
      </c>
      <c r="D27" s="8" t="e">
        <f t="shared" si="0"/>
        <v>#REF!</v>
      </c>
      <c r="E27" s="8" t="e">
        <f t="shared" si="1"/>
        <v>#VALUE!</v>
      </c>
      <c r="F27" s="8" t="e">
        <f>Seasonality!O87+Seasonality!O145+Seasonality!O202</f>
        <v>#VALUE!</v>
      </c>
    </row>
    <row r="28" spans="2:6" x14ac:dyDescent="0.2">
      <c r="B28" s="3" t="str">
        <f>+'Biyemas S.A.'!A21</f>
        <v/>
      </c>
      <c r="C28" s="5" t="str">
        <f t="shared" si="2"/>
        <v/>
      </c>
      <c r="D28" s="8" t="e">
        <f t="shared" si="0"/>
        <v>#REF!</v>
      </c>
      <c r="E28" s="8" t="e">
        <f t="shared" si="1"/>
        <v>#VALUE!</v>
      </c>
      <c r="F28" s="8" t="e">
        <f>Seasonality!O88+Seasonality!O146+Seasonality!O203</f>
        <v>#VALUE!</v>
      </c>
    </row>
    <row r="29" spans="2:6" x14ac:dyDescent="0.2">
      <c r="B29" s="3" t="str">
        <f>+'Biyemas S.A.'!A22</f>
        <v/>
      </c>
      <c r="C29" s="5" t="str">
        <f t="shared" si="2"/>
        <v/>
      </c>
      <c r="D29" s="8" t="e">
        <f t="shared" si="0"/>
        <v>#REF!</v>
      </c>
      <c r="E29" s="8" t="e">
        <f t="shared" si="1"/>
        <v>#VALUE!</v>
      </c>
      <c r="F29" s="8" t="e">
        <f>Seasonality!O89+Seasonality!O147+Seasonality!O204</f>
        <v>#VALUE!</v>
      </c>
    </row>
    <row r="30" spans="2:6" x14ac:dyDescent="0.2">
      <c r="B30" s="3" t="str">
        <f>+'Biyemas S.A.'!A23</f>
        <v/>
      </c>
      <c r="C30" s="5" t="str">
        <f t="shared" si="2"/>
        <v/>
      </c>
      <c r="D30" s="8" t="e">
        <f t="shared" si="0"/>
        <v>#REF!</v>
      </c>
      <c r="E30" s="8" t="e">
        <f t="shared" si="1"/>
        <v>#VALUE!</v>
      </c>
      <c r="F30" s="8" t="e">
        <f>Seasonality!O90+Seasonality!O148+Seasonality!O205</f>
        <v>#VALUE!</v>
      </c>
    </row>
    <row r="31" spans="2:6" x14ac:dyDescent="0.2">
      <c r="B31" s="3" t="str">
        <f>+'Biyemas S.A.'!A24</f>
        <v/>
      </c>
      <c r="C31" s="5" t="str">
        <f t="shared" si="2"/>
        <v/>
      </c>
      <c r="D31" s="8" t="e">
        <f t="shared" si="0"/>
        <v>#REF!</v>
      </c>
      <c r="E31" s="8" t="e">
        <f t="shared" si="1"/>
        <v>#VALUE!</v>
      </c>
      <c r="F31" s="8" t="e">
        <f>Seasonality!O91+Seasonality!O149+Seasonality!O206</f>
        <v>#VALUE!</v>
      </c>
    </row>
    <row r="32" spans="2:6" x14ac:dyDescent="0.2">
      <c r="B32" s="3" t="str">
        <f>+'Biyemas S.A.'!A25</f>
        <v/>
      </c>
      <c r="C32" s="5" t="str">
        <f t="shared" si="2"/>
        <v/>
      </c>
      <c r="D32" s="8" t="e">
        <f t="shared" si="0"/>
        <v>#REF!</v>
      </c>
      <c r="E32" s="8" t="e">
        <f t="shared" si="1"/>
        <v>#VALUE!</v>
      </c>
      <c r="F32" s="8" t="e">
        <f>Seasonality!O92+Seasonality!O150+Seasonality!O207</f>
        <v>#VALUE!</v>
      </c>
    </row>
    <row r="33" spans="2:15" x14ac:dyDescent="0.2">
      <c r="B33" s="3" t="str">
        <f>+'Biyemas S.A.'!A26</f>
        <v/>
      </c>
      <c r="C33" s="5" t="str">
        <f t="shared" si="2"/>
        <v/>
      </c>
      <c r="D33" s="8" t="e">
        <f t="shared" si="0"/>
        <v>#REF!</v>
      </c>
      <c r="E33" s="8" t="e">
        <f t="shared" si="1"/>
        <v>#VALUE!</v>
      </c>
      <c r="F33" s="8" t="e">
        <f>Seasonality!O93+Seasonality!O151+Seasonality!O208</f>
        <v>#VALUE!</v>
      </c>
    </row>
    <row r="34" spans="2:15" x14ac:dyDescent="0.2">
      <c r="B34" s="3" t="str">
        <f>+'Biyemas S.A.'!A27</f>
        <v/>
      </c>
      <c r="C34" s="5" t="str">
        <f t="shared" si="2"/>
        <v/>
      </c>
      <c r="D34" s="8" t="e">
        <f t="shared" si="0"/>
        <v>#REF!</v>
      </c>
      <c r="E34" s="8" t="e">
        <f t="shared" si="1"/>
        <v>#VALUE!</v>
      </c>
      <c r="F34" s="8" t="e">
        <f>Seasonality!O94+Seasonality!O152+Seasonality!O209</f>
        <v>#VALUE!</v>
      </c>
    </row>
    <row r="35" spans="2:15" x14ac:dyDescent="0.2">
      <c r="B35" s="3" t="str">
        <f>+'Biyemas S.A.'!A28</f>
        <v/>
      </c>
      <c r="C35" s="5" t="str">
        <f t="shared" si="2"/>
        <v/>
      </c>
      <c r="D35" s="8" t="e">
        <f t="shared" ref="D35:E37" si="3">M95+M153+M210</f>
        <v>#REF!</v>
      </c>
      <c r="E35" s="8" t="e">
        <f t="shared" si="3"/>
        <v>#VALUE!</v>
      </c>
      <c r="F35" s="8" t="e">
        <f>Seasonality!O95+Seasonality!O153+Seasonality!O210</f>
        <v>#VALUE!</v>
      </c>
    </row>
    <row r="36" spans="2:15" x14ac:dyDescent="0.2">
      <c r="B36" s="3" t="str">
        <f>+'Biyemas S.A.'!A29</f>
        <v/>
      </c>
      <c r="C36" s="5" t="str">
        <f t="shared" si="2"/>
        <v/>
      </c>
      <c r="D36" s="8" t="e">
        <f t="shared" si="3"/>
        <v>#REF!</v>
      </c>
      <c r="E36" s="8" t="e">
        <f t="shared" si="3"/>
        <v>#VALUE!</v>
      </c>
      <c r="F36" s="8" t="e">
        <f>Seasonality!O96+Seasonality!O154+Seasonality!O211</f>
        <v>#VALUE!</v>
      </c>
    </row>
    <row r="37" spans="2:15" x14ac:dyDescent="0.2">
      <c r="B37" s="3" t="e">
        <f>+'Biyemas S.A.'!#REF!</f>
        <v>#REF!</v>
      </c>
      <c r="C37" s="5" t="e">
        <f t="shared" si="2"/>
        <v>#REF!</v>
      </c>
      <c r="D37" s="8" t="e">
        <f t="shared" si="3"/>
        <v>#REF!</v>
      </c>
      <c r="E37" s="8" t="e">
        <f t="shared" si="3"/>
        <v>#VALUE!</v>
      </c>
      <c r="F37" s="8" t="e">
        <f>Seasonality!O97+Seasonality!O155+Seasonality!O212</f>
        <v>#REF!</v>
      </c>
    </row>
    <row r="38" spans="2:15" x14ac:dyDescent="0.2">
      <c r="B38" s="3"/>
      <c r="C38" s="5"/>
      <c r="D38" s="8"/>
      <c r="E38" s="8"/>
      <c r="F38" s="8"/>
    </row>
    <row r="39" spans="2:15" ht="12" thickBot="1" x14ac:dyDescent="0.25">
      <c r="D39" s="15" t="e">
        <f>SUM(D7:D38)</f>
        <v>#REF!</v>
      </c>
      <c r="E39" s="15" t="e">
        <f>SUM(E7:E38)</f>
        <v>#VALUE!</v>
      </c>
      <c r="F39" s="15" t="e">
        <f>SUM(F7:F38)</f>
        <v>#VALUE!</v>
      </c>
      <c r="G39" s="32"/>
    </row>
    <row r="40" spans="2:15" x14ac:dyDescent="0.2">
      <c r="D40" s="3"/>
      <c r="E40" s="3"/>
      <c r="F40" s="3"/>
    </row>
    <row r="46" spans="2:15" x14ac:dyDescent="0.2">
      <c r="B46" s="2" t="s">
        <v>32</v>
      </c>
    </row>
    <row r="47" spans="2:15" x14ac:dyDescent="0.2">
      <c r="B47" s="2" t="s">
        <v>56</v>
      </c>
      <c r="C47" s="2"/>
      <c r="H47" s="2" t="s">
        <v>57</v>
      </c>
      <c r="I47" s="2"/>
      <c r="J47" s="2"/>
      <c r="O47" s="2" t="s">
        <v>58</v>
      </c>
    </row>
    <row r="48" spans="2:15" x14ac:dyDescent="0.2">
      <c r="B48" s="4" t="s">
        <v>59</v>
      </c>
      <c r="C48" s="4"/>
      <c r="H48" s="4" t="s">
        <v>59</v>
      </c>
      <c r="I48" s="4"/>
      <c r="J48" s="4"/>
      <c r="O48" s="4" t="s">
        <v>59</v>
      </c>
    </row>
    <row r="49" spans="2:20" ht="25.5" customHeight="1" x14ac:dyDescent="0.2">
      <c r="B49" s="122" t="s">
        <v>60</v>
      </c>
      <c r="C49" s="122" t="s">
        <v>61</v>
      </c>
      <c r="D49" s="122" t="s">
        <v>17</v>
      </c>
      <c r="E49" s="123" t="s">
        <v>62</v>
      </c>
      <c r="F49" s="123" t="s">
        <v>63</v>
      </c>
      <c r="H49" s="122" t="s">
        <v>64</v>
      </c>
      <c r="I49" s="122" t="s">
        <v>65</v>
      </c>
      <c r="J49" s="122" t="s">
        <v>66</v>
      </c>
      <c r="K49" s="122" t="s">
        <v>17</v>
      </c>
      <c r="L49" s="123" t="s">
        <v>62</v>
      </c>
      <c r="M49" s="123" t="s">
        <v>63</v>
      </c>
      <c r="O49" s="122"/>
      <c r="P49" s="122" t="s">
        <v>67</v>
      </c>
      <c r="Q49" s="122" t="s">
        <v>68</v>
      </c>
      <c r="R49" s="123" t="s">
        <v>17</v>
      </c>
      <c r="S49" s="123" t="s">
        <v>62</v>
      </c>
      <c r="T49" s="123" t="s">
        <v>63</v>
      </c>
    </row>
    <row r="50" spans="2:20" x14ac:dyDescent="0.2">
      <c r="B50" s="124">
        <v>1</v>
      </c>
      <c r="C50" s="124">
        <v>62</v>
      </c>
      <c r="D50" s="125">
        <v>557163029.32000005</v>
      </c>
      <c r="E50" s="126">
        <v>561788097.08000016</v>
      </c>
      <c r="F50" s="127">
        <v>0.9917672378890906</v>
      </c>
      <c r="H50" s="124">
        <v>1</v>
      </c>
      <c r="I50" s="124">
        <v>203</v>
      </c>
      <c r="J50" s="128">
        <v>29</v>
      </c>
      <c r="K50" s="125">
        <v>1981595249.8700011</v>
      </c>
      <c r="L50" s="126">
        <v>1839402963.0199995</v>
      </c>
      <c r="M50" s="127">
        <v>1.0773034999446478</v>
      </c>
      <c r="O50" s="124">
        <v>1</v>
      </c>
      <c r="P50" s="124" t="s">
        <v>69</v>
      </c>
      <c r="Q50" s="124">
        <v>126</v>
      </c>
      <c r="R50" s="125">
        <v>1053232280.2700002</v>
      </c>
      <c r="S50" s="126">
        <v>1141698390.8399999</v>
      </c>
      <c r="T50" s="127">
        <v>0.92251358915824422</v>
      </c>
    </row>
    <row r="51" spans="2:20" x14ac:dyDescent="0.2">
      <c r="B51" s="124">
        <v>2</v>
      </c>
      <c r="C51" s="124">
        <v>57</v>
      </c>
      <c r="D51" s="125">
        <v>502001104.23999989</v>
      </c>
      <c r="E51" s="126">
        <v>516482605.38000011</v>
      </c>
      <c r="F51" s="127">
        <v>0.97196129939488374</v>
      </c>
      <c r="H51" s="124">
        <v>2</v>
      </c>
      <c r="I51" s="124">
        <v>203</v>
      </c>
      <c r="J51" s="128">
        <v>29</v>
      </c>
      <c r="K51" s="125">
        <v>1890275978.1600001</v>
      </c>
      <c r="L51" s="126">
        <v>1839402963.0199995</v>
      </c>
      <c r="M51" s="127">
        <v>1.0276573519575478</v>
      </c>
      <c r="O51" s="124">
        <v>2</v>
      </c>
      <c r="P51" s="124" t="s">
        <v>70</v>
      </c>
      <c r="Q51" s="124">
        <v>126</v>
      </c>
      <c r="R51" s="125">
        <v>1097985542.4700007</v>
      </c>
      <c r="S51" s="126">
        <v>1141698390.8399999</v>
      </c>
      <c r="T51" s="127">
        <v>0.96171243760986858</v>
      </c>
    </row>
    <row r="52" spans="2:20" x14ac:dyDescent="0.2">
      <c r="B52" s="124">
        <v>3</v>
      </c>
      <c r="C52" s="124">
        <v>62</v>
      </c>
      <c r="D52" s="125">
        <v>571619183.71000004</v>
      </c>
      <c r="E52" s="126">
        <v>561788097.08000016</v>
      </c>
      <c r="F52" s="127">
        <v>1.0174996349710839</v>
      </c>
      <c r="H52" s="124">
        <v>3</v>
      </c>
      <c r="I52" s="124">
        <v>203</v>
      </c>
      <c r="J52" s="128">
        <v>29</v>
      </c>
      <c r="K52" s="125">
        <v>1781487148.4399986</v>
      </c>
      <c r="L52" s="126">
        <v>1839402963.0199995</v>
      </c>
      <c r="M52" s="127">
        <v>0.96851379727859488</v>
      </c>
      <c r="O52" s="124">
        <v>3</v>
      </c>
      <c r="P52" s="124" t="s">
        <v>71</v>
      </c>
      <c r="Q52" s="124">
        <v>126</v>
      </c>
      <c r="R52" s="125">
        <v>1071321537.4400001</v>
      </c>
      <c r="S52" s="126">
        <v>1141698390.8399999</v>
      </c>
      <c r="T52" s="127">
        <v>0.93835775370742147</v>
      </c>
    </row>
    <row r="53" spans="2:20" x14ac:dyDescent="0.2">
      <c r="B53" s="124">
        <v>4</v>
      </c>
      <c r="C53" s="124">
        <v>60</v>
      </c>
      <c r="D53" s="125">
        <v>547159493.15999997</v>
      </c>
      <c r="E53" s="126">
        <v>543665900.4000001</v>
      </c>
      <c r="F53" s="127">
        <v>1.0064259920613552</v>
      </c>
      <c r="H53" s="124">
        <v>4</v>
      </c>
      <c r="I53" s="124">
        <v>203</v>
      </c>
      <c r="J53" s="128">
        <v>29</v>
      </c>
      <c r="K53" s="125">
        <v>1720037435.0499995</v>
      </c>
      <c r="L53" s="126">
        <v>1839402963.0199995</v>
      </c>
      <c r="M53" s="127">
        <v>0.93510637398668683</v>
      </c>
      <c r="O53" s="124">
        <v>4</v>
      </c>
      <c r="P53" s="124" t="s">
        <v>72</v>
      </c>
      <c r="Q53" s="124">
        <v>127</v>
      </c>
      <c r="R53" s="125">
        <v>1117623225.0599999</v>
      </c>
      <c r="S53" s="126">
        <v>1150759489.1800001</v>
      </c>
      <c r="T53" s="127">
        <v>0.97120487431860147</v>
      </c>
    </row>
    <row r="54" spans="2:20" x14ac:dyDescent="0.2">
      <c r="B54" s="124">
        <v>5</v>
      </c>
      <c r="C54" s="124">
        <v>62</v>
      </c>
      <c r="D54" s="125">
        <v>561229974.30999982</v>
      </c>
      <c r="E54" s="126">
        <v>561788097.08000016</v>
      </c>
      <c r="F54" s="127">
        <v>0.9990065243943379</v>
      </c>
      <c r="H54" s="124">
        <v>5</v>
      </c>
      <c r="I54" s="124">
        <v>72</v>
      </c>
      <c r="J54" s="128">
        <v>10.285714285714286</v>
      </c>
      <c r="K54" s="125">
        <v>636615121.04000032</v>
      </c>
      <c r="L54" s="126">
        <v>652399080.4799999</v>
      </c>
      <c r="M54" s="127">
        <v>0.97580628190280927</v>
      </c>
      <c r="O54" s="124">
        <v>5</v>
      </c>
      <c r="P54" s="124" t="s">
        <v>73</v>
      </c>
      <c r="Q54" s="124">
        <v>127</v>
      </c>
      <c r="R54" s="125">
        <v>1119543566.74</v>
      </c>
      <c r="S54" s="126">
        <v>1150759489.1800001</v>
      </c>
      <c r="T54" s="127">
        <v>0.97287363455743159</v>
      </c>
    </row>
    <row r="55" spans="2:20" x14ac:dyDescent="0.2">
      <c r="B55" s="124">
        <v>6</v>
      </c>
      <c r="C55" s="124">
        <v>60</v>
      </c>
      <c r="D55" s="125">
        <v>538353545.28999996</v>
      </c>
      <c r="E55" s="126">
        <v>543665900.4000001</v>
      </c>
      <c r="F55" s="127">
        <v>0.99022864022538182</v>
      </c>
      <c r="H55" s="124"/>
      <c r="I55" s="124"/>
      <c r="J55" s="124"/>
      <c r="K55" s="126"/>
      <c r="L55" s="126"/>
      <c r="M55" s="127"/>
      <c r="O55" s="124">
        <v>6</v>
      </c>
      <c r="P55" s="124" t="s">
        <v>74</v>
      </c>
      <c r="Q55" s="124">
        <v>126</v>
      </c>
      <c r="R55" s="125">
        <v>1324470795.9199994</v>
      </c>
      <c r="S55" s="126">
        <v>1141698390.8399999</v>
      </c>
      <c r="T55" s="127">
        <v>1.1600881691227798</v>
      </c>
    </row>
    <row r="56" spans="2:20" x14ac:dyDescent="0.2">
      <c r="B56" s="124">
        <v>7</v>
      </c>
      <c r="C56" s="124">
        <v>62</v>
      </c>
      <c r="D56" s="125">
        <v>537273969.8900001</v>
      </c>
      <c r="E56" s="126">
        <v>561788097.08000016</v>
      </c>
      <c r="F56" s="127">
        <v>0.95636410362302637</v>
      </c>
      <c r="H56" s="124"/>
      <c r="I56" s="124"/>
      <c r="J56" s="124"/>
      <c r="K56" s="124"/>
      <c r="L56" s="124"/>
      <c r="M56" s="124"/>
      <c r="O56" s="124">
        <v>7</v>
      </c>
      <c r="P56" s="124" t="s">
        <v>75</v>
      </c>
      <c r="Q56" s="124">
        <v>126</v>
      </c>
      <c r="R56" s="125">
        <v>1225833984.6599998</v>
      </c>
      <c r="S56" s="126">
        <v>1141698390.8399999</v>
      </c>
      <c r="T56" s="127">
        <v>1.0736933628837801</v>
      </c>
    </row>
    <row r="57" spans="2:20" x14ac:dyDescent="0.2">
      <c r="B57" s="124">
        <v>8</v>
      </c>
      <c r="C57" s="124">
        <v>93</v>
      </c>
      <c r="D57" s="125">
        <v>817183753.66999996</v>
      </c>
      <c r="E57" s="126">
        <v>842682145.62000012</v>
      </c>
      <c r="F57" s="127">
        <v>0.96974138815859234</v>
      </c>
      <c r="H57" s="124"/>
      <c r="I57" s="124"/>
      <c r="J57" s="124"/>
      <c r="K57" s="124"/>
      <c r="L57" s="124"/>
      <c r="M57" s="124"/>
      <c r="O57" s="124"/>
      <c r="P57" s="124"/>
      <c r="Q57" s="124"/>
      <c r="R57" s="124">
        <v>0</v>
      </c>
      <c r="S57" s="124"/>
      <c r="T57" s="124"/>
    </row>
    <row r="58" spans="2:20" x14ac:dyDescent="0.2">
      <c r="B58" s="124">
        <v>9</v>
      </c>
      <c r="C58" s="124">
        <v>90</v>
      </c>
      <c r="D58" s="125">
        <v>821543760.23000038</v>
      </c>
      <c r="E58" s="126">
        <v>815498850.60000014</v>
      </c>
      <c r="F58" s="127">
        <v>1.0074125299202479</v>
      </c>
      <c r="H58" s="124"/>
      <c r="I58" s="124"/>
      <c r="J58" s="124"/>
      <c r="K58" s="124"/>
      <c r="L58" s="124"/>
      <c r="M58" s="124"/>
      <c r="O58" s="124"/>
      <c r="P58" s="124"/>
      <c r="Q58" s="124"/>
      <c r="R58" s="124"/>
      <c r="S58" s="124"/>
      <c r="T58" s="124"/>
    </row>
    <row r="59" spans="2:20" x14ac:dyDescent="0.2">
      <c r="B59" s="124">
        <v>10</v>
      </c>
      <c r="C59" s="124">
        <v>93</v>
      </c>
      <c r="D59" s="125">
        <v>844929796.41999984</v>
      </c>
      <c r="E59" s="126">
        <v>842682145.62000012</v>
      </c>
      <c r="F59" s="127">
        <v>1.0026672581253588</v>
      </c>
      <c r="H59" s="124"/>
      <c r="I59" s="124"/>
      <c r="J59" s="124"/>
      <c r="K59" s="124"/>
      <c r="L59" s="124"/>
      <c r="M59" s="124"/>
      <c r="O59" s="124"/>
      <c r="P59" s="124"/>
      <c r="Q59" s="124"/>
      <c r="R59" s="124"/>
      <c r="S59" s="124"/>
      <c r="T59" s="124"/>
    </row>
    <row r="60" spans="2:20" x14ac:dyDescent="0.2">
      <c r="B60" s="124">
        <v>11</v>
      </c>
      <c r="C60" s="124">
        <v>90</v>
      </c>
      <c r="D60" s="125">
        <v>836695193.07999969</v>
      </c>
      <c r="E60" s="126">
        <v>815498850.60000014</v>
      </c>
      <c r="F60" s="127">
        <v>1.025991872906264</v>
      </c>
      <c r="H60" s="124"/>
      <c r="I60" s="124"/>
      <c r="J60" s="124"/>
      <c r="K60" s="124"/>
      <c r="L60" s="124"/>
      <c r="M60" s="124"/>
      <c r="O60" s="124"/>
      <c r="P60" s="124"/>
      <c r="Q60" s="124"/>
      <c r="R60" s="124"/>
      <c r="S60" s="124"/>
      <c r="T60" s="124"/>
    </row>
    <row r="61" spans="2:20" x14ac:dyDescent="0.2">
      <c r="B61" s="124">
        <v>12</v>
      </c>
      <c r="C61" s="124">
        <v>93</v>
      </c>
      <c r="D61" s="125">
        <v>874858129.24000025</v>
      </c>
      <c r="E61" s="126">
        <v>842682145.62000012</v>
      </c>
      <c r="F61" s="127">
        <v>1.038182823484799</v>
      </c>
      <c r="H61" s="124"/>
      <c r="I61" s="124"/>
      <c r="J61" s="124"/>
      <c r="K61" s="124"/>
      <c r="L61" s="124"/>
      <c r="M61" s="124"/>
      <c r="O61" s="124"/>
      <c r="P61" s="124"/>
      <c r="Q61" s="124"/>
      <c r="R61" s="124"/>
      <c r="S61" s="124"/>
      <c r="T61" s="124"/>
    </row>
    <row r="62" spans="2:20" ht="12" thickBot="1" x14ac:dyDescent="0.25">
      <c r="B62" s="40" t="s">
        <v>76</v>
      </c>
      <c r="C62" s="41">
        <v>884</v>
      </c>
      <c r="D62" s="41">
        <v>8010010932.5600014</v>
      </c>
      <c r="E62" s="41">
        <v>8010010932.5600014</v>
      </c>
      <c r="F62" s="43">
        <v>11.977249305154421</v>
      </c>
      <c r="H62" s="40" t="s">
        <v>76</v>
      </c>
      <c r="I62" s="41">
        <v>884</v>
      </c>
      <c r="J62" s="42">
        <v>126.28571428571429</v>
      </c>
      <c r="K62" s="41">
        <v>8010010932.5599985</v>
      </c>
      <c r="L62" s="41">
        <v>8010010932.5599976</v>
      </c>
      <c r="M62" s="43">
        <v>4.9843873050702863</v>
      </c>
      <c r="O62" s="40" t="s">
        <v>76</v>
      </c>
      <c r="P62" s="41"/>
      <c r="Q62" s="41">
        <v>884</v>
      </c>
      <c r="R62" s="41">
        <v>8010010932.5599995</v>
      </c>
      <c r="S62" s="41">
        <v>8010010932.5600004</v>
      </c>
      <c r="T62" s="43">
        <v>7.000443821358127</v>
      </c>
    </row>
    <row r="64" spans="2:20" s="3" customFormat="1" x14ac:dyDescent="0.2">
      <c r="B64" s="2"/>
      <c r="E64" s="1"/>
      <c r="F64" s="1"/>
      <c r="G64" s="1"/>
      <c r="M64" s="335"/>
      <c r="N64" s="335"/>
      <c r="O64" s="335"/>
    </row>
    <row r="65" spans="2:15" s="3" customFormat="1" ht="28.5" customHeight="1" x14ac:dyDescent="0.2">
      <c r="B65" s="336" t="s">
        <v>7</v>
      </c>
      <c r="C65" s="336" t="s">
        <v>8</v>
      </c>
      <c r="E65" s="336" t="s">
        <v>53</v>
      </c>
      <c r="F65" s="336" t="s">
        <v>54</v>
      </c>
      <c r="G65" s="336" t="s">
        <v>55</v>
      </c>
      <c r="I65" s="337" t="s">
        <v>52</v>
      </c>
      <c r="J65" s="337" t="s">
        <v>80</v>
      </c>
      <c r="K65" s="337" t="s">
        <v>78</v>
      </c>
      <c r="M65" s="336" t="s">
        <v>77</v>
      </c>
      <c r="N65" s="336" t="s">
        <v>51</v>
      </c>
      <c r="O65" s="336" t="s">
        <v>79</v>
      </c>
    </row>
    <row r="66" spans="2:15" s="3" customFormat="1" x14ac:dyDescent="0.2">
      <c r="B66" s="336"/>
      <c r="C66" s="336"/>
      <c r="E66" s="336"/>
      <c r="F66" s="336"/>
      <c r="G66" s="336"/>
      <c r="I66" s="337"/>
      <c r="J66" s="337"/>
      <c r="K66" s="337"/>
      <c r="M66" s="336"/>
      <c r="N66" s="336"/>
      <c r="O66" s="336"/>
    </row>
    <row r="67" spans="2:15" s="3" customFormat="1" x14ac:dyDescent="0.2">
      <c r="B67" s="3" t="e">
        <f>'Biyemas S.A.'!#REF!</f>
        <v>#REF!</v>
      </c>
      <c r="C67" s="5" t="str">
        <f>+'Biyemas S.A.'!B7</f>
        <v/>
      </c>
      <c r="E67" s="6" t="e">
        <f t="shared" ref="E67:E94" si="4">DAY(C67)</f>
        <v>#VALUE!</v>
      </c>
      <c r="F67" s="7" t="e">
        <f t="shared" ref="F67:F94" si="5">+IF(E67&lt;8,1,IF(E67&lt;15,2,IF(E67&lt;22,3,IF(E67&lt;29,4,5))))</f>
        <v>#VALUE!</v>
      </c>
      <c r="G67" s="8" t="e">
        <f>WEEKDAY(C67)</f>
        <v>#VALUE!</v>
      </c>
      <c r="I67" s="9" t="e">
        <f t="shared" ref="I67:I97" si="6">VLOOKUP(F67,H:M,6,FALSE)</f>
        <v>#VALUE!</v>
      </c>
      <c r="J67" s="9" t="e">
        <f>VLOOKUP(G67,$O$50:$T$61,6,FALSE)</f>
        <v>#VALUE!</v>
      </c>
      <c r="K67" s="9" t="e">
        <f t="shared" ref="K67:K94" si="7">+I67*J67</f>
        <v>#VALUE!</v>
      </c>
      <c r="M67" s="8">
        <f>'Biyemas S.A.'!BJ6</f>
        <v>0</v>
      </c>
      <c r="N67" s="8" t="e">
        <f>$M$99/$K$99*K67</f>
        <v>#VALUE!</v>
      </c>
      <c r="O67" s="8" t="str">
        <f>'Biyemas S.A.'!AV7</f>
        <v/>
      </c>
    </row>
    <row r="68" spans="2:15" s="3" customFormat="1" x14ac:dyDescent="0.2">
      <c r="B68" s="3" t="e">
        <f>'Biyemas S.A.'!#REF!</f>
        <v>#REF!</v>
      </c>
      <c r="C68" s="5" t="str">
        <f>+'Biyemas S.A.'!B8</f>
        <v/>
      </c>
      <c r="E68" s="6" t="e">
        <f t="shared" si="4"/>
        <v>#VALUE!</v>
      </c>
      <c r="F68" s="7" t="e">
        <f t="shared" si="5"/>
        <v>#VALUE!</v>
      </c>
      <c r="G68" s="8" t="e">
        <f t="shared" ref="G68:G94" si="8">WEEKDAY(C68)</f>
        <v>#VALUE!</v>
      </c>
      <c r="I68" s="9" t="e">
        <f t="shared" si="6"/>
        <v>#VALUE!</v>
      </c>
      <c r="J68" s="9" t="e">
        <f t="shared" ref="J68:J94" si="9">VLOOKUP(G68,$O$50:$T$61,6,FALSE)</f>
        <v>#VALUE!</v>
      </c>
      <c r="K68" s="9" t="e">
        <f t="shared" si="7"/>
        <v>#VALUE!</v>
      </c>
      <c r="M68" s="8">
        <f t="shared" ref="M68:M97" si="10">M67</f>
        <v>0</v>
      </c>
      <c r="N68" s="8" t="e">
        <f t="shared" ref="N68:N94" si="11">$M$99/$K$99*K68</f>
        <v>#VALUE!</v>
      </c>
      <c r="O68" s="8" t="str">
        <f>'Biyemas S.A.'!AV8</f>
        <v/>
      </c>
    </row>
    <row r="69" spans="2:15" s="3" customFormat="1" x14ac:dyDescent="0.2">
      <c r="B69" s="3" t="e">
        <f>'Biyemas S.A.'!#REF!</f>
        <v>#REF!</v>
      </c>
      <c r="C69" s="5" t="str">
        <f>+'Biyemas S.A.'!B9</f>
        <v/>
      </c>
      <c r="E69" s="6" t="e">
        <f t="shared" si="4"/>
        <v>#VALUE!</v>
      </c>
      <c r="F69" s="7" t="e">
        <f t="shared" si="5"/>
        <v>#VALUE!</v>
      </c>
      <c r="G69" s="8" t="e">
        <f t="shared" si="8"/>
        <v>#VALUE!</v>
      </c>
      <c r="I69" s="9" t="e">
        <f t="shared" si="6"/>
        <v>#VALUE!</v>
      </c>
      <c r="J69" s="9" t="e">
        <f t="shared" si="9"/>
        <v>#VALUE!</v>
      </c>
      <c r="K69" s="9" t="e">
        <f t="shared" si="7"/>
        <v>#VALUE!</v>
      </c>
      <c r="M69" s="8">
        <f t="shared" si="10"/>
        <v>0</v>
      </c>
      <c r="N69" s="8" t="e">
        <f t="shared" si="11"/>
        <v>#VALUE!</v>
      </c>
      <c r="O69" s="8" t="str">
        <f>'Biyemas S.A.'!AV9</f>
        <v/>
      </c>
    </row>
    <row r="70" spans="2:15" s="3" customFormat="1" x14ac:dyDescent="0.2">
      <c r="B70" s="3" t="e">
        <f>'Biyemas S.A.'!#REF!</f>
        <v>#REF!</v>
      </c>
      <c r="C70" s="5" t="str">
        <f>+'Biyemas S.A.'!B10</f>
        <v/>
      </c>
      <c r="E70" s="6" t="e">
        <f t="shared" si="4"/>
        <v>#VALUE!</v>
      </c>
      <c r="F70" s="7" t="e">
        <f t="shared" si="5"/>
        <v>#VALUE!</v>
      </c>
      <c r="G70" s="8" t="e">
        <f t="shared" si="8"/>
        <v>#VALUE!</v>
      </c>
      <c r="I70" s="9" t="e">
        <f t="shared" si="6"/>
        <v>#VALUE!</v>
      </c>
      <c r="J70" s="9" t="e">
        <f t="shared" si="9"/>
        <v>#VALUE!</v>
      </c>
      <c r="K70" s="9" t="e">
        <f t="shared" si="7"/>
        <v>#VALUE!</v>
      </c>
      <c r="M70" s="8">
        <f t="shared" si="10"/>
        <v>0</v>
      </c>
      <c r="N70" s="8" t="e">
        <f t="shared" si="11"/>
        <v>#VALUE!</v>
      </c>
      <c r="O70" s="8" t="str">
        <f>'Biyemas S.A.'!AV10</f>
        <v/>
      </c>
    </row>
    <row r="71" spans="2:15" s="3" customFormat="1" x14ac:dyDescent="0.2">
      <c r="B71" s="3" t="e">
        <f>'Biyemas S.A.'!#REF!</f>
        <v>#REF!</v>
      </c>
      <c r="C71" s="5" t="str">
        <f>+'Biyemas S.A.'!B11</f>
        <v/>
      </c>
      <c r="E71" s="6" t="e">
        <f t="shared" si="4"/>
        <v>#VALUE!</v>
      </c>
      <c r="F71" s="7" t="e">
        <f t="shared" si="5"/>
        <v>#VALUE!</v>
      </c>
      <c r="G71" s="8" t="e">
        <f t="shared" si="8"/>
        <v>#VALUE!</v>
      </c>
      <c r="I71" s="9" t="e">
        <f t="shared" si="6"/>
        <v>#VALUE!</v>
      </c>
      <c r="J71" s="9" t="e">
        <f t="shared" si="9"/>
        <v>#VALUE!</v>
      </c>
      <c r="K71" s="9" t="e">
        <f t="shared" si="7"/>
        <v>#VALUE!</v>
      </c>
      <c r="M71" s="8">
        <f t="shared" si="10"/>
        <v>0</v>
      </c>
      <c r="N71" s="8" t="e">
        <f t="shared" si="11"/>
        <v>#VALUE!</v>
      </c>
      <c r="O71" s="8" t="str">
        <f>'Biyemas S.A.'!AV11</f>
        <v/>
      </c>
    </row>
    <row r="72" spans="2:15" s="3" customFormat="1" x14ac:dyDescent="0.2">
      <c r="B72" s="3" t="e">
        <f>'Biyemas S.A.'!#REF!</f>
        <v>#REF!</v>
      </c>
      <c r="C72" s="5" t="str">
        <f>+'Biyemas S.A.'!B12</f>
        <v/>
      </c>
      <c r="E72" s="6" t="e">
        <f t="shared" si="4"/>
        <v>#VALUE!</v>
      </c>
      <c r="F72" s="7" t="e">
        <f t="shared" si="5"/>
        <v>#VALUE!</v>
      </c>
      <c r="G72" s="8" t="e">
        <f t="shared" si="8"/>
        <v>#VALUE!</v>
      </c>
      <c r="I72" s="9" t="e">
        <f t="shared" si="6"/>
        <v>#VALUE!</v>
      </c>
      <c r="J72" s="9" t="e">
        <f t="shared" si="9"/>
        <v>#VALUE!</v>
      </c>
      <c r="K72" s="9" t="e">
        <f t="shared" si="7"/>
        <v>#VALUE!</v>
      </c>
      <c r="M72" s="8">
        <f t="shared" si="10"/>
        <v>0</v>
      </c>
      <c r="N72" s="8" t="e">
        <f t="shared" si="11"/>
        <v>#VALUE!</v>
      </c>
      <c r="O72" s="8" t="str">
        <f>'Biyemas S.A.'!AV12</f>
        <v/>
      </c>
    </row>
    <row r="73" spans="2:15" s="3" customFormat="1" x14ac:dyDescent="0.2">
      <c r="B73" s="3" t="e">
        <f>'Biyemas S.A.'!#REF!</f>
        <v>#REF!</v>
      </c>
      <c r="C73" s="5" t="str">
        <f>+'Biyemas S.A.'!B13</f>
        <v/>
      </c>
      <c r="E73" s="6" t="e">
        <f t="shared" si="4"/>
        <v>#VALUE!</v>
      </c>
      <c r="F73" s="7" t="e">
        <f t="shared" si="5"/>
        <v>#VALUE!</v>
      </c>
      <c r="G73" s="8" t="e">
        <f t="shared" si="8"/>
        <v>#VALUE!</v>
      </c>
      <c r="I73" s="9" t="e">
        <f t="shared" si="6"/>
        <v>#VALUE!</v>
      </c>
      <c r="J73" s="9" t="e">
        <f t="shared" si="9"/>
        <v>#VALUE!</v>
      </c>
      <c r="K73" s="9" t="e">
        <f t="shared" si="7"/>
        <v>#VALUE!</v>
      </c>
      <c r="M73" s="8">
        <f t="shared" si="10"/>
        <v>0</v>
      </c>
      <c r="N73" s="8" t="e">
        <f t="shared" si="11"/>
        <v>#VALUE!</v>
      </c>
      <c r="O73" s="8" t="str">
        <f>'Biyemas S.A.'!AV13</f>
        <v/>
      </c>
    </row>
    <row r="74" spans="2:15" s="3" customFormat="1" x14ac:dyDescent="0.2">
      <c r="B74" s="3" t="str">
        <f>'Biyemas S.A.'!A7</f>
        <v/>
      </c>
      <c r="C74" s="5" t="str">
        <f>+'Biyemas S.A.'!B14</f>
        <v/>
      </c>
      <c r="E74" s="6" t="e">
        <f t="shared" si="4"/>
        <v>#VALUE!</v>
      </c>
      <c r="F74" s="7" t="e">
        <f t="shared" si="5"/>
        <v>#VALUE!</v>
      </c>
      <c r="G74" s="8" t="e">
        <f t="shared" si="8"/>
        <v>#VALUE!</v>
      </c>
      <c r="I74" s="9" t="e">
        <f t="shared" si="6"/>
        <v>#VALUE!</v>
      </c>
      <c r="J74" s="9" t="e">
        <f t="shared" si="9"/>
        <v>#VALUE!</v>
      </c>
      <c r="K74" s="9" t="e">
        <f t="shared" si="7"/>
        <v>#VALUE!</v>
      </c>
      <c r="M74" s="8">
        <f t="shared" si="10"/>
        <v>0</v>
      </c>
      <c r="N74" s="8" t="e">
        <f t="shared" si="11"/>
        <v>#VALUE!</v>
      </c>
      <c r="O74" s="8" t="str">
        <f>'Biyemas S.A.'!AV14</f>
        <v/>
      </c>
    </row>
    <row r="75" spans="2:15" s="3" customFormat="1" x14ac:dyDescent="0.2">
      <c r="B75" s="3" t="str">
        <f>'Biyemas S.A.'!A8</f>
        <v/>
      </c>
      <c r="C75" s="5" t="str">
        <f>+'Biyemas S.A.'!B15</f>
        <v/>
      </c>
      <c r="E75" s="6" t="e">
        <f t="shared" si="4"/>
        <v>#VALUE!</v>
      </c>
      <c r="F75" s="7" t="e">
        <f t="shared" si="5"/>
        <v>#VALUE!</v>
      </c>
      <c r="G75" s="8" t="e">
        <f t="shared" si="8"/>
        <v>#VALUE!</v>
      </c>
      <c r="I75" s="9" t="e">
        <f t="shared" si="6"/>
        <v>#VALUE!</v>
      </c>
      <c r="J75" s="9" t="e">
        <f t="shared" si="9"/>
        <v>#VALUE!</v>
      </c>
      <c r="K75" s="9" t="e">
        <f t="shared" si="7"/>
        <v>#VALUE!</v>
      </c>
      <c r="M75" s="8">
        <f t="shared" si="10"/>
        <v>0</v>
      </c>
      <c r="N75" s="8" t="e">
        <f t="shared" si="11"/>
        <v>#VALUE!</v>
      </c>
      <c r="O75" s="8" t="str">
        <f>'Biyemas S.A.'!AV15</f>
        <v/>
      </c>
    </row>
    <row r="76" spans="2:15" s="3" customFormat="1" x14ac:dyDescent="0.2">
      <c r="B76" s="3" t="str">
        <f>'Biyemas S.A.'!A9</f>
        <v/>
      </c>
      <c r="C76" s="5" t="str">
        <f>+'Biyemas S.A.'!B16</f>
        <v/>
      </c>
      <c r="E76" s="6" t="e">
        <f t="shared" si="4"/>
        <v>#VALUE!</v>
      </c>
      <c r="F76" s="7" t="e">
        <f t="shared" si="5"/>
        <v>#VALUE!</v>
      </c>
      <c r="G76" s="8" t="e">
        <f t="shared" si="8"/>
        <v>#VALUE!</v>
      </c>
      <c r="I76" s="9" t="e">
        <f t="shared" si="6"/>
        <v>#VALUE!</v>
      </c>
      <c r="J76" s="9" t="e">
        <f t="shared" si="9"/>
        <v>#VALUE!</v>
      </c>
      <c r="K76" s="9" t="e">
        <f t="shared" si="7"/>
        <v>#VALUE!</v>
      </c>
      <c r="M76" s="8">
        <f t="shared" si="10"/>
        <v>0</v>
      </c>
      <c r="N76" s="8" t="e">
        <f t="shared" si="11"/>
        <v>#VALUE!</v>
      </c>
      <c r="O76" s="8" t="str">
        <f>'Biyemas S.A.'!AV16</f>
        <v/>
      </c>
    </row>
    <row r="77" spans="2:15" s="3" customFormat="1" x14ac:dyDescent="0.2">
      <c r="B77" s="3" t="str">
        <f>'Biyemas S.A.'!A10</f>
        <v/>
      </c>
      <c r="C77" s="5" t="str">
        <f>+'Biyemas S.A.'!B17</f>
        <v/>
      </c>
      <c r="E77" s="6" t="e">
        <f t="shared" si="4"/>
        <v>#VALUE!</v>
      </c>
      <c r="F77" s="7" t="e">
        <f t="shared" si="5"/>
        <v>#VALUE!</v>
      </c>
      <c r="G77" s="8" t="e">
        <f t="shared" si="8"/>
        <v>#VALUE!</v>
      </c>
      <c r="I77" s="9" t="e">
        <f t="shared" si="6"/>
        <v>#VALUE!</v>
      </c>
      <c r="J77" s="9" t="e">
        <f t="shared" si="9"/>
        <v>#VALUE!</v>
      </c>
      <c r="K77" s="9" t="e">
        <f t="shared" si="7"/>
        <v>#VALUE!</v>
      </c>
      <c r="M77" s="8">
        <f t="shared" si="10"/>
        <v>0</v>
      </c>
      <c r="N77" s="8" t="e">
        <f t="shared" si="11"/>
        <v>#VALUE!</v>
      </c>
      <c r="O77" s="8" t="str">
        <f>'Biyemas S.A.'!AV17</f>
        <v/>
      </c>
    </row>
    <row r="78" spans="2:15" s="3" customFormat="1" x14ac:dyDescent="0.2">
      <c r="B78" s="3" t="str">
        <f>'Biyemas S.A.'!A11</f>
        <v/>
      </c>
      <c r="C78" s="5" t="str">
        <f>+'Biyemas S.A.'!B18</f>
        <v/>
      </c>
      <c r="E78" s="6" t="e">
        <f t="shared" si="4"/>
        <v>#VALUE!</v>
      </c>
      <c r="F78" s="7" t="e">
        <f t="shared" si="5"/>
        <v>#VALUE!</v>
      </c>
      <c r="G78" s="8" t="e">
        <f t="shared" si="8"/>
        <v>#VALUE!</v>
      </c>
      <c r="I78" s="9" t="e">
        <f t="shared" si="6"/>
        <v>#VALUE!</v>
      </c>
      <c r="J78" s="9" t="e">
        <f t="shared" si="9"/>
        <v>#VALUE!</v>
      </c>
      <c r="K78" s="9" t="e">
        <f t="shared" si="7"/>
        <v>#VALUE!</v>
      </c>
      <c r="M78" s="8">
        <f t="shared" si="10"/>
        <v>0</v>
      </c>
      <c r="N78" s="8" t="e">
        <f t="shared" si="11"/>
        <v>#VALUE!</v>
      </c>
      <c r="O78" s="8" t="str">
        <f>'Biyemas S.A.'!AV18</f>
        <v/>
      </c>
    </row>
    <row r="79" spans="2:15" s="3" customFormat="1" x14ac:dyDescent="0.2">
      <c r="B79" s="3" t="str">
        <f>'Biyemas S.A.'!A12</f>
        <v/>
      </c>
      <c r="C79" s="5" t="str">
        <f>+'Biyemas S.A.'!B19</f>
        <v/>
      </c>
      <c r="E79" s="6" t="e">
        <f t="shared" si="4"/>
        <v>#VALUE!</v>
      </c>
      <c r="F79" s="7" t="e">
        <f t="shared" si="5"/>
        <v>#VALUE!</v>
      </c>
      <c r="G79" s="8" t="e">
        <f t="shared" si="8"/>
        <v>#VALUE!</v>
      </c>
      <c r="I79" s="9" t="e">
        <f t="shared" si="6"/>
        <v>#VALUE!</v>
      </c>
      <c r="J79" s="9" t="e">
        <f t="shared" si="9"/>
        <v>#VALUE!</v>
      </c>
      <c r="K79" s="9" t="e">
        <f t="shared" si="7"/>
        <v>#VALUE!</v>
      </c>
      <c r="M79" s="8">
        <f t="shared" si="10"/>
        <v>0</v>
      </c>
      <c r="N79" s="8" t="e">
        <f t="shared" si="11"/>
        <v>#VALUE!</v>
      </c>
      <c r="O79" s="8" t="str">
        <f>'Biyemas S.A.'!AV19</f>
        <v/>
      </c>
    </row>
    <row r="80" spans="2:15" s="3" customFormat="1" x14ac:dyDescent="0.2">
      <c r="B80" s="3" t="str">
        <f>'Biyemas S.A.'!A13</f>
        <v/>
      </c>
      <c r="C80" s="5" t="str">
        <f>+'Biyemas S.A.'!B20</f>
        <v/>
      </c>
      <c r="E80" s="6" t="e">
        <f t="shared" si="4"/>
        <v>#VALUE!</v>
      </c>
      <c r="F80" s="7" t="e">
        <f t="shared" si="5"/>
        <v>#VALUE!</v>
      </c>
      <c r="G80" s="8" t="e">
        <f t="shared" si="8"/>
        <v>#VALUE!</v>
      </c>
      <c r="I80" s="9" t="e">
        <f t="shared" si="6"/>
        <v>#VALUE!</v>
      </c>
      <c r="J80" s="9" t="e">
        <f t="shared" si="9"/>
        <v>#VALUE!</v>
      </c>
      <c r="K80" s="9" t="e">
        <f t="shared" si="7"/>
        <v>#VALUE!</v>
      </c>
      <c r="M80" s="8">
        <f t="shared" si="10"/>
        <v>0</v>
      </c>
      <c r="N80" s="8" t="e">
        <f t="shared" si="11"/>
        <v>#VALUE!</v>
      </c>
      <c r="O80" s="8" t="str">
        <f>'Biyemas S.A.'!AV20</f>
        <v/>
      </c>
    </row>
    <row r="81" spans="2:15" s="3" customFormat="1" x14ac:dyDescent="0.2">
      <c r="B81" s="3" t="str">
        <f>'Biyemas S.A.'!A14</f>
        <v/>
      </c>
      <c r="C81" s="5" t="str">
        <f>+'Biyemas S.A.'!B21</f>
        <v/>
      </c>
      <c r="E81" s="6" t="e">
        <f t="shared" si="4"/>
        <v>#VALUE!</v>
      </c>
      <c r="F81" s="7" t="e">
        <f t="shared" si="5"/>
        <v>#VALUE!</v>
      </c>
      <c r="G81" s="8" t="e">
        <f t="shared" si="8"/>
        <v>#VALUE!</v>
      </c>
      <c r="I81" s="9" t="e">
        <f t="shared" si="6"/>
        <v>#VALUE!</v>
      </c>
      <c r="J81" s="9" t="e">
        <f t="shared" si="9"/>
        <v>#VALUE!</v>
      </c>
      <c r="K81" s="9" t="e">
        <f t="shared" si="7"/>
        <v>#VALUE!</v>
      </c>
      <c r="M81" s="8">
        <f t="shared" si="10"/>
        <v>0</v>
      </c>
      <c r="N81" s="8" t="e">
        <f t="shared" si="11"/>
        <v>#VALUE!</v>
      </c>
      <c r="O81" s="8" t="str">
        <f>'Biyemas S.A.'!AV21</f>
        <v/>
      </c>
    </row>
    <row r="82" spans="2:15" s="3" customFormat="1" x14ac:dyDescent="0.2">
      <c r="B82" s="3" t="str">
        <f>'Biyemas S.A.'!A15</f>
        <v/>
      </c>
      <c r="C82" s="5" t="str">
        <f>+'Biyemas S.A.'!B22</f>
        <v/>
      </c>
      <c r="E82" s="6" t="e">
        <f t="shared" si="4"/>
        <v>#VALUE!</v>
      </c>
      <c r="F82" s="7" t="e">
        <f t="shared" si="5"/>
        <v>#VALUE!</v>
      </c>
      <c r="G82" s="8" t="e">
        <f t="shared" si="8"/>
        <v>#VALUE!</v>
      </c>
      <c r="I82" s="9" t="e">
        <f t="shared" si="6"/>
        <v>#VALUE!</v>
      </c>
      <c r="J82" s="9" t="e">
        <f t="shared" si="9"/>
        <v>#VALUE!</v>
      </c>
      <c r="K82" s="9" t="e">
        <f t="shared" si="7"/>
        <v>#VALUE!</v>
      </c>
      <c r="M82" s="8">
        <f t="shared" si="10"/>
        <v>0</v>
      </c>
      <c r="N82" s="8" t="e">
        <f t="shared" si="11"/>
        <v>#VALUE!</v>
      </c>
      <c r="O82" s="8" t="str">
        <f>'Biyemas S.A.'!AV22</f>
        <v/>
      </c>
    </row>
    <row r="83" spans="2:15" s="3" customFormat="1" x14ac:dyDescent="0.2">
      <c r="B83" s="3" t="str">
        <f>'Biyemas S.A.'!A16</f>
        <v/>
      </c>
      <c r="C83" s="5" t="str">
        <f>+'Biyemas S.A.'!B23</f>
        <v/>
      </c>
      <c r="E83" s="6" t="e">
        <f t="shared" si="4"/>
        <v>#VALUE!</v>
      </c>
      <c r="F83" s="7" t="e">
        <f t="shared" si="5"/>
        <v>#VALUE!</v>
      </c>
      <c r="G83" s="8" t="e">
        <f t="shared" si="8"/>
        <v>#VALUE!</v>
      </c>
      <c r="I83" s="9" t="e">
        <f t="shared" si="6"/>
        <v>#VALUE!</v>
      </c>
      <c r="J83" s="9" t="e">
        <f t="shared" si="9"/>
        <v>#VALUE!</v>
      </c>
      <c r="K83" s="9" t="e">
        <f t="shared" si="7"/>
        <v>#VALUE!</v>
      </c>
      <c r="M83" s="8">
        <f t="shared" si="10"/>
        <v>0</v>
      </c>
      <c r="N83" s="8" t="e">
        <f t="shared" si="11"/>
        <v>#VALUE!</v>
      </c>
      <c r="O83" s="8" t="str">
        <f>'Biyemas S.A.'!AV23</f>
        <v/>
      </c>
    </row>
    <row r="84" spans="2:15" s="3" customFormat="1" x14ac:dyDescent="0.2">
      <c r="B84" s="3" t="str">
        <f>'Biyemas S.A.'!A17</f>
        <v/>
      </c>
      <c r="C84" s="5" t="str">
        <f>+'Biyemas S.A.'!B24</f>
        <v/>
      </c>
      <c r="E84" s="6" t="e">
        <f t="shared" si="4"/>
        <v>#VALUE!</v>
      </c>
      <c r="F84" s="7" t="e">
        <f t="shared" si="5"/>
        <v>#VALUE!</v>
      </c>
      <c r="G84" s="8" t="e">
        <f t="shared" si="8"/>
        <v>#VALUE!</v>
      </c>
      <c r="I84" s="9" t="e">
        <f t="shared" si="6"/>
        <v>#VALUE!</v>
      </c>
      <c r="J84" s="9" t="e">
        <f t="shared" si="9"/>
        <v>#VALUE!</v>
      </c>
      <c r="K84" s="9" t="e">
        <f t="shared" si="7"/>
        <v>#VALUE!</v>
      </c>
      <c r="M84" s="8">
        <f t="shared" si="10"/>
        <v>0</v>
      </c>
      <c r="N84" s="8" t="e">
        <f t="shared" si="11"/>
        <v>#VALUE!</v>
      </c>
      <c r="O84" s="8" t="str">
        <f>'Biyemas S.A.'!AV24</f>
        <v/>
      </c>
    </row>
    <row r="85" spans="2:15" s="3" customFormat="1" x14ac:dyDescent="0.2">
      <c r="B85" s="3" t="str">
        <f>'Biyemas S.A.'!A18</f>
        <v/>
      </c>
      <c r="C85" s="5" t="str">
        <f>+'Biyemas S.A.'!B25</f>
        <v/>
      </c>
      <c r="E85" s="6" t="e">
        <f t="shared" si="4"/>
        <v>#VALUE!</v>
      </c>
      <c r="F85" s="7" t="e">
        <f t="shared" si="5"/>
        <v>#VALUE!</v>
      </c>
      <c r="G85" s="8" t="e">
        <f t="shared" si="8"/>
        <v>#VALUE!</v>
      </c>
      <c r="I85" s="9" t="e">
        <f t="shared" si="6"/>
        <v>#VALUE!</v>
      </c>
      <c r="J85" s="9" t="e">
        <f t="shared" si="9"/>
        <v>#VALUE!</v>
      </c>
      <c r="K85" s="9" t="e">
        <f t="shared" si="7"/>
        <v>#VALUE!</v>
      </c>
      <c r="M85" s="8">
        <f t="shared" si="10"/>
        <v>0</v>
      </c>
      <c r="N85" s="8" t="e">
        <f t="shared" si="11"/>
        <v>#VALUE!</v>
      </c>
      <c r="O85" s="8" t="str">
        <f>'Biyemas S.A.'!AV25</f>
        <v/>
      </c>
    </row>
    <row r="86" spans="2:15" s="3" customFormat="1" x14ac:dyDescent="0.2">
      <c r="B86" s="3" t="str">
        <f>'Biyemas S.A.'!A19</f>
        <v/>
      </c>
      <c r="C86" s="5" t="str">
        <f>+'Biyemas S.A.'!B26</f>
        <v/>
      </c>
      <c r="E86" s="6" t="e">
        <f t="shared" si="4"/>
        <v>#VALUE!</v>
      </c>
      <c r="F86" s="7" t="e">
        <f t="shared" si="5"/>
        <v>#VALUE!</v>
      </c>
      <c r="G86" s="8" t="e">
        <f t="shared" si="8"/>
        <v>#VALUE!</v>
      </c>
      <c r="I86" s="9" t="e">
        <f t="shared" si="6"/>
        <v>#VALUE!</v>
      </c>
      <c r="J86" s="9" t="e">
        <f t="shared" si="9"/>
        <v>#VALUE!</v>
      </c>
      <c r="K86" s="9" t="e">
        <f t="shared" si="7"/>
        <v>#VALUE!</v>
      </c>
      <c r="M86" s="8">
        <f t="shared" si="10"/>
        <v>0</v>
      </c>
      <c r="N86" s="8" t="e">
        <f t="shared" si="11"/>
        <v>#VALUE!</v>
      </c>
      <c r="O86" s="8" t="str">
        <f>'Biyemas S.A.'!AV26</f>
        <v/>
      </c>
    </row>
    <row r="87" spans="2:15" s="3" customFormat="1" x14ac:dyDescent="0.2">
      <c r="B87" s="3" t="str">
        <f>'Biyemas S.A.'!A20</f>
        <v/>
      </c>
      <c r="C87" s="5" t="str">
        <f>+'Biyemas S.A.'!B27</f>
        <v/>
      </c>
      <c r="E87" s="6" t="e">
        <f t="shared" si="4"/>
        <v>#VALUE!</v>
      </c>
      <c r="F87" s="7" t="e">
        <f t="shared" si="5"/>
        <v>#VALUE!</v>
      </c>
      <c r="G87" s="8" t="e">
        <f t="shared" si="8"/>
        <v>#VALUE!</v>
      </c>
      <c r="I87" s="9" t="e">
        <f t="shared" si="6"/>
        <v>#VALUE!</v>
      </c>
      <c r="J87" s="9" t="e">
        <f t="shared" si="9"/>
        <v>#VALUE!</v>
      </c>
      <c r="K87" s="9" t="e">
        <f t="shared" si="7"/>
        <v>#VALUE!</v>
      </c>
      <c r="M87" s="8">
        <f t="shared" si="10"/>
        <v>0</v>
      </c>
      <c r="N87" s="8" t="e">
        <f t="shared" si="11"/>
        <v>#VALUE!</v>
      </c>
      <c r="O87" s="8" t="str">
        <f>'Biyemas S.A.'!AV27</f>
        <v/>
      </c>
    </row>
    <row r="88" spans="2:15" s="3" customFormat="1" x14ac:dyDescent="0.2">
      <c r="B88" s="3" t="str">
        <f>'Biyemas S.A.'!A21</f>
        <v/>
      </c>
      <c r="C88" s="5" t="str">
        <f>+'Biyemas S.A.'!B28</f>
        <v/>
      </c>
      <c r="E88" s="6" t="e">
        <f t="shared" si="4"/>
        <v>#VALUE!</v>
      </c>
      <c r="F88" s="7" t="e">
        <f t="shared" si="5"/>
        <v>#VALUE!</v>
      </c>
      <c r="G88" s="8" t="e">
        <f t="shared" si="8"/>
        <v>#VALUE!</v>
      </c>
      <c r="I88" s="9" t="e">
        <f t="shared" si="6"/>
        <v>#VALUE!</v>
      </c>
      <c r="J88" s="9" t="e">
        <f t="shared" si="9"/>
        <v>#VALUE!</v>
      </c>
      <c r="K88" s="9" t="e">
        <f t="shared" si="7"/>
        <v>#VALUE!</v>
      </c>
      <c r="M88" s="8">
        <f t="shared" si="10"/>
        <v>0</v>
      </c>
      <c r="N88" s="8" t="e">
        <f t="shared" si="11"/>
        <v>#VALUE!</v>
      </c>
      <c r="O88" s="8" t="str">
        <f>'Biyemas S.A.'!AV28</f>
        <v/>
      </c>
    </row>
    <row r="89" spans="2:15" s="3" customFormat="1" x14ac:dyDescent="0.2">
      <c r="B89" s="3" t="str">
        <f>'Biyemas S.A.'!A22</f>
        <v/>
      </c>
      <c r="C89" s="5" t="str">
        <f>+'Biyemas S.A.'!B29</f>
        <v/>
      </c>
      <c r="E89" s="6" t="e">
        <f t="shared" si="4"/>
        <v>#VALUE!</v>
      </c>
      <c r="F89" s="7" t="e">
        <f t="shared" si="5"/>
        <v>#VALUE!</v>
      </c>
      <c r="G89" s="8" t="e">
        <f t="shared" si="8"/>
        <v>#VALUE!</v>
      </c>
      <c r="I89" s="9" t="e">
        <f t="shared" si="6"/>
        <v>#VALUE!</v>
      </c>
      <c r="J89" s="9" t="e">
        <f t="shared" si="9"/>
        <v>#VALUE!</v>
      </c>
      <c r="K89" s="9" t="e">
        <f t="shared" si="7"/>
        <v>#VALUE!</v>
      </c>
      <c r="M89" s="8">
        <f t="shared" si="10"/>
        <v>0</v>
      </c>
      <c r="N89" s="8" t="e">
        <f t="shared" si="11"/>
        <v>#VALUE!</v>
      </c>
      <c r="O89" s="8" t="str">
        <f>'Biyemas S.A.'!AV29</f>
        <v/>
      </c>
    </row>
    <row r="90" spans="2:15" s="3" customFormat="1" x14ac:dyDescent="0.2">
      <c r="B90" s="3" t="str">
        <f>'Biyemas S.A.'!A23</f>
        <v/>
      </c>
      <c r="C90" s="5" t="str">
        <f>+'Biyemas S.A.'!B30</f>
        <v/>
      </c>
      <c r="E90" s="6" t="e">
        <f t="shared" si="4"/>
        <v>#VALUE!</v>
      </c>
      <c r="F90" s="7" t="e">
        <f t="shared" si="5"/>
        <v>#VALUE!</v>
      </c>
      <c r="G90" s="8" t="e">
        <f t="shared" si="8"/>
        <v>#VALUE!</v>
      </c>
      <c r="I90" s="9" t="e">
        <f t="shared" si="6"/>
        <v>#VALUE!</v>
      </c>
      <c r="J90" s="9" t="e">
        <f t="shared" si="9"/>
        <v>#VALUE!</v>
      </c>
      <c r="K90" s="9" t="e">
        <f t="shared" si="7"/>
        <v>#VALUE!</v>
      </c>
      <c r="M90" s="8">
        <f t="shared" si="10"/>
        <v>0</v>
      </c>
      <c r="N90" s="8" t="e">
        <f t="shared" si="11"/>
        <v>#VALUE!</v>
      </c>
      <c r="O90" s="8" t="str">
        <f>'Biyemas S.A.'!AV30</f>
        <v/>
      </c>
    </row>
    <row r="91" spans="2:15" s="3" customFormat="1" x14ac:dyDescent="0.2">
      <c r="B91" s="3" t="str">
        <f>'Biyemas S.A.'!A24</f>
        <v/>
      </c>
      <c r="C91" s="5" t="str">
        <f>+'Biyemas S.A.'!B31</f>
        <v/>
      </c>
      <c r="E91" s="6" t="e">
        <f t="shared" si="4"/>
        <v>#VALUE!</v>
      </c>
      <c r="F91" s="7" t="e">
        <f t="shared" si="5"/>
        <v>#VALUE!</v>
      </c>
      <c r="G91" s="8" t="e">
        <f t="shared" si="8"/>
        <v>#VALUE!</v>
      </c>
      <c r="I91" s="9" t="e">
        <f t="shared" si="6"/>
        <v>#VALUE!</v>
      </c>
      <c r="J91" s="9" t="e">
        <f t="shared" si="9"/>
        <v>#VALUE!</v>
      </c>
      <c r="K91" s="9" t="e">
        <f t="shared" si="7"/>
        <v>#VALUE!</v>
      </c>
      <c r="M91" s="8">
        <f t="shared" si="10"/>
        <v>0</v>
      </c>
      <c r="N91" s="8" t="e">
        <f t="shared" si="11"/>
        <v>#VALUE!</v>
      </c>
      <c r="O91" s="8" t="str">
        <f>'Biyemas S.A.'!AV31</f>
        <v/>
      </c>
    </row>
    <row r="92" spans="2:15" s="3" customFormat="1" x14ac:dyDescent="0.2">
      <c r="B92" s="3" t="str">
        <f>'Biyemas S.A.'!A25</f>
        <v/>
      </c>
      <c r="C92" s="5" t="str">
        <f>+'Biyemas S.A.'!B32</f>
        <v/>
      </c>
      <c r="E92" s="6" t="e">
        <f t="shared" si="4"/>
        <v>#VALUE!</v>
      </c>
      <c r="F92" s="7" t="e">
        <f t="shared" si="5"/>
        <v>#VALUE!</v>
      </c>
      <c r="G92" s="8" t="e">
        <f t="shared" si="8"/>
        <v>#VALUE!</v>
      </c>
      <c r="I92" s="9" t="e">
        <f t="shared" si="6"/>
        <v>#VALUE!</v>
      </c>
      <c r="J92" s="9" t="e">
        <f t="shared" si="9"/>
        <v>#VALUE!</v>
      </c>
      <c r="K92" s="9" t="e">
        <f t="shared" si="7"/>
        <v>#VALUE!</v>
      </c>
      <c r="M92" s="8">
        <f t="shared" si="10"/>
        <v>0</v>
      </c>
      <c r="N92" s="8" t="e">
        <f t="shared" si="11"/>
        <v>#VALUE!</v>
      </c>
      <c r="O92" s="8" t="str">
        <f>'Biyemas S.A.'!AV32</f>
        <v/>
      </c>
    </row>
    <row r="93" spans="2:15" s="3" customFormat="1" x14ac:dyDescent="0.2">
      <c r="B93" s="3" t="str">
        <f>'Biyemas S.A.'!A26</f>
        <v/>
      </c>
      <c r="C93" s="5" t="str">
        <f>+'Biyemas S.A.'!B33</f>
        <v/>
      </c>
      <c r="E93" s="6" t="e">
        <f t="shared" si="4"/>
        <v>#VALUE!</v>
      </c>
      <c r="F93" s="7" t="e">
        <f t="shared" si="5"/>
        <v>#VALUE!</v>
      </c>
      <c r="G93" s="8" t="e">
        <f t="shared" si="8"/>
        <v>#VALUE!</v>
      </c>
      <c r="I93" s="9" t="e">
        <f t="shared" si="6"/>
        <v>#VALUE!</v>
      </c>
      <c r="J93" s="9" t="e">
        <f t="shared" si="9"/>
        <v>#VALUE!</v>
      </c>
      <c r="K93" s="9" t="e">
        <f t="shared" si="7"/>
        <v>#VALUE!</v>
      </c>
      <c r="M93" s="8">
        <f t="shared" si="10"/>
        <v>0</v>
      </c>
      <c r="N93" s="8" t="e">
        <f t="shared" si="11"/>
        <v>#VALUE!</v>
      </c>
      <c r="O93" s="8" t="str">
        <f>'Biyemas S.A.'!AV33</f>
        <v/>
      </c>
    </row>
    <row r="94" spans="2:15" s="3" customFormat="1" x14ac:dyDescent="0.2">
      <c r="B94" s="3" t="str">
        <f>'Biyemas S.A.'!A27</f>
        <v/>
      </c>
      <c r="C94" s="5" t="str">
        <f>+'Biyemas S.A.'!B34</f>
        <v/>
      </c>
      <c r="E94" s="6" t="e">
        <f t="shared" si="4"/>
        <v>#VALUE!</v>
      </c>
      <c r="F94" s="7" t="e">
        <f t="shared" si="5"/>
        <v>#VALUE!</v>
      </c>
      <c r="G94" s="8" t="e">
        <f t="shared" si="8"/>
        <v>#VALUE!</v>
      </c>
      <c r="I94" s="9" t="e">
        <f t="shared" si="6"/>
        <v>#VALUE!</v>
      </c>
      <c r="J94" s="9" t="e">
        <f t="shared" si="9"/>
        <v>#VALUE!</v>
      </c>
      <c r="K94" s="9" t="e">
        <f t="shared" si="7"/>
        <v>#VALUE!</v>
      </c>
      <c r="M94" s="8">
        <f t="shared" si="10"/>
        <v>0</v>
      </c>
      <c r="N94" s="8" t="e">
        <f t="shared" si="11"/>
        <v>#VALUE!</v>
      </c>
      <c r="O94" s="8" t="str">
        <f>'Biyemas S.A.'!AV34</f>
        <v/>
      </c>
    </row>
    <row r="95" spans="2:15" s="3" customFormat="1" x14ac:dyDescent="0.2">
      <c r="B95" s="3" t="str">
        <f>'Biyemas S.A.'!A28</f>
        <v/>
      </c>
      <c r="C95" s="5" t="str">
        <f>+'Biyemas S.A.'!B35</f>
        <v/>
      </c>
      <c r="E95" s="6" t="e">
        <f>DAY(C95)</f>
        <v>#VALUE!</v>
      </c>
      <c r="F95" s="7" t="e">
        <f>+IF(E95&lt;8,1,IF(E95&lt;15,2,IF(E95&lt;22,3,IF(E95&lt;29,4,5))))</f>
        <v>#VALUE!</v>
      </c>
      <c r="G95" s="8" t="e">
        <f>WEEKDAY(C95)</f>
        <v>#VALUE!</v>
      </c>
      <c r="I95" s="9" t="e">
        <f t="shared" si="6"/>
        <v>#VALUE!</v>
      </c>
      <c r="J95" s="9" t="e">
        <f>VLOOKUP(G95,$O$50:$T$61,6,FALSE)</f>
        <v>#VALUE!</v>
      </c>
      <c r="K95" s="9" t="e">
        <f>+I95*J95</f>
        <v>#VALUE!</v>
      </c>
      <c r="M95" s="8">
        <f t="shared" si="10"/>
        <v>0</v>
      </c>
      <c r="N95" s="8" t="e">
        <f>$M$99/$K$99*K95</f>
        <v>#VALUE!</v>
      </c>
      <c r="O95" s="8" t="str">
        <f>'Biyemas S.A.'!AV35</f>
        <v/>
      </c>
    </row>
    <row r="96" spans="2:15" s="3" customFormat="1" x14ac:dyDescent="0.2">
      <c r="B96" s="3" t="str">
        <f>'Biyemas S.A.'!A29</f>
        <v/>
      </c>
      <c r="C96" s="5" t="str">
        <f>+'Biyemas S.A.'!B36</f>
        <v/>
      </c>
      <c r="E96" s="6" t="e">
        <f>DAY(C96)</f>
        <v>#VALUE!</v>
      </c>
      <c r="F96" s="7" t="e">
        <f>+IF(E96&lt;8,1,IF(E96&lt;15,2,IF(E96&lt;22,3,IF(E96&lt;29,4,5))))</f>
        <v>#VALUE!</v>
      </c>
      <c r="G96" s="8" t="e">
        <f>WEEKDAY(C96)</f>
        <v>#VALUE!</v>
      </c>
      <c r="I96" s="9" t="e">
        <f t="shared" si="6"/>
        <v>#VALUE!</v>
      </c>
      <c r="J96" s="9" t="e">
        <f>VLOOKUP(G96,$O$50:$T$61,6,FALSE)</f>
        <v>#VALUE!</v>
      </c>
      <c r="K96" s="9" t="e">
        <f>+I96*J96</f>
        <v>#VALUE!</v>
      </c>
      <c r="M96" s="8">
        <f t="shared" si="10"/>
        <v>0</v>
      </c>
      <c r="N96" s="8" t="e">
        <f>$M$99/$K$99*K96</f>
        <v>#VALUE!</v>
      </c>
      <c r="O96" s="8" t="str">
        <f>'Biyemas S.A.'!AV36</f>
        <v/>
      </c>
    </row>
    <row r="97" spans="2:20" s="3" customFormat="1" x14ac:dyDescent="0.2">
      <c r="B97" s="3" t="e">
        <f>'Biyemas S.A.'!#REF!</f>
        <v>#REF!</v>
      </c>
      <c r="C97" s="5" t="e">
        <f>+'Biyemas S.A.'!#REF!</f>
        <v>#REF!</v>
      </c>
      <c r="E97" s="6" t="e">
        <f>DAY(C97)</f>
        <v>#REF!</v>
      </c>
      <c r="F97" s="7" t="e">
        <f>+IF(E97&lt;8,1,IF(E97&lt;15,2,IF(E97&lt;22,3,IF(E97&lt;29,4,5))))</f>
        <v>#REF!</v>
      </c>
      <c r="G97" s="8" t="e">
        <f>WEEKDAY(C97)</f>
        <v>#REF!</v>
      </c>
      <c r="I97" s="9" t="e">
        <f t="shared" si="6"/>
        <v>#REF!</v>
      </c>
      <c r="J97" s="9" t="e">
        <f>VLOOKUP(G97,$O$50:$T$61,6,FALSE)</f>
        <v>#REF!</v>
      </c>
      <c r="K97" s="9" t="e">
        <f>+I97*J97</f>
        <v>#REF!</v>
      </c>
      <c r="M97" s="8">
        <f t="shared" si="10"/>
        <v>0</v>
      </c>
      <c r="N97" s="8" t="e">
        <f>$M$99/$K$99*K97</f>
        <v>#VALUE!</v>
      </c>
      <c r="O97" s="8" t="e">
        <f>'Biyemas S.A.'!#REF!</f>
        <v>#REF!</v>
      </c>
    </row>
    <row r="98" spans="2:20" s="3" customFormat="1" x14ac:dyDescent="0.2">
      <c r="C98" s="5"/>
      <c r="E98" s="6"/>
      <c r="F98" s="7"/>
      <c r="G98" s="8"/>
      <c r="I98" s="9"/>
      <c r="J98" s="9"/>
      <c r="K98" s="9"/>
      <c r="M98" s="8"/>
      <c r="N98" s="8"/>
      <c r="O98" s="8"/>
    </row>
    <row r="99" spans="2:20" s="3" customFormat="1" ht="12" thickBot="1" x14ac:dyDescent="0.25">
      <c r="B99" s="10"/>
      <c r="C99" s="11"/>
      <c r="E99" s="12"/>
      <c r="F99" s="13"/>
      <c r="G99" s="13"/>
      <c r="I99" s="14" t="e">
        <f>SUM(I67:I98)</f>
        <v>#VALUE!</v>
      </c>
      <c r="J99" s="14" t="e">
        <f>SUM(J67:J98)</f>
        <v>#VALUE!</v>
      </c>
      <c r="K99" s="121" t="e">
        <f>SUM(K67:K98)</f>
        <v>#VALUE!</v>
      </c>
      <c r="M99" s="15">
        <f>SUM(M67:M98)</f>
        <v>0</v>
      </c>
      <c r="N99" s="15" t="e">
        <f>SUM(N67:N98)</f>
        <v>#VALUE!</v>
      </c>
      <c r="O99" s="15" t="e">
        <f>SUM(O67:O98)</f>
        <v>#REF!</v>
      </c>
    </row>
    <row r="100" spans="2:20" s="3" customFormat="1" x14ac:dyDescent="0.2">
      <c r="C100" s="16"/>
      <c r="E100" s="12"/>
      <c r="F100" s="13"/>
      <c r="G100" s="13"/>
    </row>
    <row r="104" spans="2:20" x14ac:dyDescent="0.2">
      <c r="B104" s="2" t="s">
        <v>33</v>
      </c>
    </row>
    <row r="105" spans="2:20" x14ac:dyDescent="0.2">
      <c r="B105" s="2" t="s">
        <v>56</v>
      </c>
      <c r="C105" s="2"/>
      <c r="H105" s="2" t="s">
        <v>57</v>
      </c>
      <c r="I105" s="2"/>
      <c r="J105" s="2"/>
      <c r="O105" s="2" t="s">
        <v>58</v>
      </c>
    </row>
    <row r="106" spans="2:20" x14ac:dyDescent="0.2">
      <c r="B106" s="4" t="s">
        <v>59</v>
      </c>
      <c r="C106" s="4"/>
      <c r="H106" s="4" t="s">
        <v>59</v>
      </c>
      <c r="I106" s="4"/>
      <c r="J106" s="4"/>
      <c r="O106" s="4" t="s">
        <v>59</v>
      </c>
    </row>
    <row r="107" spans="2:20" ht="25.5" customHeight="1" x14ac:dyDescent="0.2">
      <c r="B107" s="122" t="s">
        <v>60</v>
      </c>
      <c r="C107" s="122" t="s">
        <v>61</v>
      </c>
      <c r="D107" s="122" t="s">
        <v>17</v>
      </c>
      <c r="E107" s="123" t="s">
        <v>62</v>
      </c>
      <c r="F107" s="123" t="s">
        <v>63</v>
      </c>
      <c r="H107" s="122" t="s">
        <v>64</v>
      </c>
      <c r="I107" s="122" t="s">
        <v>65</v>
      </c>
      <c r="J107" s="122" t="s">
        <v>66</v>
      </c>
      <c r="K107" s="122" t="s">
        <v>17</v>
      </c>
      <c r="L107" s="123" t="s">
        <v>62</v>
      </c>
      <c r="M107" s="123" t="s">
        <v>63</v>
      </c>
      <c r="O107" s="122"/>
      <c r="P107" s="122" t="s">
        <v>67</v>
      </c>
      <c r="Q107" s="122" t="s">
        <v>68</v>
      </c>
      <c r="R107" s="123" t="s">
        <v>17</v>
      </c>
      <c r="S107" s="123" t="s">
        <v>62</v>
      </c>
      <c r="T107" s="123" t="s">
        <v>63</v>
      </c>
    </row>
    <row r="108" spans="2:20" x14ac:dyDescent="0.2">
      <c r="B108" s="124">
        <v>1</v>
      </c>
      <c r="C108" s="124">
        <v>62</v>
      </c>
      <c r="D108" s="125">
        <v>173216579.99999994</v>
      </c>
      <c r="E108" s="126">
        <v>186940285.9416742</v>
      </c>
      <c r="F108" s="127">
        <v>0.92658775569672502</v>
      </c>
      <c r="H108" s="124">
        <v>1</v>
      </c>
      <c r="I108" s="124">
        <v>203</v>
      </c>
      <c r="J108" s="128">
        <v>29</v>
      </c>
      <c r="K108" s="125">
        <v>647611122.43999994</v>
      </c>
      <c r="L108" s="126">
        <v>612078678.16386878</v>
      </c>
      <c r="M108" s="127">
        <v>1.0580520863473344</v>
      </c>
      <c r="O108" s="124">
        <v>1</v>
      </c>
      <c r="P108" s="124" t="s">
        <v>69</v>
      </c>
      <c r="Q108" s="124">
        <v>126</v>
      </c>
      <c r="R108" s="125">
        <v>385386622.79999983</v>
      </c>
      <c r="S108" s="126">
        <v>379910903.68791854</v>
      </c>
      <c r="T108" s="127">
        <v>1.0144131665054272</v>
      </c>
    </row>
    <row r="109" spans="2:20" x14ac:dyDescent="0.2">
      <c r="B109" s="124">
        <v>2</v>
      </c>
      <c r="C109" s="124">
        <v>57</v>
      </c>
      <c r="D109" s="125">
        <v>141322100.92000005</v>
      </c>
      <c r="E109" s="126">
        <v>171864456.43024886</v>
      </c>
      <c r="F109" s="127">
        <v>0.82228812085619096</v>
      </c>
      <c r="H109" s="124">
        <v>2</v>
      </c>
      <c r="I109" s="124">
        <v>203</v>
      </c>
      <c r="J109" s="128">
        <v>29</v>
      </c>
      <c r="K109" s="125">
        <v>623390589.01000011</v>
      </c>
      <c r="L109" s="126">
        <v>612078678.16386878</v>
      </c>
      <c r="M109" s="127">
        <v>1.0184811385360868</v>
      </c>
      <c r="O109" s="124">
        <v>2</v>
      </c>
      <c r="P109" s="124" t="s">
        <v>70</v>
      </c>
      <c r="Q109" s="124">
        <v>126</v>
      </c>
      <c r="R109" s="125">
        <v>358850951.38</v>
      </c>
      <c r="S109" s="126">
        <v>379910903.68791854</v>
      </c>
      <c r="T109" s="127">
        <v>0.94456607561540684</v>
      </c>
    </row>
    <row r="110" spans="2:20" x14ac:dyDescent="0.2">
      <c r="B110" s="124">
        <v>3</v>
      </c>
      <c r="C110" s="124">
        <v>62</v>
      </c>
      <c r="D110" s="125">
        <v>139790694.26000002</v>
      </c>
      <c r="E110" s="126">
        <v>186940285.9416742</v>
      </c>
      <c r="F110" s="127">
        <v>0.74778260638595062</v>
      </c>
      <c r="H110" s="124">
        <v>3</v>
      </c>
      <c r="I110" s="124">
        <v>203</v>
      </c>
      <c r="J110" s="128">
        <v>29</v>
      </c>
      <c r="K110" s="125">
        <v>607614307.63999975</v>
      </c>
      <c r="L110" s="126">
        <v>612078678.16386878</v>
      </c>
      <c r="M110" s="127">
        <v>0.99270621460420516</v>
      </c>
      <c r="O110" s="124">
        <v>3</v>
      </c>
      <c r="P110" s="124" t="s">
        <v>71</v>
      </c>
      <c r="Q110" s="124">
        <v>126</v>
      </c>
      <c r="R110" s="125">
        <v>344796043.90000004</v>
      </c>
      <c r="S110" s="126">
        <v>379910903.68791854</v>
      </c>
      <c r="T110" s="127">
        <v>0.90757080292498282</v>
      </c>
    </row>
    <row r="111" spans="2:20" x14ac:dyDescent="0.2">
      <c r="B111" s="124">
        <v>4</v>
      </c>
      <c r="C111" s="124">
        <v>60</v>
      </c>
      <c r="D111" s="125">
        <v>183026148.99999994</v>
      </c>
      <c r="E111" s="126">
        <v>180909954.13710406</v>
      </c>
      <c r="F111" s="127">
        <v>1.0116975037276947</v>
      </c>
      <c r="H111" s="124">
        <v>4</v>
      </c>
      <c r="I111" s="124">
        <v>203</v>
      </c>
      <c r="J111" s="128">
        <v>29</v>
      </c>
      <c r="K111" s="125">
        <v>570639453.82999992</v>
      </c>
      <c r="L111" s="126">
        <v>612078678.16386878</v>
      </c>
      <c r="M111" s="127">
        <v>0.93229755289274341</v>
      </c>
      <c r="O111" s="124">
        <v>4</v>
      </c>
      <c r="P111" s="124" t="s">
        <v>72</v>
      </c>
      <c r="Q111" s="124">
        <v>127</v>
      </c>
      <c r="R111" s="125">
        <v>344571598.20000005</v>
      </c>
      <c r="S111" s="126">
        <v>382926069.59020364</v>
      </c>
      <c r="T111" s="127">
        <v>0.89983844288468151</v>
      </c>
    </row>
    <row r="112" spans="2:20" x14ac:dyDescent="0.2">
      <c r="B112" s="124">
        <v>5</v>
      </c>
      <c r="C112" s="124">
        <v>62</v>
      </c>
      <c r="D112" s="125">
        <v>190361884.18000007</v>
      </c>
      <c r="E112" s="126">
        <v>186940285.9416742</v>
      </c>
      <c r="F112" s="127">
        <v>1.0183031614672582</v>
      </c>
      <c r="H112" s="124">
        <v>5</v>
      </c>
      <c r="I112" s="124">
        <v>72</v>
      </c>
      <c r="J112" s="128">
        <v>10.285714285714286</v>
      </c>
      <c r="K112" s="125">
        <v>216151184.70000005</v>
      </c>
      <c r="L112" s="126">
        <v>217091944.96452489</v>
      </c>
      <c r="M112" s="127">
        <v>0.99566653537201222</v>
      </c>
      <c r="O112" s="124">
        <v>5</v>
      </c>
      <c r="P112" s="124" t="s">
        <v>73</v>
      </c>
      <c r="Q112" s="124">
        <v>127</v>
      </c>
      <c r="R112" s="125">
        <v>353085037.33999991</v>
      </c>
      <c r="S112" s="126">
        <v>382926069.59020364</v>
      </c>
      <c r="T112" s="127">
        <v>0.92207103506392574</v>
      </c>
    </row>
    <row r="113" spans="2:20" x14ac:dyDescent="0.2">
      <c r="B113" s="124">
        <v>6</v>
      </c>
      <c r="C113" s="124">
        <v>60</v>
      </c>
      <c r="D113" s="125">
        <v>187035730.78000003</v>
      </c>
      <c r="E113" s="126">
        <v>180909954.13710406</v>
      </c>
      <c r="F113" s="127">
        <v>1.0338609153493759</v>
      </c>
      <c r="H113" s="124"/>
      <c r="I113" s="124"/>
      <c r="J113" s="124"/>
      <c r="K113" s="126"/>
      <c r="L113" s="126"/>
      <c r="M113" s="127"/>
      <c r="O113" s="124">
        <v>6</v>
      </c>
      <c r="P113" s="124" t="s">
        <v>74</v>
      </c>
      <c r="Q113" s="124">
        <v>126</v>
      </c>
      <c r="R113" s="125">
        <v>431446225.65999991</v>
      </c>
      <c r="S113" s="126">
        <v>379910903.68791854</v>
      </c>
      <c r="T113" s="127">
        <v>1.1356510736380854</v>
      </c>
    </row>
    <row r="114" spans="2:20" x14ac:dyDescent="0.2">
      <c r="B114" s="124">
        <v>7</v>
      </c>
      <c r="C114" s="124">
        <v>62</v>
      </c>
      <c r="D114" s="125">
        <v>187197324.40999997</v>
      </c>
      <c r="E114" s="126">
        <v>186940285.9416742</v>
      </c>
      <c r="F114" s="127">
        <v>1.001374976330174</v>
      </c>
      <c r="H114" s="124"/>
      <c r="I114" s="124"/>
      <c r="J114" s="124"/>
      <c r="K114" s="124"/>
      <c r="L114" s="124"/>
      <c r="M114" s="124"/>
      <c r="O114" s="124">
        <v>7</v>
      </c>
      <c r="P114" s="124" t="s">
        <v>75</v>
      </c>
      <c r="Q114" s="124">
        <v>126</v>
      </c>
      <c r="R114" s="125">
        <v>447270178.34000009</v>
      </c>
      <c r="S114" s="126">
        <v>379910903.68791854</v>
      </c>
      <c r="T114" s="127">
        <v>1.177302820209168</v>
      </c>
    </row>
    <row r="115" spans="2:20" x14ac:dyDescent="0.2">
      <c r="B115" s="124">
        <v>8</v>
      </c>
      <c r="C115" s="124">
        <v>93</v>
      </c>
      <c r="D115" s="125">
        <v>297919662.73000008</v>
      </c>
      <c r="E115" s="126">
        <v>280410428.91251129</v>
      </c>
      <c r="F115" s="127">
        <v>1.0624414501464627</v>
      </c>
      <c r="H115" s="124"/>
      <c r="I115" s="124"/>
      <c r="J115" s="124"/>
      <c r="K115" s="124"/>
      <c r="L115" s="124"/>
      <c r="M115" s="124"/>
      <c r="O115" s="124"/>
      <c r="P115" s="124"/>
      <c r="Q115" s="124"/>
      <c r="R115" s="124"/>
      <c r="S115" s="124"/>
      <c r="T115" s="124"/>
    </row>
    <row r="116" spans="2:20" x14ac:dyDescent="0.2">
      <c r="B116" s="124">
        <v>9</v>
      </c>
      <c r="C116" s="124">
        <v>90</v>
      </c>
      <c r="D116" s="125">
        <v>287116694.7899999</v>
      </c>
      <c r="E116" s="126">
        <v>271364931.20565611</v>
      </c>
      <c r="F116" s="127">
        <v>1.05804642300079</v>
      </c>
      <c r="H116" s="124"/>
      <c r="I116" s="124"/>
      <c r="J116" s="124"/>
      <c r="K116" s="124"/>
      <c r="L116" s="124"/>
      <c r="M116" s="124"/>
      <c r="O116" s="124"/>
      <c r="P116" s="124"/>
      <c r="Q116" s="124"/>
      <c r="R116" s="124"/>
      <c r="S116" s="124"/>
      <c r="T116" s="124"/>
    </row>
    <row r="117" spans="2:20" x14ac:dyDescent="0.2">
      <c r="B117" s="124">
        <v>10</v>
      </c>
      <c r="C117" s="124">
        <v>93</v>
      </c>
      <c r="D117" s="125">
        <v>291371902.01000011</v>
      </c>
      <c r="E117" s="126">
        <v>280410428.91251129</v>
      </c>
      <c r="F117" s="127">
        <v>1.0390908181981664</v>
      </c>
      <c r="H117" s="124"/>
      <c r="I117" s="124"/>
      <c r="J117" s="124"/>
      <c r="K117" s="124"/>
      <c r="L117" s="124"/>
      <c r="M117" s="124"/>
      <c r="O117" s="124"/>
      <c r="P117" s="124"/>
      <c r="Q117" s="124"/>
      <c r="R117" s="124"/>
      <c r="S117" s="124"/>
      <c r="T117" s="124"/>
    </row>
    <row r="118" spans="2:20" x14ac:dyDescent="0.2">
      <c r="B118" s="124">
        <v>11</v>
      </c>
      <c r="C118" s="124">
        <v>90</v>
      </c>
      <c r="D118" s="125">
        <v>280237048.90000004</v>
      </c>
      <c r="E118" s="126">
        <v>271364931.20565611</v>
      </c>
      <c r="F118" s="127">
        <v>1.0326944150628665</v>
      </c>
      <c r="H118" s="124"/>
      <c r="I118" s="124"/>
      <c r="J118" s="124"/>
      <c r="K118" s="124"/>
      <c r="L118" s="124"/>
      <c r="M118" s="124"/>
      <c r="O118" s="124"/>
      <c r="P118" s="124"/>
      <c r="Q118" s="124"/>
      <c r="R118" s="124"/>
      <c r="S118" s="124"/>
      <c r="T118" s="124"/>
    </row>
    <row r="119" spans="2:20" x14ac:dyDescent="0.2">
      <c r="B119" s="124">
        <v>12</v>
      </c>
      <c r="C119" s="124">
        <v>93</v>
      </c>
      <c r="D119" s="125">
        <v>306810885.64000005</v>
      </c>
      <c r="E119" s="126">
        <v>280410428.91251129</v>
      </c>
      <c r="F119" s="127">
        <v>1.0941493397013624</v>
      </c>
      <c r="H119" s="124"/>
      <c r="I119" s="124"/>
      <c r="J119" s="124"/>
      <c r="K119" s="124"/>
      <c r="L119" s="124"/>
      <c r="M119" s="124"/>
      <c r="O119" s="124"/>
      <c r="P119" s="124"/>
      <c r="Q119" s="124"/>
      <c r="R119" s="124"/>
      <c r="S119" s="124"/>
      <c r="T119" s="124"/>
    </row>
    <row r="120" spans="2:20" ht="12" thickBot="1" x14ac:dyDescent="0.25">
      <c r="B120" s="40" t="s">
        <v>76</v>
      </c>
      <c r="C120" s="41">
        <v>884</v>
      </c>
      <c r="D120" s="41">
        <v>2665406657.6199999</v>
      </c>
      <c r="E120" s="41">
        <v>2665406657.6200004</v>
      </c>
      <c r="F120" s="43">
        <v>11.848317485923019</v>
      </c>
      <c r="H120" s="40" t="s">
        <v>76</v>
      </c>
      <c r="I120" s="41">
        <v>884</v>
      </c>
      <c r="J120" s="42">
        <v>126.28571428571429</v>
      </c>
      <c r="K120" s="41">
        <v>2665406657.6199999</v>
      </c>
      <c r="L120" s="41">
        <v>2665406657.6199999</v>
      </c>
      <c r="M120" s="43">
        <v>4.9972035277523821</v>
      </c>
      <c r="O120" s="40" t="s">
        <v>76</v>
      </c>
      <c r="P120" s="41"/>
      <c r="Q120" s="41">
        <v>884</v>
      </c>
      <c r="R120" s="41">
        <v>2665406657.6199999</v>
      </c>
      <c r="S120" s="41">
        <v>2665406657.6200004</v>
      </c>
      <c r="T120" s="120">
        <v>7.001413416841678</v>
      </c>
    </row>
    <row r="122" spans="2:20" s="3" customFormat="1" x14ac:dyDescent="0.2">
      <c r="B122" s="2"/>
      <c r="E122" s="1"/>
      <c r="F122" s="1"/>
      <c r="G122" s="1"/>
      <c r="M122" s="335"/>
      <c r="N122" s="335"/>
      <c r="O122" s="335"/>
    </row>
    <row r="123" spans="2:20" s="3" customFormat="1" ht="28.5" customHeight="1" x14ac:dyDescent="0.2">
      <c r="B123" s="336" t="s">
        <v>7</v>
      </c>
      <c r="C123" s="336" t="s">
        <v>8</v>
      </c>
      <c r="E123" s="336" t="s">
        <v>53</v>
      </c>
      <c r="F123" s="336" t="s">
        <v>54</v>
      </c>
      <c r="G123" s="336" t="s">
        <v>55</v>
      </c>
      <c r="I123" s="337" t="s">
        <v>52</v>
      </c>
      <c r="J123" s="337" t="s">
        <v>80</v>
      </c>
      <c r="K123" s="337" t="s">
        <v>78</v>
      </c>
      <c r="M123" s="336" t="s">
        <v>77</v>
      </c>
      <c r="N123" s="336" t="s">
        <v>51</v>
      </c>
      <c r="O123" s="336" t="s">
        <v>79</v>
      </c>
    </row>
    <row r="124" spans="2:20" s="3" customFormat="1" x14ac:dyDescent="0.2">
      <c r="B124" s="336"/>
      <c r="C124" s="336"/>
      <c r="E124" s="336"/>
      <c r="F124" s="336"/>
      <c r="G124" s="336"/>
      <c r="I124" s="337"/>
      <c r="J124" s="337"/>
      <c r="K124" s="337"/>
      <c r="M124" s="336"/>
      <c r="N124" s="336"/>
      <c r="O124" s="336"/>
    </row>
    <row r="125" spans="2:20" s="3" customFormat="1" x14ac:dyDescent="0.2">
      <c r="B125" s="3" t="e">
        <f>B67</f>
        <v>#REF!</v>
      </c>
      <c r="C125" s="5" t="str">
        <f>C67</f>
        <v/>
      </c>
      <c r="E125" s="6" t="e">
        <f t="shared" ref="E125:E152" si="12">DAY(C125)</f>
        <v>#VALUE!</v>
      </c>
      <c r="F125" s="7" t="e">
        <f t="shared" ref="F125:F152" si="13">+IF(E125&lt;8,1,IF(E125&lt;15,2,IF(E125&lt;22,3,IF(E125&lt;29,4,5))))</f>
        <v>#VALUE!</v>
      </c>
      <c r="G125" s="8" t="e">
        <f>WEEKDAY(C125)</f>
        <v>#VALUE!</v>
      </c>
      <c r="I125" s="9" t="e">
        <f>VLOOKUP(F125,$H$108:$M$112,6,FALSE)</f>
        <v>#VALUE!</v>
      </c>
      <c r="J125" s="9" t="e">
        <f>VLOOKUP(G125,$O$108:$T$114,6,FALSE)</f>
        <v>#VALUE!</v>
      </c>
      <c r="K125" s="9" t="e">
        <f t="shared" ref="K125:K152" si="14">+I125*J125</f>
        <v>#VALUE!</v>
      </c>
      <c r="M125" s="8" t="e">
        <f>#REF!</f>
        <v>#REF!</v>
      </c>
      <c r="N125" s="8" t="e">
        <f>$M$157/$K$157*K125</f>
        <v>#REF!</v>
      </c>
      <c r="O125" s="8" t="e">
        <f>#REF!</f>
        <v>#REF!</v>
      </c>
    </row>
    <row r="126" spans="2:20" s="3" customFormat="1" x14ac:dyDescent="0.2">
      <c r="B126" s="3" t="e">
        <f t="shared" ref="B126:B155" si="15">B68</f>
        <v>#REF!</v>
      </c>
      <c r="C126" s="5" t="str">
        <f t="shared" ref="C126:C155" si="16">C68</f>
        <v/>
      </c>
      <c r="E126" s="6" t="e">
        <f t="shared" si="12"/>
        <v>#VALUE!</v>
      </c>
      <c r="F126" s="7" t="e">
        <f t="shared" si="13"/>
        <v>#VALUE!</v>
      </c>
      <c r="G126" s="8" t="e">
        <f t="shared" ref="G126:G152" si="17">WEEKDAY(C126)</f>
        <v>#VALUE!</v>
      </c>
      <c r="I126" s="9" t="e">
        <f t="shared" ref="I126:I152" si="18">VLOOKUP(F126,$H$108:$M$112,6,FALSE)</f>
        <v>#VALUE!</v>
      </c>
      <c r="J126" s="9" t="e">
        <f t="shared" ref="J126:J152" si="19">VLOOKUP(G126,$O$108:$T$114,6,FALSE)</f>
        <v>#VALUE!</v>
      </c>
      <c r="K126" s="9" t="e">
        <f t="shared" si="14"/>
        <v>#VALUE!</v>
      </c>
      <c r="M126" s="8" t="e">
        <f t="shared" ref="M126:M155" si="20">M125</f>
        <v>#REF!</v>
      </c>
      <c r="N126" s="8" t="e">
        <f t="shared" ref="N126:N152" si="21">$M$157/$K$157*K126</f>
        <v>#REF!</v>
      </c>
      <c r="O126" s="8" t="e">
        <f>#REF!</f>
        <v>#REF!</v>
      </c>
    </row>
    <row r="127" spans="2:20" s="3" customFormat="1" x14ac:dyDescent="0.2">
      <c r="B127" s="3" t="e">
        <f t="shared" si="15"/>
        <v>#REF!</v>
      </c>
      <c r="C127" s="5" t="str">
        <f t="shared" si="16"/>
        <v/>
      </c>
      <c r="E127" s="6" t="e">
        <f t="shared" si="12"/>
        <v>#VALUE!</v>
      </c>
      <c r="F127" s="7" t="e">
        <f t="shared" si="13"/>
        <v>#VALUE!</v>
      </c>
      <c r="G127" s="8" t="e">
        <f t="shared" si="17"/>
        <v>#VALUE!</v>
      </c>
      <c r="I127" s="9" t="e">
        <f t="shared" si="18"/>
        <v>#VALUE!</v>
      </c>
      <c r="J127" s="9" t="e">
        <f t="shared" si="19"/>
        <v>#VALUE!</v>
      </c>
      <c r="K127" s="9" t="e">
        <f t="shared" si="14"/>
        <v>#VALUE!</v>
      </c>
      <c r="M127" s="8" t="e">
        <f t="shared" si="20"/>
        <v>#REF!</v>
      </c>
      <c r="N127" s="8" t="e">
        <f t="shared" si="21"/>
        <v>#REF!</v>
      </c>
      <c r="O127" s="8" t="e">
        <f>#REF!</f>
        <v>#REF!</v>
      </c>
    </row>
    <row r="128" spans="2:20" s="3" customFormat="1" x14ac:dyDescent="0.2">
      <c r="B128" s="3" t="e">
        <f t="shared" si="15"/>
        <v>#REF!</v>
      </c>
      <c r="C128" s="5" t="str">
        <f t="shared" si="16"/>
        <v/>
      </c>
      <c r="E128" s="6" t="e">
        <f t="shared" si="12"/>
        <v>#VALUE!</v>
      </c>
      <c r="F128" s="7" t="e">
        <f t="shared" si="13"/>
        <v>#VALUE!</v>
      </c>
      <c r="G128" s="8" t="e">
        <f t="shared" si="17"/>
        <v>#VALUE!</v>
      </c>
      <c r="I128" s="9" t="e">
        <f t="shared" si="18"/>
        <v>#VALUE!</v>
      </c>
      <c r="J128" s="9" t="e">
        <f t="shared" si="19"/>
        <v>#VALUE!</v>
      </c>
      <c r="K128" s="9" t="e">
        <f t="shared" si="14"/>
        <v>#VALUE!</v>
      </c>
      <c r="M128" s="8" t="e">
        <f t="shared" si="20"/>
        <v>#REF!</v>
      </c>
      <c r="N128" s="8" t="e">
        <f t="shared" si="21"/>
        <v>#REF!</v>
      </c>
      <c r="O128" s="8" t="e">
        <f>#REF!</f>
        <v>#REF!</v>
      </c>
    </row>
    <row r="129" spans="2:15" s="3" customFormat="1" x14ac:dyDescent="0.2">
      <c r="B129" s="3" t="e">
        <f t="shared" si="15"/>
        <v>#REF!</v>
      </c>
      <c r="C129" s="5" t="str">
        <f t="shared" si="16"/>
        <v/>
      </c>
      <c r="E129" s="6" t="e">
        <f t="shared" si="12"/>
        <v>#VALUE!</v>
      </c>
      <c r="F129" s="7" t="e">
        <f t="shared" si="13"/>
        <v>#VALUE!</v>
      </c>
      <c r="G129" s="8" t="e">
        <f t="shared" si="17"/>
        <v>#VALUE!</v>
      </c>
      <c r="I129" s="9" t="e">
        <f t="shared" si="18"/>
        <v>#VALUE!</v>
      </c>
      <c r="J129" s="9" t="e">
        <f t="shared" si="19"/>
        <v>#VALUE!</v>
      </c>
      <c r="K129" s="9" t="e">
        <f t="shared" si="14"/>
        <v>#VALUE!</v>
      </c>
      <c r="M129" s="8" t="e">
        <f t="shared" si="20"/>
        <v>#REF!</v>
      </c>
      <c r="N129" s="8" t="e">
        <f t="shared" si="21"/>
        <v>#REF!</v>
      </c>
      <c r="O129" s="8" t="e">
        <f>#REF!</f>
        <v>#REF!</v>
      </c>
    </row>
    <row r="130" spans="2:15" s="3" customFormat="1" x14ac:dyDescent="0.2">
      <c r="B130" s="3" t="e">
        <f t="shared" si="15"/>
        <v>#REF!</v>
      </c>
      <c r="C130" s="5" t="str">
        <f t="shared" si="16"/>
        <v/>
      </c>
      <c r="E130" s="6" t="e">
        <f t="shared" si="12"/>
        <v>#VALUE!</v>
      </c>
      <c r="F130" s="7" t="e">
        <f t="shared" si="13"/>
        <v>#VALUE!</v>
      </c>
      <c r="G130" s="8" t="e">
        <f t="shared" si="17"/>
        <v>#VALUE!</v>
      </c>
      <c r="I130" s="9" t="e">
        <f t="shared" si="18"/>
        <v>#VALUE!</v>
      </c>
      <c r="J130" s="9" t="e">
        <f t="shared" si="19"/>
        <v>#VALUE!</v>
      </c>
      <c r="K130" s="9" t="e">
        <f t="shared" si="14"/>
        <v>#VALUE!</v>
      </c>
      <c r="M130" s="8" t="e">
        <f t="shared" si="20"/>
        <v>#REF!</v>
      </c>
      <c r="N130" s="8" t="e">
        <f t="shared" si="21"/>
        <v>#REF!</v>
      </c>
      <c r="O130" s="8" t="e">
        <f>#REF!</f>
        <v>#REF!</v>
      </c>
    </row>
    <row r="131" spans="2:15" s="3" customFormat="1" x14ac:dyDescent="0.2">
      <c r="B131" s="3" t="e">
        <f t="shared" si="15"/>
        <v>#REF!</v>
      </c>
      <c r="C131" s="5" t="str">
        <f t="shared" si="16"/>
        <v/>
      </c>
      <c r="E131" s="6" t="e">
        <f t="shared" si="12"/>
        <v>#VALUE!</v>
      </c>
      <c r="F131" s="7" t="e">
        <f t="shared" si="13"/>
        <v>#VALUE!</v>
      </c>
      <c r="G131" s="8" t="e">
        <f t="shared" si="17"/>
        <v>#VALUE!</v>
      </c>
      <c r="I131" s="9" t="e">
        <f t="shared" si="18"/>
        <v>#VALUE!</v>
      </c>
      <c r="J131" s="9" t="e">
        <f t="shared" si="19"/>
        <v>#VALUE!</v>
      </c>
      <c r="K131" s="9" t="e">
        <f t="shared" si="14"/>
        <v>#VALUE!</v>
      </c>
      <c r="M131" s="8" t="e">
        <f t="shared" si="20"/>
        <v>#REF!</v>
      </c>
      <c r="N131" s="8" t="e">
        <f>$M$157/$K$157*K131</f>
        <v>#REF!</v>
      </c>
      <c r="O131" s="8" t="e">
        <f>#REF!</f>
        <v>#REF!</v>
      </c>
    </row>
    <row r="132" spans="2:15" s="3" customFormat="1" x14ac:dyDescent="0.2">
      <c r="B132" s="3" t="str">
        <f t="shared" si="15"/>
        <v/>
      </c>
      <c r="C132" s="5" t="str">
        <f t="shared" si="16"/>
        <v/>
      </c>
      <c r="E132" s="6" t="e">
        <f t="shared" si="12"/>
        <v>#VALUE!</v>
      </c>
      <c r="F132" s="7" t="e">
        <f t="shared" si="13"/>
        <v>#VALUE!</v>
      </c>
      <c r="G132" s="8" t="e">
        <f t="shared" si="17"/>
        <v>#VALUE!</v>
      </c>
      <c r="I132" s="9" t="e">
        <f t="shared" si="18"/>
        <v>#VALUE!</v>
      </c>
      <c r="J132" s="9" t="e">
        <f t="shared" si="19"/>
        <v>#VALUE!</v>
      </c>
      <c r="K132" s="9" t="e">
        <f t="shared" si="14"/>
        <v>#VALUE!</v>
      </c>
      <c r="M132" s="8" t="e">
        <f t="shared" si="20"/>
        <v>#REF!</v>
      </c>
      <c r="N132" s="8" t="e">
        <f t="shared" si="21"/>
        <v>#REF!</v>
      </c>
      <c r="O132" s="8" t="e">
        <f>#REF!</f>
        <v>#REF!</v>
      </c>
    </row>
    <row r="133" spans="2:15" s="3" customFormat="1" x14ac:dyDescent="0.2">
      <c r="B133" s="3" t="str">
        <f t="shared" si="15"/>
        <v/>
      </c>
      <c r="C133" s="5" t="str">
        <f t="shared" si="16"/>
        <v/>
      </c>
      <c r="E133" s="6" t="e">
        <f t="shared" si="12"/>
        <v>#VALUE!</v>
      </c>
      <c r="F133" s="7" t="e">
        <f t="shared" si="13"/>
        <v>#VALUE!</v>
      </c>
      <c r="G133" s="8" t="e">
        <f t="shared" si="17"/>
        <v>#VALUE!</v>
      </c>
      <c r="I133" s="9" t="e">
        <f t="shared" si="18"/>
        <v>#VALUE!</v>
      </c>
      <c r="J133" s="9" t="e">
        <f t="shared" si="19"/>
        <v>#VALUE!</v>
      </c>
      <c r="K133" s="9" t="e">
        <f t="shared" si="14"/>
        <v>#VALUE!</v>
      </c>
      <c r="M133" s="8" t="e">
        <f t="shared" si="20"/>
        <v>#REF!</v>
      </c>
      <c r="N133" s="8" t="e">
        <f t="shared" si="21"/>
        <v>#REF!</v>
      </c>
      <c r="O133" s="8" t="e">
        <f>#REF!</f>
        <v>#REF!</v>
      </c>
    </row>
    <row r="134" spans="2:15" s="3" customFormat="1" x14ac:dyDescent="0.2">
      <c r="B134" s="3" t="str">
        <f t="shared" si="15"/>
        <v/>
      </c>
      <c r="C134" s="5" t="str">
        <f t="shared" si="16"/>
        <v/>
      </c>
      <c r="E134" s="6" t="e">
        <f t="shared" si="12"/>
        <v>#VALUE!</v>
      </c>
      <c r="F134" s="7" t="e">
        <f t="shared" si="13"/>
        <v>#VALUE!</v>
      </c>
      <c r="G134" s="8" t="e">
        <f t="shared" si="17"/>
        <v>#VALUE!</v>
      </c>
      <c r="I134" s="9" t="e">
        <f t="shared" si="18"/>
        <v>#VALUE!</v>
      </c>
      <c r="J134" s="9" t="e">
        <f t="shared" si="19"/>
        <v>#VALUE!</v>
      </c>
      <c r="K134" s="9" t="e">
        <f t="shared" si="14"/>
        <v>#VALUE!</v>
      </c>
      <c r="M134" s="8" t="e">
        <f t="shared" si="20"/>
        <v>#REF!</v>
      </c>
      <c r="N134" s="8" t="e">
        <f t="shared" si="21"/>
        <v>#REF!</v>
      </c>
      <c r="O134" s="8" t="e">
        <f>#REF!</f>
        <v>#REF!</v>
      </c>
    </row>
    <row r="135" spans="2:15" s="3" customFormat="1" x14ac:dyDescent="0.2">
      <c r="B135" s="3" t="str">
        <f t="shared" si="15"/>
        <v/>
      </c>
      <c r="C135" s="5" t="str">
        <f t="shared" si="16"/>
        <v/>
      </c>
      <c r="E135" s="6" t="e">
        <f t="shared" si="12"/>
        <v>#VALUE!</v>
      </c>
      <c r="F135" s="7" t="e">
        <f t="shared" si="13"/>
        <v>#VALUE!</v>
      </c>
      <c r="G135" s="8" t="e">
        <f t="shared" si="17"/>
        <v>#VALUE!</v>
      </c>
      <c r="I135" s="9" t="e">
        <f t="shared" si="18"/>
        <v>#VALUE!</v>
      </c>
      <c r="J135" s="9" t="e">
        <f t="shared" si="19"/>
        <v>#VALUE!</v>
      </c>
      <c r="K135" s="9" t="e">
        <f t="shared" si="14"/>
        <v>#VALUE!</v>
      </c>
      <c r="M135" s="8" t="e">
        <f t="shared" si="20"/>
        <v>#REF!</v>
      </c>
      <c r="N135" s="8" t="e">
        <f t="shared" si="21"/>
        <v>#REF!</v>
      </c>
      <c r="O135" s="8" t="e">
        <f>#REF!</f>
        <v>#REF!</v>
      </c>
    </row>
    <row r="136" spans="2:15" s="3" customFormat="1" x14ac:dyDescent="0.2">
      <c r="B136" s="3" t="str">
        <f t="shared" si="15"/>
        <v/>
      </c>
      <c r="C136" s="5" t="str">
        <f t="shared" si="16"/>
        <v/>
      </c>
      <c r="E136" s="6" t="e">
        <f t="shared" si="12"/>
        <v>#VALUE!</v>
      </c>
      <c r="F136" s="7" t="e">
        <f t="shared" si="13"/>
        <v>#VALUE!</v>
      </c>
      <c r="G136" s="8" t="e">
        <f t="shared" si="17"/>
        <v>#VALUE!</v>
      </c>
      <c r="I136" s="9" t="e">
        <f t="shared" si="18"/>
        <v>#VALUE!</v>
      </c>
      <c r="J136" s="9" t="e">
        <f t="shared" si="19"/>
        <v>#VALUE!</v>
      </c>
      <c r="K136" s="9" t="e">
        <f t="shared" si="14"/>
        <v>#VALUE!</v>
      </c>
      <c r="M136" s="8" t="e">
        <f t="shared" si="20"/>
        <v>#REF!</v>
      </c>
      <c r="N136" s="8" t="e">
        <f t="shared" si="21"/>
        <v>#REF!</v>
      </c>
      <c r="O136" s="8" t="e">
        <f>#REF!</f>
        <v>#REF!</v>
      </c>
    </row>
    <row r="137" spans="2:15" s="3" customFormat="1" x14ac:dyDescent="0.2">
      <c r="B137" s="3" t="str">
        <f t="shared" si="15"/>
        <v/>
      </c>
      <c r="C137" s="5" t="str">
        <f t="shared" si="16"/>
        <v/>
      </c>
      <c r="E137" s="6" t="e">
        <f t="shared" si="12"/>
        <v>#VALUE!</v>
      </c>
      <c r="F137" s="7" t="e">
        <f t="shared" si="13"/>
        <v>#VALUE!</v>
      </c>
      <c r="G137" s="8" t="e">
        <f t="shared" si="17"/>
        <v>#VALUE!</v>
      </c>
      <c r="I137" s="9" t="e">
        <f t="shared" si="18"/>
        <v>#VALUE!</v>
      </c>
      <c r="J137" s="9" t="e">
        <f t="shared" si="19"/>
        <v>#VALUE!</v>
      </c>
      <c r="K137" s="9" t="e">
        <f t="shared" si="14"/>
        <v>#VALUE!</v>
      </c>
      <c r="M137" s="8" t="e">
        <f t="shared" si="20"/>
        <v>#REF!</v>
      </c>
      <c r="N137" s="8" t="e">
        <f t="shared" si="21"/>
        <v>#REF!</v>
      </c>
      <c r="O137" s="8" t="e">
        <f>#REF!</f>
        <v>#REF!</v>
      </c>
    </row>
    <row r="138" spans="2:15" s="3" customFormat="1" x14ac:dyDescent="0.2">
      <c r="B138" s="3" t="str">
        <f t="shared" si="15"/>
        <v/>
      </c>
      <c r="C138" s="5" t="str">
        <f t="shared" si="16"/>
        <v/>
      </c>
      <c r="E138" s="6" t="e">
        <f t="shared" si="12"/>
        <v>#VALUE!</v>
      </c>
      <c r="F138" s="7" t="e">
        <f t="shared" si="13"/>
        <v>#VALUE!</v>
      </c>
      <c r="G138" s="8" t="e">
        <f t="shared" si="17"/>
        <v>#VALUE!</v>
      </c>
      <c r="I138" s="9" t="e">
        <f t="shared" si="18"/>
        <v>#VALUE!</v>
      </c>
      <c r="J138" s="9" t="e">
        <f t="shared" si="19"/>
        <v>#VALUE!</v>
      </c>
      <c r="K138" s="9" t="e">
        <f t="shared" si="14"/>
        <v>#VALUE!</v>
      </c>
      <c r="M138" s="8" t="e">
        <f t="shared" si="20"/>
        <v>#REF!</v>
      </c>
      <c r="N138" s="8" t="e">
        <f t="shared" si="21"/>
        <v>#REF!</v>
      </c>
      <c r="O138" s="8" t="e">
        <f>#REF!</f>
        <v>#REF!</v>
      </c>
    </row>
    <row r="139" spans="2:15" s="3" customFormat="1" x14ac:dyDescent="0.2">
      <c r="B139" s="3" t="str">
        <f t="shared" si="15"/>
        <v/>
      </c>
      <c r="C139" s="5" t="str">
        <f t="shared" si="16"/>
        <v/>
      </c>
      <c r="E139" s="6" t="e">
        <f t="shared" si="12"/>
        <v>#VALUE!</v>
      </c>
      <c r="F139" s="7" t="e">
        <f t="shared" si="13"/>
        <v>#VALUE!</v>
      </c>
      <c r="G139" s="8" t="e">
        <f t="shared" si="17"/>
        <v>#VALUE!</v>
      </c>
      <c r="I139" s="9" t="e">
        <f t="shared" si="18"/>
        <v>#VALUE!</v>
      </c>
      <c r="J139" s="9" t="e">
        <f t="shared" si="19"/>
        <v>#VALUE!</v>
      </c>
      <c r="K139" s="9" t="e">
        <f t="shared" si="14"/>
        <v>#VALUE!</v>
      </c>
      <c r="M139" s="8" t="e">
        <f t="shared" si="20"/>
        <v>#REF!</v>
      </c>
      <c r="N139" s="8" t="e">
        <f t="shared" si="21"/>
        <v>#REF!</v>
      </c>
      <c r="O139" s="8" t="e">
        <f>#REF!</f>
        <v>#REF!</v>
      </c>
    </row>
    <row r="140" spans="2:15" s="3" customFormat="1" x14ac:dyDescent="0.2">
      <c r="B140" s="3" t="str">
        <f t="shared" si="15"/>
        <v/>
      </c>
      <c r="C140" s="5" t="str">
        <f t="shared" si="16"/>
        <v/>
      </c>
      <c r="E140" s="6" t="e">
        <f t="shared" si="12"/>
        <v>#VALUE!</v>
      </c>
      <c r="F140" s="7" t="e">
        <f t="shared" si="13"/>
        <v>#VALUE!</v>
      </c>
      <c r="G140" s="8" t="e">
        <f t="shared" si="17"/>
        <v>#VALUE!</v>
      </c>
      <c r="I140" s="9" t="e">
        <f t="shared" si="18"/>
        <v>#VALUE!</v>
      </c>
      <c r="J140" s="9" t="e">
        <f t="shared" si="19"/>
        <v>#VALUE!</v>
      </c>
      <c r="K140" s="9" t="e">
        <f t="shared" si="14"/>
        <v>#VALUE!</v>
      </c>
      <c r="M140" s="8" t="e">
        <f t="shared" si="20"/>
        <v>#REF!</v>
      </c>
      <c r="N140" s="8" t="e">
        <f t="shared" si="21"/>
        <v>#REF!</v>
      </c>
      <c r="O140" s="8" t="e">
        <f>#REF!</f>
        <v>#REF!</v>
      </c>
    </row>
    <row r="141" spans="2:15" s="3" customFormat="1" x14ac:dyDescent="0.2">
      <c r="B141" s="3" t="str">
        <f t="shared" si="15"/>
        <v/>
      </c>
      <c r="C141" s="5" t="str">
        <f t="shared" si="16"/>
        <v/>
      </c>
      <c r="E141" s="6" t="e">
        <f t="shared" si="12"/>
        <v>#VALUE!</v>
      </c>
      <c r="F141" s="7" t="e">
        <f t="shared" si="13"/>
        <v>#VALUE!</v>
      </c>
      <c r="G141" s="8" t="e">
        <f t="shared" si="17"/>
        <v>#VALUE!</v>
      </c>
      <c r="I141" s="9" t="e">
        <f t="shared" si="18"/>
        <v>#VALUE!</v>
      </c>
      <c r="J141" s="9" t="e">
        <f t="shared" si="19"/>
        <v>#VALUE!</v>
      </c>
      <c r="K141" s="9" t="e">
        <f t="shared" si="14"/>
        <v>#VALUE!</v>
      </c>
      <c r="M141" s="8" t="e">
        <f t="shared" si="20"/>
        <v>#REF!</v>
      </c>
      <c r="N141" s="8" t="e">
        <f t="shared" si="21"/>
        <v>#REF!</v>
      </c>
      <c r="O141" s="8" t="e">
        <f>#REF!</f>
        <v>#REF!</v>
      </c>
    </row>
    <row r="142" spans="2:15" s="3" customFormat="1" x14ac:dyDescent="0.2">
      <c r="B142" s="3" t="str">
        <f t="shared" si="15"/>
        <v/>
      </c>
      <c r="C142" s="5" t="str">
        <f t="shared" si="16"/>
        <v/>
      </c>
      <c r="E142" s="6" t="e">
        <f t="shared" si="12"/>
        <v>#VALUE!</v>
      </c>
      <c r="F142" s="7" t="e">
        <f t="shared" si="13"/>
        <v>#VALUE!</v>
      </c>
      <c r="G142" s="8" t="e">
        <f t="shared" si="17"/>
        <v>#VALUE!</v>
      </c>
      <c r="I142" s="9" t="e">
        <f t="shared" si="18"/>
        <v>#VALUE!</v>
      </c>
      <c r="J142" s="9" t="e">
        <f t="shared" si="19"/>
        <v>#VALUE!</v>
      </c>
      <c r="K142" s="9" t="e">
        <f t="shared" si="14"/>
        <v>#VALUE!</v>
      </c>
      <c r="M142" s="8" t="e">
        <f t="shared" si="20"/>
        <v>#REF!</v>
      </c>
      <c r="N142" s="8" t="e">
        <f t="shared" si="21"/>
        <v>#REF!</v>
      </c>
      <c r="O142" s="8" t="e">
        <f>#REF!</f>
        <v>#REF!</v>
      </c>
    </row>
    <row r="143" spans="2:15" s="3" customFormat="1" x14ac:dyDescent="0.2">
      <c r="B143" s="3" t="str">
        <f t="shared" si="15"/>
        <v/>
      </c>
      <c r="C143" s="5" t="str">
        <f t="shared" si="16"/>
        <v/>
      </c>
      <c r="E143" s="6" t="e">
        <f t="shared" si="12"/>
        <v>#VALUE!</v>
      </c>
      <c r="F143" s="7" t="e">
        <f t="shared" si="13"/>
        <v>#VALUE!</v>
      </c>
      <c r="G143" s="8" t="e">
        <f t="shared" si="17"/>
        <v>#VALUE!</v>
      </c>
      <c r="I143" s="9" t="e">
        <f t="shared" si="18"/>
        <v>#VALUE!</v>
      </c>
      <c r="J143" s="9" t="e">
        <f t="shared" si="19"/>
        <v>#VALUE!</v>
      </c>
      <c r="K143" s="9" t="e">
        <f t="shared" si="14"/>
        <v>#VALUE!</v>
      </c>
      <c r="M143" s="8" t="e">
        <f t="shared" si="20"/>
        <v>#REF!</v>
      </c>
      <c r="N143" s="8" t="e">
        <f t="shared" si="21"/>
        <v>#REF!</v>
      </c>
      <c r="O143" s="8" t="e">
        <f>#REF!</f>
        <v>#REF!</v>
      </c>
    </row>
    <row r="144" spans="2:15" s="3" customFormat="1" x14ac:dyDescent="0.2">
      <c r="B144" s="3" t="str">
        <f t="shared" si="15"/>
        <v/>
      </c>
      <c r="C144" s="5" t="str">
        <f t="shared" si="16"/>
        <v/>
      </c>
      <c r="E144" s="6" t="e">
        <f t="shared" si="12"/>
        <v>#VALUE!</v>
      </c>
      <c r="F144" s="7" t="e">
        <f t="shared" si="13"/>
        <v>#VALUE!</v>
      </c>
      <c r="G144" s="8" t="e">
        <f t="shared" si="17"/>
        <v>#VALUE!</v>
      </c>
      <c r="I144" s="9" t="e">
        <f t="shared" si="18"/>
        <v>#VALUE!</v>
      </c>
      <c r="J144" s="9" t="e">
        <f t="shared" si="19"/>
        <v>#VALUE!</v>
      </c>
      <c r="K144" s="9" t="e">
        <f t="shared" si="14"/>
        <v>#VALUE!</v>
      </c>
      <c r="M144" s="8" t="e">
        <f t="shared" si="20"/>
        <v>#REF!</v>
      </c>
      <c r="N144" s="8" t="e">
        <f t="shared" si="21"/>
        <v>#REF!</v>
      </c>
      <c r="O144" s="8" t="e">
        <f>#REF!</f>
        <v>#REF!</v>
      </c>
    </row>
    <row r="145" spans="2:15" s="3" customFormat="1" x14ac:dyDescent="0.2">
      <c r="B145" s="3" t="str">
        <f t="shared" si="15"/>
        <v/>
      </c>
      <c r="C145" s="5" t="str">
        <f t="shared" si="16"/>
        <v/>
      </c>
      <c r="E145" s="6" t="e">
        <f t="shared" si="12"/>
        <v>#VALUE!</v>
      </c>
      <c r="F145" s="7" t="e">
        <f t="shared" si="13"/>
        <v>#VALUE!</v>
      </c>
      <c r="G145" s="8" t="e">
        <f t="shared" si="17"/>
        <v>#VALUE!</v>
      </c>
      <c r="I145" s="9" t="e">
        <f t="shared" si="18"/>
        <v>#VALUE!</v>
      </c>
      <c r="J145" s="9" t="e">
        <f t="shared" si="19"/>
        <v>#VALUE!</v>
      </c>
      <c r="K145" s="9" t="e">
        <f t="shared" si="14"/>
        <v>#VALUE!</v>
      </c>
      <c r="M145" s="8" t="e">
        <f t="shared" si="20"/>
        <v>#REF!</v>
      </c>
      <c r="N145" s="8" t="e">
        <f t="shared" si="21"/>
        <v>#REF!</v>
      </c>
      <c r="O145" s="8" t="e">
        <f>#REF!</f>
        <v>#REF!</v>
      </c>
    </row>
    <row r="146" spans="2:15" s="3" customFormat="1" x14ac:dyDescent="0.2">
      <c r="B146" s="3" t="str">
        <f t="shared" si="15"/>
        <v/>
      </c>
      <c r="C146" s="5" t="str">
        <f t="shared" si="16"/>
        <v/>
      </c>
      <c r="E146" s="6" t="e">
        <f t="shared" si="12"/>
        <v>#VALUE!</v>
      </c>
      <c r="F146" s="7" t="e">
        <f t="shared" si="13"/>
        <v>#VALUE!</v>
      </c>
      <c r="G146" s="8" t="e">
        <f t="shared" si="17"/>
        <v>#VALUE!</v>
      </c>
      <c r="I146" s="9" t="e">
        <f t="shared" si="18"/>
        <v>#VALUE!</v>
      </c>
      <c r="J146" s="9" t="e">
        <f t="shared" si="19"/>
        <v>#VALUE!</v>
      </c>
      <c r="K146" s="9" t="e">
        <f t="shared" si="14"/>
        <v>#VALUE!</v>
      </c>
      <c r="M146" s="8" t="e">
        <f t="shared" si="20"/>
        <v>#REF!</v>
      </c>
      <c r="N146" s="8" t="e">
        <f t="shared" si="21"/>
        <v>#REF!</v>
      </c>
      <c r="O146" s="8" t="e">
        <f>#REF!</f>
        <v>#REF!</v>
      </c>
    </row>
    <row r="147" spans="2:15" s="3" customFormat="1" x14ac:dyDescent="0.2">
      <c r="B147" s="3" t="str">
        <f t="shared" si="15"/>
        <v/>
      </c>
      <c r="C147" s="5" t="str">
        <f t="shared" si="16"/>
        <v/>
      </c>
      <c r="E147" s="6" t="e">
        <f t="shared" si="12"/>
        <v>#VALUE!</v>
      </c>
      <c r="F147" s="7" t="e">
        <f t="shared" si="13"/>
        <v>#VALUE!</v>
      </c>
      <c r="G147" s="8" t="e">
        <f t="shared" si="17"/>
        <v>#VALUE!</v>
      </c>
      <c r="I147" s="9" t="e">
        <f t="shared" si="18"/>
        <v>#VALUE!</v>
      </c>
      <c r="J147" s="9" t="e">
        <f t="shared" si="19"/>
        <v>#VALUE!</v>
      </c>
      <c r="K147" s="9" t="e">
        <f t="shared" si="14"/>
        <v>#VALUE!</v>
      </c>
      <c r="M147" s="8" t="e">
        <f t="shared" si="20"/>
        <v>#REF!</v>
      </c>
      <c r="N147" s="8" t="e">
        <f t="shared" si="21"/>
        <v>#REF!</v>
      </c>
      <c r="O147" s="8" t="e">
        <f>#REF!</f>
        <v>#REF!</v>
      </c>
    </row>
    <row r="148" spans="2:15" s="3" customFormat="1" x14ac:dyDescent="0.2">
      <c r="B148" s="3" t="str">
        <f t="shared" si="15"/>
        <v/>
      </c>
      <c r="C148" s="5" t="str">
        <f t="shared" si="16"/>
        <v/>
      </c>
      <c r="E148" s="6" t="e">
        <f t="shared" si="12"/>
        <v>#VALUE!</v>
      </c>
      <c r="F148" s="7" t="e">
        <f t="shared" si="13"/>
        <v>#VALUE!</v>
      </c>
      <c r="G148" s="8" t="e">
        <f t="shared" si="17"/>
        <v>#VALUE!</v>
      </c>
      <c r="I148" s="9" t="e">
        <f t="shared" si="18"/>
        <v>#VALUE!</v>
      </c>
      <c r="J148" s="9" t="e">
        <f t="shared" si="19"/>
        <v>#VALUE!</v>
      </c>
      <c r="K148" s="9" t="e">
        <f t="shared" si="14"/>
        <v>#VALUE!</v>
      </c>
      <c r="M148" s="8" t="e">
        <f t="shared" si="20"/>
        <v>#REF!</v>
      </c>
      <c r="N148" s="8" t="e">
        <f t="shared" si="21"/>
        <v>#REF!</v>
      </c>
      <c r="O148" s="8" t="e">
        <f>#REF!</f>
        <v>#REF!</v>
      </c>
    </row>
    <row r="149" spans="2:15" s="3" customFormat="1" x14ac:dyDescent="0.2">
      <c r="B149" s="3" t="str">
        <f t="shared" si="15"/>
        <v/>
      </c>
      <c r="C149" s="5" t="str">
        <f t="shared" si="16"/>
        <v/>
      </c>
      <c r="E149" s="6" t="e">
        <f t="shared" si="12"/>
        <v>#VALUE!</v>
      </c>
      <c r="F149" s="7" t="e">
        <f t="shared" si="13"/>
        <v>#VALUE!</v>
      </c>
      <c r="G149" s="8" t="e">
        <f t="shared" si="17"/>
        <v>#VALUE!</v>
      </c>
      <c r="I149" s="9" t="e">
        <f t="shared" si="18"/>
        <v>#VALUE!</v>
      </c>
      <c r="J149" s="9" t="e">
        <f t="shared" si="19"/>
        <v>#VALUE!</v>
      </c>
      <c r="K149" s="9" t="e">
        <f t="shared" si="14"/>
        <v>#VALUE!</v>
      </c>
      <c r="M149" s="8" t="e">
        <f t="shared" si="20"/>
        <v>#REF!</v>
      </c>
      <c r="N149" s="8" t="e">
        <f t="shared" si="21"/>
        <v>#REF!</v>
      </c>
      <c r="O149" s="8" t="e">
        <f>#REF!</f>
        <v>#REF!</v>
      </c>
    </row>
    <row r="150" spans="2:15" s="3" customFormat="1" x14ac:dyDescent="0.2">
      <c r="B150" s="3" t="str">
        <f t="shared" si="15"/>
        <v/>
      </c>
      <c r="C150" s="5" t="str">
        <f t="shared" si="16"/>
        <v/>
      </c>
      <c r="E150" s="6" t="e">
        <f t="shared" si="12"/>
        <v>#VALUE!</v>
      </c>
      <c r="F150" s="7" t="e">
        <f t="shared" si="13"/>
        <v>#VALUE!</v>
      </c>
      <c r="G150" s="8" t="e">
        <f t="shared" si="17"/>
        <v>#VALUE!</v>
      </c>
      <c r="I150" s="9" t="e">
        <f t="shared" si="18"/>
        <v>#VALUE!</v>
      </c>
      <c r="J150" s="9" t="e">
        <f t="shared" si="19"/>
        <v>#VALUE!</v>
      </c>
      <c r="K150" s="9" t="e">
        <f t="shared" si="14"/>
        <v>#VALUE!</v>
      </c>
      <c r="M150" s="8" t="e">
        <f t="shared" si="20"/>
        <v>#REF!</v>
      </c>
      <c r="N150" s="8" t="e">
        <f t="shared" si="21"/>
        <v>#REF!</v>
      </c>
      <c r="O150" s="8" t="e">
        <f>#REF!</f>
        <v>#REF!</v>
      </c>
    </row>
    <row r="151" spans="2:15" s="3" customFormat="1" x14ac:dyDescent="0.2">
      <c r="B151" s="3" t="str">
        <f t="shared" si="15"/>
        <v/>
      </c>
      <c r="C151" s="5" t="str">
        <f t="shared" si="16"/>
        <v/>
      </c>
      <c r="E151" s="6" t="e">
        <f t="shared" si="12"/>
        <v>#VALUE!</v>
      </c>
      <c r="F151" s="7" t="e">
        <f t="shared" si="13"/>
        <v>#VALUE!</v>
      </c>
      <c r="G151" s="8" t="e">
        <f t="shared" si="17"/>
        <v>#VALUE!</v>
      </c>
      <c r="I151" s="9" t="e">
        <f t="shared" si="18"/>
        <v>#VALUE!</v>
      </c>
      <c r="J151" s="9" t="e">
        <f t="shared" si="19"/>
        <v>#VALUE!</v>
      </c>
      <c r="K151" s="9" t="e">
        <f t="shared" si="14"/>
        <v>#VALUE!</v>
      </c>
      <c r="M151" s="8" t="e">
        <f t="shared" si="20"/>
        <v>#REF!</v>
      </c>
      <c r="N151" s="8" t="e">
        <f t="shared" si="21"/>
        <v>#REF!</v>
      </c>
      <c r="O151" s="8" t="e">
        <f>#REF!</f>
        <v>#REF!</v>
      </c>
    </row>
    <row r="152" spans="2:15" s="3" customFormat="1" x14ac:dyDescent="0.2">
      <c r="B152" s="3" t="str">
        <f t="shared" si="15"/>
        <v/>
      </c>
      <c r="C152" s="5" t="str">
        <f t="shared" si="16"/>
        <v/>
      </c>
      <c r="E152" s="6" t="e">
        <f t="shared" si="12"/>
        <v>#VALUE!</v>
      </c>
      <c r="F152" s="7" t="e">
        <f t="shared" si="13"/>
        <v>#VALUE!</v>
      </c>
      <c r="G152" s="8" t="e">
        <f t="shared" si="17"/>
        <v>#VALUE!</v>
      </c>
      <c r="I152" s="9" t="e">
        <f t="shared" si="18"/>
        <v>#VALUE!</v>
      </c>
      <c r="J152" s="9" t="e">
        <f t="shared" si="19"/>
        <v>#VALUE!</v>
      </c>
      <c r="K152" s="9" t="e">
        <f t="shared" si="14"/>
        <v>#VALUE!</v>
      </c>
      <c r="M152" s="8" t="e">
        <f t="shared" si="20"/>
        <v>#REF!</v>
      </c>
      <c r="N152" s="8" t="e">
        <f t="shared" si="21"/>
        <v>#REF!</v>
      </c>
      <c r="O152" s="8" t="e">
        <f>#REF!</f>
        <v>#REF!</v>
      </c>
    </row>
    <row r="153" spans="2:15" s="3" customFormat="1" x14ac:dyDescent="0.2">
      <c r="B153" s="3" t="str">
        <f t="shared" si="15"/>
        <v/>
      </c>
      <c r="C153" s="5" t="str">
        <f t="shared" si="16"/>
        <v/>
      </c>
      <c r="E153" s="6" t="e">
        <f>DAY(C153)</f>
        <v>#VALUE!</v>
      </c>
      <c r="F153" s="7" t="e">
        <f>+IF(E153&lt;8,1,IF(E153&lt;15,2,IF(E153&lt;22,3,IF(E153&lt;29,4,5))))</f>
        <v>#VALUE!</v>
      </c>
      <c r="G153" s="8" t="e">
        <f>WEEKDAY(C153)</f>
        <v>#VALUE!</v>
      </c>
      <c r="I153" s="9" t="e">
        <f>VLOOKUP(F153,$H$108:$M$112,6,FALSE)</f>
        <v>#VALUE!</v>
      </c>
      <c r="J153" s="9" t="e">
        <f>VLOOKUP(G153,$O$108:$T$114,6,FALSE)</f>
        <v>#VALUE!</v>
      </c>
      <c r="K153" s="9" t="e">
        <f>+I153*J153</f>
        <v>#VALUE!</v>
      </c>
      <c r="M153" s="8" t="e">
        <f t="shared" si="20"/>
        <v>#REF!</v>
      </c>
      <c r="N153" s="8" t="e">
        <f>$M$157/$K$157*K153</f>
        <v>#REF!</v>
      </c>
      <c r="O153" s="8" t="e">
        <f>#REF!</f>
        <v>#REF!</v>
      </c>
    </row>
    <row r="154" spans="2:15" s="3" customFormat="1" x14ac:dyDescent="0.2">
      <c r="B154" s="3" t="str">
        <f t="shared" si="15"/>
        <v/>
      </c>
      <c r="C154" s="5" t="str">
        <f t="shared" si="16"/>
        <v/>
      </c>
      <c r="E154" s="6" t="e">
        <f>DAY(C154)</f>
        <v>#VALUE!</v>
      </c>
      <c r="F154" s="7" t="e">
        <f>+IF(E154&lt;8,1,IF(E154&lt;15,2,IF(E154&lt;22,3,IF(E154&lt;29,4,5))))</f>
        <v>#VALUE!</v>
      </c>
      <c r="G154" s="8" t="e">
        <f>WEEKDAY(C154)</f>
        <v>#VALUE!</v>
      </c>
      <c r="I154" s="9" t="e">
        <f>VLOOKUP(F154,$H$108:$M$112,6,FALSE)</f>
        <v>#VALUE!</v>
      </c>
      <c r="J154" s="9" t="e">
        <f>VLOOKUP(G154,$O$108:$T$114,6,FALSE)</f>
        <v>#VALUE!</v>
      </c>
      <c r="K154" s="9" t="e">
        <f>+I154*J154</f>
        <v>#VALUE!</v>
      </c>
      <c r="M154" s="8" t="e">
        <f t="shared" si="20"/>
        <v>#REF!</v>
      </c>
      <c r="N154" s="8" t="e">
        <f>$M$157/$K$157*K154</f>
        <v>#REF!</v>
      </c>
      <c r="O154" s="8" t="e">
        <f>#REF!</f>
        <v>#REF!</v>
      </c>
    </row>
    <row r="155" spans="2:15" s="3" customFormat="1" x14ac:dyDescent="0.2">
      <c r="B155" s="3" t="e">
        <f t="shared" si="15"/>
        <v>#REF!</v>
      </c>
      <c r="C155" s="5" t="e">
        <f t="shared" si="16"/>
        <v>#REF!</v>
      </c>
      <c r="E155" s="6" t="e">
        <f>DAY(C155)</f>
        <v>#REF!</v>
      </c>
      <c r="F155" s="7" t="e">
        <f>+IF(E155&lt;8,1,IF(E155&lt;15,2,IF(E155&lt;22,3,IF(E155&lt;29,4,5))))</f>
        <v>#REF!</v>
      </c>
      <c r="G155" s="8" t="e">
        <f>WEEKDAY(C155)</f>
        <v>#REF!</v>
      </c>
      <c r="I155" s="9" t="e">
        <f>VLOOKUP(F155,$H$108:$M$112,6,FALSE)</f>
        <v>#REF!</v>
      </c>
      <c r="J155" s="9" t="e">
        <f>VLOOKUP(G155,$O$108:$T$114,6,FALSE)</f>
        <v>#REF!</v>
      </c>
      <c r="K155" s="9" t="e">
        <f>+I155*J155</f>
        <v>#REF!</v>
      </c>
      <c r="M155" s="8" t="e">
        <f t="shared" si="20"/>
        <v>#REF!</v>
      </c>
      <c r="N155" s="8" t="e">
        <f>$M$157/$K$157*K155</f>
        <v>#REF!</v>
      </c>
      <c r="O155" s="8" t="e">
        <f>#REF!</f>
        <v>#REF!</v>
      </c>
    </row>
    <row r="156" spans="2:15" s="3" customFormat="1" x14ac:dyDescent="0.2">
      <c r="C156" s="5"/>
      <c r="E156" s="6"/>
      <c r="F156" s="7"/>
      <c r="G156" s="8"/>
      <c r="I156" s="9"/>
      <c r="J156" s="9"/>
      <c r="K156" s="9"/>
      <c r="M156" s="8"/>
      <c r="N156" s="8"/>
      <c r="O156" s="8"/>
    </row>
    <row r="157" spans="2:15" s="3" customFormat="1" ht="12" thickBot="1" x14ac:dyDescent="0.25">
      <c r="B157" s="10"/>
      <c r="C157" s="11"/>
      <c r="E157" s="12"/>
      <c r="F157" s="13"/>
      <c r="G157" s="13"/>
      <c r="I157" s="14" t="e">
        <f>SUM(I125:I156)</f>
        <v>#VALUE!</v>
      </c>
      <c r="J157" s="14" t="e">
        <f>SUM(J125:J156)</f>
        <v>#VALUE!</v>
      </c>
      <c r="K157" s="121" t="e">
        <f>SUM(K125:K156)</f>
        <v>#VALUE!</v>
      </c>
      <c r="M157" s="15" t="e">
        <f>SUM(M125:M156)</f>
        <v>#REF!</v>
      </c>
      <c r="N157" s="15" t="e">
        <f>SUM(N125:N156)</f>
        <v>#REF!</v>
      </c>
      <c r="O157" s="15" t="e">
        <f>SUM(O125:O156)</f>
        <v>#REF!</v>
      </c>
    </row>
    <row r="158" spans="2:15" s="3" customFormat="1" x14ac:dyDescent="0.2">
      <c r="C158" s="16"/>
      <c r="E158" s="12"/>
      <c r="F158" s="13"/>
      <c r="G158" s="13"/>
    </row>
    <row r="161" spans="2:20" x14ac:dyDescent="0.2">
      <c r="B161" s="2" t="s">
        <v>34</v>
      </c>
    </row>
    <row r="162" spans="2:20" x14ac:dyDescent="0.2">
      <c r="B162" s="2" t="s">
        <v>56</v>
      </c>
      <c r="C162" s="2"/>
      <c r="H162" s="2" t="s">
        <v>57</v>
      </c>
      <c r="I162" s="2"/>
      <c r="J162" s="2"/>
      <c r="O162" s="2" t="s">
        <v>58</v>
      </c>
    </row>
    <row r="163" spans="2:20" x14ac:dyDescent="0.2">
      <c r="B163" s="4" t="s">
        <v>59</v>
      </c>
      <c r="C163" s="4"/>
      <c r="H163" s="4" t="s">
        <v>59</v>
      </c>
      <c r="I163" s="4"/>
      <c r="J163" s="4"/>
      <c r="O163" s="4" t="s">
        <v>59</v>
      </c>
    </row>
    <row r="164" spans="2:20" ht="25.5" customHeight="1" x14ac:dyDescent="0.2">
      <c r="B164" s="122" t="s">
        <v>60</v>
      </c>
      <c r="C164" s="122" t="s">
        <v>61</v>
      </c>
      <c r="D164" s="122" t="s">
        <v>17</v>
      </c>
      <c r="E164" s="123" t="s">
        <v>62</v>
      </c>
      <c r="F164" s="123" t="s">
        <v>63</v>
      </c>
      <c r="H164" s="122" t="s">
        <v>64</v>
      </c>
      <c r="I164" s="122" t="s">
        <v>65</v>
      </c>
      <c r="J164" s="122" t="s">
        <v>66</v>
      </c>
      <c r="K164" s="122" t="s">
        <v>17</v>
      </c>
      <c r="L164" s="123" t="s">
        <v>62</v>
      </c>
      <c r="M164" s="123" t="s">
        <v>63</v>
      </c>
      <c r="O164" s="122"/>
      <c r="P164" s="122" t="s">
        <v>67</v>
      </c>
      <c r="Q164" s="122" t="s">
        <v>68</v>
      </c>
      <c r="R164" s="123" t="s">
        <v>17</v>
      </c>
      <c r="S164" s="123" t="s">
        <v>62</v>
      </c>
      <c r="T164" s="123" t="s">
        <v>63</v>
      </c>
    </row>
    <row r="165" spans="2:20" x14ac:dyDescent="0.2">
      <c r="B165" s="124">
        <v>1</v>
      </c>
      <c r="C165" s="124">
        <v>62</v>
      </c>
      <c r="D165" s="125">
        <v>146367539.05000004</v>
      </c>
      <c r="E165" s="126">
        <v>155382638.69011313</v>
      </c>
      <c r="F165" s="127">
        <v>0.94198129394563623</v>
      </c>
      <c r="H165" s="124">
        <v>1</v>
      </c>
      <c r="I165" s="124">
        <v>203</v>
      </c>
      <c r="J165" s="128">
        <v>29</v>
      </c>
      <c r="K165" s="125">
        <v>550537047.18000031</v>
      </c>
      <c r="L165" s="126">
        <v>508752833.13053167</v>
      </c>
      <c r="M165" s="127">
        <v>1.0821306758968907</v>
      </c>
      <c r="O165" s="124">
        <v>1</v>
      </c>
      <c r="P165" s="124" t="s">
        <v>69</v>
      </c>
      <c r="Q165" s="124">
        <v>126</v>
      </c>
      <c r="R165" s="125">
        <v>293963869.58999997</v>
      </c>
      <c r="S165" s="126">
        <v>315777620.56377822</v>
      </c>
      <c r="T165" s="127">
        <v>0.93092052902662081</v>
      </c>
    </row>
    <row r="166" spans="2:20" x14ac:dyDescent="0.2">
      <c r="B166" s="124">
        <v>2</v>
      </c>
      <c r="C166" s="124">
        <v>57</v>
      </c>
      <c r="D166" s="125">
        <v>136671404.91</v>
      </c>
      <c r="E166" s="126">
        <v>142851780.73123303</v>
      </c>
      <c r="F166" s="127">
        <v>0.95673574533270234</v>
      </c>
      <c r="H166" s="124">
        <v>2</v>
      </c>
      <c r="I166" s="124">
        <v>203</v>
      </c>
      <c r="J166" s="128">
        <v>29</v>
      </c>
      <c r="K166" s="125">
        <v>514356072.83999997</v>
      </c>
      <c r="L166" s="126">
        <v>508752833.13053167</v>
      </c>
      <c r="M166" s="127">
        <v>1.0110136776536254</v>
      </c>
      <c r="O166" s="124">
        <v>2</v>
      </c>
      <c r="P166" s="124" t="s">
        <v>70</v>
      </c>
      <c r="Q166" s="124">
        <v>126</v>
      </c>
      <c r="R166" s="125">
        <v>296232244.58999997</v>
      </c>
      <c r="S166" s="126">
        <v>315777620.56377822</v>
      </c>
      <c r="T166" s="127">
        <v>0.9381039861568321</v>
      </c>
    </row>
    <row r="167" spans="2:20" x14ac:dyDescent="0.2">
      <c r="B167" s="124">
        <v>3</v>
      </c>
      <c r="C167" s="124">
        <v>62</v>
      </c>
      <c r="D167" s="125">
        <v>151181993.18000004</v>
      </c>
      <c r="E167" s="126">
        <v>155382638.69011313</v>
      </c>
      <c r="F167" s="127">
        <v>0.97296579884648093</v>
      </c>
      <c r="H167" s="124">
        <v>3</v>
      </c>
      <c r="I167" s="124">
        <v>203</v>
      </c>
      <c r="J167" s="128">
        <v>29</v>
      </c>
      <c r="K167" s="125">
        <v>498929431.14999998</v>
      </c>
      <c r="L167" s="126">
        <v>508752833.13053167</v>
      </c>
      <c r="M167" s="127">
        <v>0.98069120928509645</v>
      </c>
      <c r="O167" s="124">
        <v>3</v>
      </c>
      <c r="P167" s="124" t="s">
        <v>71</v>
      </c>
      <c r="Q167" s="124">
        <v>126</v>
      </c>
      <c r="R167" s="125">
        <v>300661650.32000005</v>
      </c>
      <c r="S167" s="126">
        <v>315777620.56377822</v>
      </c>
      <c r="T167" s="127">
        <v>0.95213096413612008</v>
      </c>
    </row>
    <row r="168" spans="2:20" x14ac:dyDescent="0.2">
      <c r="B168" s="124">
        <v>4</v>
      </c>
      <c r="C168" s="124">
        <v>60</v>
      </c>
      <c r="D168" s="125">
        <v>147137578.80000001</v>
      </c>
      <c r="E168" s="126">
        <v>150370295.50656107</v>
      </c>
      <c r="F168" s="127">
        <v>0.97850162696248733</v>
      </c>
      <c r="H168" s="124">
        <v>4</v>
      </c>
      <c r="I168" s="124">
        <v>203</v>
      </c>
      <c r="J168" s="128">
        <v>29</v>
      </c>
      <c r="K168" s="125">
        <v>476429177.99000007</v>
      </c>
      <c r="L168" s="126">
        <v>508752833.13053167</v>
      </c>
      <c r="M168" s="127">
        <v>0.93646491373496044</v>
      </c>
      <c r="O168" s="124">
        <v>4</v>
      </c>
      <c r="P168" s="124" t="s">
        <v>72</v>
      </c>
      <c r="Q168" s="124">
        <v>127</v>
      </c>
      <c r="R168" s="125">
        <v>303722753.49000001</v>
      </c>
      <c r="S168" s="126">
        <v>318283792.15555423</v>
      </c>
      <c r="T168" s="127">
        <v>0.95425139757528765</v>
      </c>
    </row>
    <row r="169" spans="2:20" x14ac:dyDescent="0.2">
      <c r="B169" s="124">
        <v>5</v>
      </c>
      <c r="C169" s="124">
        <v>62</v>
      </c>
      <c r="D169" s="125">
        <v>156838006.48000002</v>
      </c>
      <c r="E169" s="126">
        <v>155382638.69011313</v>
      </c>
      <c r="F169" s="127">
        <v>1.0093663475028853</v>
      </c>
      <c r="H169" s="124">
        <v>5</v>
      </c>
      <c r="I169" s="124">
        <v>72</v>
      </c>
      <c r="J169" s="128">
        <v>10.285714285714286</v>
      </c>
      <c r="K169" s="125">
        <v>175203957.97000006</v>
      </c>
      <c r="L169" s="126">
        <v>180444354.60787329</v>
      </c>
      <c r="M169" s="127">
        <v>0.97095837855797029</v>
      </c>
      <c r="O169" s="124">
        <v>5</v>
      </c>
      <c r="P169" s="124" t="s">
        <v>73</v>
      </c>
      <c r="Q169" s="124">
        <v>127</v>
      </c>
      <c r="R169" s="125">
        <v>301030952.27999985</v>
      </c>
      <c r="S169" s="126">
        <v>318283792.15555423</v>
      </c>
      <c r="T169" s="127">
        <v>0.94579416137180361</v>
      </c>
    </row>
    <row r="170" spans="2:20" x14ac:dyDescent="0.2">
      <c r="B170" s="124">
        <v>6</v>
      </c>
      <c r="C170" s="124">
        <v>60</v>
      </c>
      <c r="D170" s="125">
        <v>152039561.45999998</v>
      </c>
      <c r="E170" s="126">
        <v>150370295.50656107</v>
      </c>
      <c r="F170" s="127">
        <v>1.0111010352664105</v>
      </c>
      <c r="H170" s="124"/>
      <c r="I170" s="124"/>
      <c r="J170" s="124"/>
      <c r="K170" s="126"/>
      <c r="L170" s="126"/>
      <c r="M170" s="127"/>
      <c r="O170" s="124">
        <v>6</v>
      </c>
      <c r="P170" s="124" t="s">
        <v>74</v>
      </c>
      <c r="Q170" s="124">
        <v>126</v>
      </c>
      <c r="R170" s="125">
        <v>363551820.20999986</v>
      </c>
      <c r="S170" s="126">
        <v>315777620.56377822</v>
      </c>
      <c r="T170" s="127">
        <v>1.1512906442227517</v>
      </c>
    </row>
    <row r="171" spans="2:20" x14ac:dyDescent="0.2">
      <c r="B171" s="124">
        <v>7</v>
      </c>
      <c r="C171" s="124">
        <v>62</v>
      </c>
      <c r="D171" s="125">
        <v>134849355.86000004</v>
      </c>
      <c r="E171" s="126">
        <v>155382638.69011313</v>
      </c>
      <c r="F171" s="127">
        <v>0.86785342942293853</v>
      </c>
      <c r="H171" s="124"/>
      <c r="I171" s="124"/>
      <c r="J171" s="124"/>
      <c r="K171" s="124"/>
      <c r="L171" s="124"/>
      <c r="M171" s="124"/>
      <c r="O171" s="124">
        <v>7</v>
      </c>
      <c r="P171" s="124" t="s">
        <v>75</v>
      </c>
      <c r="Q171" s="124">
        <v>126</v>
      </c>
      <c r="R171" s="125">
        <v>356292396.65000004</v>
      </c>
      <c r="S171" s="126">
        <v>315777620.56377822</v>
      </c>
      <c r="T171" s="127">
        <v>1.1283016067252902</v>
      </c>
    </row>
    <row r="172" spans="2:20" x14ac:dyDescent="0.2">
      <c r="B172" s="124">
        <v>8</v>
      </c>
      <c r="C172" s="124">
        <v>93</v>
      </c>
      <c r="D172" s="125">
        <v>253907305.37</v>
      </c>
      <c r="E172" s="126">
        <v>233073958.03516969</v>
      </c>
      <c r="F172" s="127">
        <v>1.0893851355615056</v>
      </c>
      <c r="H172" s="124"/>
      <c r="I172" s="124"/>
      <c r="J172" s="124"/>
      <c r="K172" s="124"/>
      <c r="L172" s="124"/>
      <c r="M172" s="124"/>
      <c r="O172" s="124"/>
      <c r="P172" s="124"/>
      <c r="Q172" s="124">
        <v>0</v>
      </c>
      <c r="R172" s="124"/>
      <c r="S172" s="124"/>
      <c r="T172" s="124"/>
    </row>
    <row r="173" spans="2:20" x14ac:dyDescent="0.2">
      <c r="B173" s="124">
        <v>9</v>
      </c>
      <c r="C173" s="124">
        <v>90</v>
      </c>
      <c r="D173" s="125">
        <v>229723105.80999997</v>
      </c>
      <c r="E173" s="126">
        <v>225555443.25984162</v>
      </c>
      <c r="F173" s="127">
        <v>1.0184773308501236</v>
      </c>
      <c r="H173" s="124"/>
      <c r="I173" s="124"/>
      <c r="J173" s="124"/>
      <c r="K173" s="124"/>
      <c r="L173" s="124"/>
      <c r="M173" s="124"/>
      <c r="O173" s="124"/>
      <c r="P173" s="124"/>
      <c r="Q173" s="124"/>
      <c r="R173" s="124"/>
      <c r="S173" s="124"/>
      <c r="T173" s="124"/>
    </row>
    <row r="174" spans="2:20" x14ac:dyDescent="0.2">
      <c r="B174" s="124">
        <v>10</v>
      </c>
      <c r="C174" s="124">
        <v>93</v>
      </c>
      <c r="D174" s="125">
        <v>234059652.99999997</v>
      </c>
      <c r="E174" s="126">
        <v>233073958.03516969</v>
      </c>
      <c r="F174" s="127">
        <v>1.0042291081043107</v>
      </c>
      <c r="H174" s="124"/>
      <c r="I174" s="124"/>
      <c r="J174" s="124"/>
      <c r="K174" s="124"/>
      <c r="L174" s="124"/>
      <c r="M174" s="124"/>
      <c r="O174" s="124"/>
      <c r="P174" s="124"/>
      <c r="Q174" s="124"/>
      <c r="R174" s="124"/>
      <c r="S174" s="124"/>
      <c r="T174" s="124"/>
    </row>
    <row r="175" spans="2:20" x14ac:dyDescent="0.2">
      <c r="B175" s="124">
        <v>11</v>
      </c>
      <c r="C175" s="124">
        <v>90</v>
      </c>
      <c r="D175" s="125">
        <v>225137206.69999996</v>
      </c>
      <c r="E175" s="126">
        <v>225555443.25984162</v>
      </c>
      <c r="F175" s="127">
        <v>0.99814574831891845</v>
      </c>
      <c r="H175" s="124"/>
      <c r="I175" s="124"/>
      <c r="J175" s="124"/>
      <c r="K175" s="124"/>
      <c r="L175" s="124"/>
      <c r="M175" s="124"/>
      <c r="O175" s="124"/>
      <c r="P175" s="124"/>
      <c r="Q175" s="124"/>
      <c r="R175" s="124"/>
      <c r="S175" s="124"/>
      <c r="T175" s="124"/>
    </row>
    <row r="176" spans="2:20" x14ac:dyDescent="0.2">
      <c r="B176" s="124">
        <v>12</v>
      </c>
      <c r="C176" s="124">
        <v>93</v>
      </c>
      <c r="D176" s="125">
        <v>247542976.51000008</v>
      </c>
      <c r="E176" s="126">
        <v>233073958.03516969</v>
      </c>
      <c r="F176" s="127">
        <v>1.0620790868134959</v>
      </c>
      <c r="H176" s="124"/>
      <c r="I176" s="124"/>
      <c r="J176" s="124"/>
      <c r="K176" s="124"/>
      <c r="L176" s="124"/>
      <c r="M176" s="124"/>
      <c r="O176" s="124"/>
      <c r="P176" s="124"/>
      <c r="Q176" s="124"/>
      <c r="R176" s="124"/>
      <c r="S176" s="124"/>
      <c r="T176" s="124"/>
    </row>
    <row r="177" spans="2:20" ht="12" thickBot="1" x14ac:dyDescent="0.25">
      <c r="B177" s="40" t="s">
        <v>76</v>
      </c>
      <c r="C177" s="41">
        <v>884</v>
      </c>
      <c r="D177" s="41">
        <v>2215455687.1300001</v>
      </c>
      <c r="E177" s="41">
        <v>2215455687.1300001</v>
      </c>
      <c r="F177" s="43">
        <v>11.910821686927894</v>
      </c>
      <c r="H177" s="40" t="s">
        <v>76</v>
      </c>
      <c r="I177" s="41">
        <v>884</v>
      </c>
      <c r="J177" s="42">
        <v>126.28571428571429</v>
      </c>
      <c r="K177" s="41">
        <v>2215455687.1300001</v>
      </c>
      <c r="L177" s="41">
        <v>2215455687.1300001</v>
      </c>
      <c r="M177" s="43">
        <v>4.9812588551285435</v>
      </c>
      <c r="O177" s="40" t="s">
        <v>76</v>
      </c>
      <c r="P177" s="41"/>
      <c r="Q177" s="41">
        <v>884</v>
      </c>
      <c r="R177" s="41">
        <v>2215455687.1299996</v>
      </c>
      <c r="S177" s="41">
        <v>2215455687.1299996</v>
      </c>
      <c r="T177" s="43">
        <v>7.0007932892147062</v>
      </c>
    </row>
    <row r="179" spans="2:20" s="3" customFormat="1" x14ac:dyDescent="0.2">
      <c r="B179" s="2"/>
      <c r="E179" s="1"/>
      <c r="F179" s="1"/>
      <c r="G179" s="1"/>
      <c r="M179" s="335"/>
      <c r="N179" s="335"/>
      <c r="O179" s="335"/>
    </row>
    <row r="180" spans="2:20" s="3" customFormat="1" ht="28.5" customHeight="1" x14ac:dyDescent="0.2">
      <c r="B180" s="336" t="s">
        <v>7</v>
      </c>
      <c r="C180" s="336" t="s">
        <v>8</v>
      </c>
      <c r="E180" s="336" t="s">
        <v>53</v>
      </c>
      <c r="F180" s="336" t="s">
        <v>54</v>
      </c>
      <c r="G180" s="336" t="s">
        <v>55</v>
      </c>
      <c r="I180" s="337" t="s">
        <v>52</v>
      </c>
      <c r="J180" s="337" t="s">
        <v>80</v>
      </c>
      <c r="K180" s="337" t="s">
        <v>78</v>
      </c>
      <c r="M180" s="336" t="s">
        <v>77</v>
      </c>
      <c r="N180" s="336" t="s">
        <v>51</v>
      </c>
      <c r="O180" s="336" t="s">
        <v>79</v>
      </c>
    </row>
    <row r="181" spans="2:20" s="3" customFormat="1" x14ac:dyDescent="0.2">
      <c r="B181" s="336"/>
      <c r="C181" s="336"/>
      <c r="E181" s="336"/>
      <c r="F181" s="336"/>
      <c r="G181" s="336"/>
      <c r="I181" s="337"/>
      <c r="J181" s="337"/>
      <c r="K181" s="337"/>
      <c r="M181" s="336"/>
      <c r="N181" s="336"/>
      <c r="O181" s="336"/>
    </row>
    <row r="182" spans="2:20" s="3" customFormat="1" x14ac:dyDescent="0.2">
      <c r="B182" s="3" t="e">
        <f>B125</f>
        <v>#REF!</v>
      </c>
      <c r="C182" s="5" t="str">
        <f>C67</f>
        <v/>
      </c>
      <c r="E182" s="6" t="e">
        <f t="shared" ref="E182:E209" si="22">DAY(C182)</f>
        <v>#VALUE!</v>
      </c>
      <c r="F182" s="7" t="e">
        <f t="shared" ref="F182:F209" si="23">+IF(E182&lt;8,1,IF(E182&lt;15,2,IF(E182&lt;22,3,IF(E182&lt;29,4,5))))</f>
        <v>#VALUE!</v>
      </c>
      <c r="G182" s="8" t="e">
        <f t="shared" ref="G182:G209" si="24">WEEKDAY(C182)</f>
        <v>#VALUE!</v>
      </c>
      <c r="I182" s="9" t="e">
        <f>VLOOKUP(F182,$H$165:$M$176,6,FALSE)</f>
        <v>#VALUE!</v>
      </c>
      <c r="J182" s="9" t="e">
        <f>VLOOKUP(G182,$O$165:$T$176,6,FALSE)</f>
        <v>#VALUE!</v>
      </c>
      <c r="K182" s="9" t="e">
        <f t="shared" ref="K182:K209" si="25">+I182*J182</f>
        <v>#VALUE!</v>
      </c>
      <c r="M182" s="8" t="e">
        <f>#REF!</f>
        <v>#REF!</v>
      </c>
      <c r="N182" s="8" t="e">
        <f>$M$214/$K$214*K182</f>
        <v>#REF!</v>
      </c>
      <c r="O182" s="8" t="e">
        <f>#REF!</f>
        <v>#REF!</v>
      </c>
    </row>
    <row r="183" spans="2:20" s="3" customFormat="1" x14ac:dyDescent="0.2">
      <c r="B183" s="3" t="e">
        <f t="shared" ref="B183:B212" si="26">B126</f>
        <v>#REF!</v>
      </c>
      <c r="C183" s="5" t="str">
        <f t="shared" ref="C183:C212" si="27">C68</f>
        <v/>
      </c>
      <c r="E183" s="6" t="e">
        <f t="shared" si="22"/>
        <v>#VALUE!</v>
      </c>
      <c r="F183" s="7" t="e">
        <f t="shared" si="23"/>
        <v>#VALUE!</v>
      </c>
      <c r="G183" s="8" t="e">
        <f t="shared" si="24"/>
        <v>#VALUE!</v>
      </c>
      <c r="I183" s="9" t="e">
        <f t="shared" ref="I183:I209" si="28">VLOOKUP(F183,$H$165:$M$176,6,FALSE)</f>
        <v>#VALUE!</v>
      </c>
      <c r="J183" s="9" t="e">
        <f t="shared" ref="J183:J209" si="29">VLOOKUP(G183,$O$165:$T$176,6,FALSE)</f>
        <v>#VALUE!</v>
      </c>
      <c r="K183" s="9" t="e">
        <f t="shared" si="25"/>
        <v>#VALUE!</v>
      </c>
      <c r="M183" s="8" t="e">
        <f t="shared" ref="M183:M212" si="30">M182</f>
        <v>#REF!</v>
      </c>
      <c r="N183" s="8" t="e">
        <f t="shared" ref="N183:N209" si="31">$M$214/$K$214*K183</f>
        <v>#REF!</v>
      </c>
      <c r="O183" s="8" t="e">
        <f>#REF!</f>
        <v>#REF!</v>
      </c>
    </row>
    <row r="184" spans="2:20" s="3" customFormat="1" x14ac:dyDescent="0.2">
      <c r="B184" s="3" t="e">
        <f t="shared" si="26"/>
        <v>#REF!</v>
      </c>
      <c r="C184" s="5" t="str">
        <f t="shared" si="27"/>
        <v/>
      </c>
      <c r="E184" s="6" t="e">
        <f t="shared" si="22"/>
        <v>#VALUE!</v>
      </c>
      <c r="F184" s="7" t="e">
        <f t="shared" si="23"/>
        <v>#VALUE!</v>
      </c>
      <c r="G184" s="8" t="e">
        <f t="shared" si="24"/>
        <v>#VALUE!</v>
      </c>
      <c r="I184" s="9" t="e">
        <f t="shared" si="28"/>
        <v>#VALUE!</v>
      </c>
      <c r="J184" s="9" t="e">
        <f t="shared" si="29"/>
        <v>#VALUE!</v>
      </c>
      <c r="K184" s="9" t="e">
        <f t="shared" si="25"/>
        <v>#VALUE!</v>
      </c>
      <c r="M184" s="8" t="e">
        <f t="shared" si="30"/>
        <v>#REF!</v>
      </c>
      <c r="N184" s="8" t="e">
        <f t="shared" si="31"/>
        <v>#REF!</v>
      </c>
      <c r="O184" s="8" t="e">
        <f>#REF!</f>
        <v>#REF!</v>
      </c>
    </row>
    <row r="185" spans="2:20" s="3" customFormat="1" x14ac:dyDescent="0.2">
      <c r="B185" s="3" t="e">
        <f t="shared" si="26"/>
        <v>#REF!</v>
      </c>
      <c r="C185" s="5" t="str">
        <f t="shared" si="27"/>
        <v/>
      </c>
      <c r="E185" s="6" t="e">
        <f t="shared" si="22"/>
        <v>#VALUE!</v>
      </c>
      <c r="F185" s="7" t="e">
        <f t="shared" si="23"/>
        <v>#VALUE!</v>
      </c>
      <c r="G185" s="8" t="e">
        <f t="shared" si="24"/>
        <v>#VALUE!</v>
      </c>
      <c r="I185" s="9" t="e">
        <f t="shared" si="28"/>
        <v>#VALUE!</v>
      </c>
      <c r="J185" s="9" t="e">
        <f t="shared" si="29"/>
        <v>#VALUE!</v>
      </c>
      <c r="K185" s="9" t="e">
        <f t="shared" si="25"/>
        <v>#VALUE!</v>
      </c>
      <c r="M185" s="8" t="e">
        <f t="shared" si="30"/>
        <v>#REF!</v>
      </c>
      <c r="N185" s="8" t="e">
        <f t="shared" si="31"/>
        <v>#REF!</v>
      </c>
      <c r="O185" s="8" t="e">
        <f>#REF!</f>
        <v>#REF!</v>
      </c>
    </row>
    <row r="186" spans="2:20" s="3" customFormat="1" x14ac:dyDescent="0.2">
      <c r="B186" s="3" t="e">
        <f t="shared" si="26"/>
        <v>#REF!</v>
      </c>
      <c r="C186" s="5" t="str">
        <f t="shared" si="27"/>
        <v/>
      </c>
      <c r="E186" s="6" t="e">
        <f t="shared" si="22"/>
        <v>#VALUE!</v>
      </c>
      <c r="F186" s="7" t="e">
        <f t="shared" si="23"/>
        <v>#VALUE!</v>
      </c>
      <c r="G186" s="8" t="e">
        <f t="shared" si="24"/>
        <v>#VALUE!</v>
      </c>
      <c r="I186" s="9" t="e">
        <f t="shared" si="28"/>
        <v>#VALUE!</v>
      </c>
      <c r="J186" s="9" t="e">
        <f t="shared" si="29"/>
        <v>#VALUE!</v>
      </c>
      <c r="K186" s="9" t="e">
        <f t="shared" si="25"/>
        <v>#VALUE!</v>
      </c>
      <c r="M186" s="8" t="e">
        <f t="shared" si="30"/>
        <v>#REF!</v>
      </c>
      <c r="N186" s="8" t="e">
        <f t="shared" si="31"/>
        <v>#REF!</v>
      </c>
      <c r="O186" s="8" t="e">
        <f>#REF!</f>
        <v>#REF!</v>
      </c>
    </row>
    <row r="187" spans="2:20" s="3" customFormat="1" x14ac:dyDescent="0.2">
      <c r="B187" s="3" t="e">
        <f t="shared" si="26"/>
        <v>#REF!</v>
      </c>
      <c r="C187" s="5" t="str">
        <f t="shared" si="27"/>
        <v/>
      </c>
      <c r="E187" s="6" t="e">
        <f t="shared" si="22"/>
        <v>#VALUE!</v>
      </c>
      <c r="F187" s="7" t="e">
        <f t="shared" si="23"/>
        <v>#VALUE!</v>
      </c>
      <c r="G187" s="8" t="e">
        <f t="shared" si="24"/>
        <v>#VALUE!</v>
      </c>
      <c r="I187" s="9" t="e">
        <f t="shared" si="28"/>
        <v>#VALUE!</v>
      </c>
      <c r="J187" s="9" t="e">
        <f t="shared" si="29"/>
        <v>#VALUE!</v>
      </c>
      <c r="K187" s="9" t="e">
        <f t="shared" si="25"/>
        <v>#VALUE!</v>
      </c>
      <c r="M187" s="8" t="e">
        <f t="shared" si="30"/>
        <v>#REF!</v>
      </c>
      <c r="N187" s="8" t="e">
        <f t="shared" si="31"/>
        <v>#REF!</v>
      </c>
      <c r="O187" s="8" t="e">
        <f>#REF!</f>
        <v>#REF!</v>
      </c>
    </row>
    <row r="188" spans="2:20" s="3" customFormat="1" x14ac:dyDescent="0.2">
      <c r="B188" s="3" t="e">
        <f t="shared" si="26"/>
        <v>#REF!</v>
      </c>
      <c r="C188" s="5" t="str">
        <f t="shared" si="27"/>
        <v/>
      </c>
      <c r="E188" s="6" t="e">
        <f t="shared" si="22"/>
        <v>#VALUE!</v>
      </c>
      <c r="F188" s="7" t="e">
        <f t="shared" si="23"/>
        <v>#VALUE!</v>
      </c>
      <c r="G188" s="8" t="e">
        <f t="shared" si="24"/>
        <v>#VALUE!</v>
      </c>
      <c r="I188" s="9" t="e">
        <f t="shared" si="28"/>
        <v>#VALUE!</v>
      </c>
      <c r="J188" s="9" t="e">
        <f t="shared" si="29"/>
        <v>#VALUE!</v>
      </c>
      <c r="K188" s="9" t="e">
        <f t="shared" si="25"/>
        <v>#VALUE!</v>
      </c>
      <c r="M188" s="8" t="e">
        <f t="shared" si="30"/>
        <v>#REF!</v>
      </c>
      <c r="N188" s="8" t="e">
        <f t="shared" si="31"/>
        <v>#REF!</v>
      </c>
      <c r="O188" s="8" t="e">
        <f>#REF!</f>
        <v>#REF!</v>
      </c>
    </row>
    <row r="189" spans="2:20" s="3" customFormat="1" x14ac:dyDescent="0.2">
      <c r="B189" s="3" t="str">
        <f t="shared" si="26"/>
        <v/>
      </c>
      <c r="C189" s="5" t="str">
        <f t="shared" si="27"/>
        <v/>
      </c>
      <c r="E189" s="6" t="e">
        <f t="shared" si="22"/>
        <v>#VALUE!</v>
      </c>
      <c r="F189" s="7" t="e">
        <f t="shared" si="23"/>
        <v>#VALUE!</v>
      </c>
      <c r="G189" s="8" t="e">
        <f t="shared" si="24"/>
        <v>#VALUE!</v>
      </c>
      <c r="I189" s="9" t="e">
        <f t="shared" si="28"/>
        <v>#VALUE!</v>
      </c>
      <c r="J189" s="9" t="e">
        <f t="shared" si="29"/>
        <v>#VALUE!</v>
      </c>
      <c r="K189" s="9" t="e">
        <f t="shared" si="25"/>
        <v>#VALUE!</v>
      </c>
      <c r="M189" s="8" t="e">
        <f t="shared" si="30"/>
        <v>#REF!</v>
      </c>
      <c r="N189" s="8" t="e">
        <f t="shared" si="31"/>
        <v>#REF!</v>
      </c>
      <c r="O189" s="8" t="e">
        <f>#REF!</f>
        <v>#REF!</v>
      </c>
    </row>
    <row r="190" spans="2:20" s="3" customFormat="1" x14ac:dyDescent="0.2">
      <c r="B190" s="3" t="str">
        <f t="shared" si="26"/>
        <v/>
      </c>
      <c r="C190" s="5" t="str">
        <f t="shared" si="27"/>
        <v/>
      </c>
      <c r="E190" s="6" t="e">
        <f t="shared" si="22"/>
        <v>#VALUE!</v>
      </c>
      <c r="F190" s="7" t="e">
        <f t="shared" si="23"/>
        <v>#VALUE!</v>
      </c>
      <c r="G190" s="8" t="e">
        <f t="shared" si="24"/>
        <v>#VALUE!</v>
      </c>
      <c r="I190" s="9" t="e">
        <f t="shared" si="28"/>
        <v>#VALUE!</v>
      </c>
      <c r="J190" s="9" t="e">
        <f t="shared" si="29"/>
        <v>#VALUE!</v>
      </c>
      <c r="K190" s="9" t="e">
        <f t="shared" si="25"/>
        <v>#VALUE!</v>
      </c>
      <c r="M190" s="8" t="e">
        <f t="shared" si="30"/>
        <v>#REF!</v>
      </c>
      <c r="N190" s="8" t="e">
        <f t="shared" si="31"/>
        <v>#REF!</v>
      </c>
      <c r="O190" s="8" t="e">
        <f>#REF!</f>
        <v>#REF!</v>
      </c>
    </row>
    <row r="191" spans="2:20" s="3" customFormat="1" x14ac:dyDescent="0.2">
      <c r="B191" s="3" t="str">
        <f t="shared" si="26"/>
        <v/>
      </c>
      <c r="C191" s="5" t="str">
        <f t="shared" si="27"/>
        <v/>
      </c>
      <c r="E191" s="6" t="e">
        <f t="shared" si="22"/>
        <v>#VALUE!</v>
      </c>
      <c r="F191" s="7" t="e">
        <f t="shared" si="23"/>
        <v>#VALUE!</v>
      </c>
      <c r="G191" s="8" t="e">
        <f t="shared" si="24"/>
        <v>#VALUE!</v>
      </c>
      <c r="I191" s="9" t="e">
        <f t="shared" si="28"/>
        <v>#VALUE!</v>
      </c>
      <c r="J191" s="9" t="e">
        <f t="shared" si="29"/>
        <v>#VALUE!</v>
      </c>
      <c r="K191" s="9" t="e">
        <f t="shared" si="25"/>
        <v>#VALUE!</v>
      </c>
      <c r="M191" s="8" t="e">
        <f t="shared" si="30"/>
        <v>#REF!</v>
      </c>
      <c r="N191" s="8" t="e">
        <f t="shared" si="31"/>
        <v>#REF!</v>
      </c>
      <c r="O191" s="8" t="e">
        <f>#REF!</f>
        <v>#REF!</v>
      </c>
    </row>
    <row r="192" spans="2:20" s="3" customFormat="1" x14ac:dyDescent="0.2">
      <c r="B192" s="3" t="str">
        <f t="shared" si="26"/>
        <v/>
      </c>
      <c r="C192" s="5" t="str">
        <f t="shared" si="27"/>
        <v/>
      </c>
      <c r="E192" s="6" t="e">
        <f t="shared" si="22"/>
        <v>#VALUE!</v>
      </c>
      <c r="F192" s="7" t="e">
        <f t="shared" si="23"/>
        <v>#VALUE!</v>
      </c>
      <c r="G192" s="8" t="e">
        <f t="shared" si="24"/>
        <v>#VALUE!</v>
      </c>
      <c r="I192" s="9" t="e">
        <f t="shared" si="28"/>
        <v>#VALUE!</v>
      </c>
      <c r="J192" s="9" t="e">
        <f t="shared" si="29"/>
        <v>#VALUE!</v>
      </c>
      <c r="K192" s="9" t="e">
        <f t="shared" si="25"/>
        <v>#VALUE!</v>
      </c>
      <c r="M192" s="8" t="e">
        <f t="shared" si="30"/>
        <v>#REF!</v>
      </c>
      <c r="N192" s="8" t="e">
        <f t="shared" si="31"/>
        <v>#REF!</v>
      </c>
      <c r="O192" s="8" t="e">
        <f>#REF!</f>
        <v>#REF!</v>
      </c>
    </row>
    <row r="193" spans="2:15" s="3" customFormat="1" x14ac:dyDescent="0.2">
      <c r="B193" s="3" t="str">
        <f t="shared" si="26"/>
        <v/>
      </c>
      <c r="C193" s="5" t="str">
        <f t="shared" si="27"/>
        <v/>
      </c>
      <c r="E193" s="6" t="e">
        <f t="shared" si="22"/>
        <v>#VALUE!</v>
      </c>
      <c r="F193" s="7" t="e">
        <f t="shared" si="23"/>
        <v>#VALUE!</v>
      </c>
      <c r="G193" s="8" t="e">
        <f t="shared" si="24"/>
        <v>#VALUE!</v>
      </c>
      <c r="I193" s="9" t="e">
        <f t="shared" si="28"/>
        <v>#VALUE!</v>
      </c>
      <c r="J193" s="9" t="e">
        <f t="shared" si="29"/>
        <v>#VALUE!</v>
      </c>
      <c r="K193" s="9" t="e">
        <f t="shared" si="25"/>
        <v>#VALUE!</v>
      </c>
      <c r="M193" s="8" t="e">
        <f t="shared" si="30"/>
        <v>#REF!</v>
      </c>
      <c r="N193" s="8" t="e">
        <f t="shared" si="31"/>
        <v>#REF!</v>
      </c>
      <c r="O193" s="8" t="e">
        <f>#REF!</f>
        <v>#REF!</v>
      </c>
    </row>
    <row r="194" spans="2:15" s="3" customFormat="1" x14ac:dyDescent="0.2">
      <c r="B194" s="3" t="str">
        <f t="shared" si="26"/>
        <v/>
      </c>
      <c r="C194" s="5" t="str">
        <f t="shared" si="27"/>
        <v/>
      </c>
      <c r="E194" s="6" t="e">
        <f t="shared" si="22"/>
        <v>#VALUE!</v>
      </c>
      <c r="F194" s="7" t="e">
        <f t="shared" si="23"/>
        <v>#VALUE!</v>
      </c>
      <c r="G194" s="8" t="e">
        <f t="shared" si="24"/>
        <v>#VALUE!</v>
      </c>
      <c r="I194" s="9" t="e">
        <f t="shared" si="28"/>
        <v>#VALUE!</v>
      </c>
      <c r="J194" s="9" t="e">
        <f t="shared" si="29"/>
        <v>#VALUE!</v>
      </c>
      <c r="K194" s="9" t="e">
        <f t="shared" si="25"/>
        <v>#VALUE!</v>
      </c>
      <c r="M194" s="8" t="e">
        <f t="shared" si="30"/>
        <v>#REF!</v>
      </c>
      <c r="N194" s="8" t="e">
        <f t="shared" si="31"/>
        <v>#REF!</v>
      </c>
      <c r="O194" s="8" t="e">
        <f>#REF!</f>
        <v>#REF!</v>
      </c>
    </row>
    <row r="195" spans="2:15" s="3" customFormat="1" x14ac:dyDescent="0.2">
      <c r="B195" s="3" t="str">
        <f t="shared" si="26"/>
        <v/>
      </c>
      <c r="C195" s="5" t="str">
        <f t="shared" si="27"/>
        <v/>
      </c>
      <c r="E195" s="6" t="e">
        <f t="shared" si="22"/>
        <v>#VALUE!</v>
      </c>
      <c r="F195" s="7" t="e">
        <f t="shared" si="23"/>
        <v>#VALUE!</v>
      </c>
      <c r="G195" s="8" t="e">
        <f t="shared" si="24"/>
        <v>#VALUE!</v>
      </c>
      <c r="I195" s="9" t="e">
        <f t="shared" si="28"/>
        <v>#VALUE!</v>
      </c>
      <c r="J195" s="9" t="e">
        <f t="shared" si="29"/>
        <v>#VALUE!</v>
      </c>
      <c r="K195" s="9" t="e">
        <f t="shared" si="25"/>
        <v>#VALUE!</v>
      </c>
      <c r="M195" s="8" t="e">
        <f t="shared" si="30"/>
        <v>#REF!</v>
      </c>
      <c r="N195" s="8" t="e">
        <f t="shared" si="31"/>
        <v>#REF!</v>
      </c>
      <c r="O195" s="8" t="e">
        <f>#REF!</f>
        <v>#REF!</v>
      </c>
    </row>
    <row r="196" spans="2:15" s="3" customFormat="1" x14ac:dyDescent="0.2">
      <c r="B196" s="3" t="str">
        <f t="shared" si="26"/>
        <v/>
      </c>
      <c r="C196" s="5" t="str">
        <f t="shared" si="27"/>
        <v/>
      </c>
      <c r="E196" s="6" t="e">
        <f t="shared" si="22"/>
        <v>#VALUE!</v>
      </c>
      <c r="F196" s="7" t="e">
        <f t="shared" si="23"/>
        <v>#VALUE!</v>
      </c>
      <c r="G196" s="8" t="e">
        <f t="shared" si="24"/>
        <v>#VALUE!</v>
      </c>
      <c r="I196" s="9" t="e">
        <f t="shared" si="28"/>
        <v>#VALUE!</v>
      </c>
      <c r="J196" s="9" t="e">
        <f t="shared" si="29"/>
        <v>#VALUE!</v>
      </c>
      <c r="K196" s="9" t="e">
        <f t="shared" si="25"/>
        <v>#VALUE!</v>
      </c>
      <c r="M196" s="8" t="e">
        <f t="shared" si="30"/>
        <v>#REF!</v>
      </c>
      <c r="N196" s="8" t="e">
        <f t="shared" si="31"/>
        <v>#REF!</v>
      </c>
      <c r="O196" s="8" t="e">
        <f>#REF!</f>
        <v>#REF!</v>
      </c>
    </row>
    <row r="197" spans="2:15" s="3" customFormat="1" x14ac:dyDescent="0.2">
      <c r="B197" s="3" t="str">
        <f t="shared" si="26"/>
        <v/>
      </c>
      <c r="C197" s="5" t="str">
        <f t="shared" si="27"/>
        <v/>
      </c>
      <c r="E197" s="6" t="e">
        <f t="shared" si="22"/>
        <v>#VALUE!</v>
      </c>
      <c r="F197" s="7" t="e">
        <f t="shared" si="23"/>
        <v>#VALUE!</v>
      </c>
      <c r="G197" s="8" t="e">
        <f t="shared" si="24"/>
        <v>#VALUE!</v>
      </c>
      <c r="I197" s="9" t="e">
        <f t="shared" si="28"/>
        <v>#VALUE!</v>
      </c>
      <c r="J197" s="9" t="e">
        <f t="shared" si="29"/>
        <v>#VALUE!</v>
      </c>
      <c r="K197" s="9" t="e">
        <f t="shared" si="25"/>
        <v>#VALUE!</v>
      </c>
      <c r="M197" s="8" t="e">
        <f t="shared" si="30"/>
        <v>#REF!</v>
      </c>
      <c r="N197" s="8" t="e">
        <f t="shared" si="31"/>
        <v>#REF!</v>
      </c>
      <c r="O197" s="8" t="e">
        <f>#REF!</f>
        <v>#REF!</v>
      </c>
    </row>
    <row r="198" spans="2:15" s="3" customFormat="1" x14ac:dyDescent="0.2">
      <c r="B198" s="3" t="str">
        <f t="shared" si="26"/>
        <v/>
      </c>
      <c r="C198" s="5" t="str">
        <f t="shared" si="27"/>
        <v/>
      </c>
      <c r="E198" s="6" t="e">
        <f t="shared" si="22"/>
        <v>#VALUE!</v>
      </c>
      <c r="F198" s="7" t="e">
        <f t="shared" si="23"/>
        <v>#VALUE!</v>
      </c>
      <c r="G198" s="8" t="e">
        <f t="shared" si="24"/>
        <v>#VALUE!</v>
      </c>
      <c r="I198" s="9" t="e">
        <f t="shared" si="28"/>
        <v>#VALUE!</v>
      </c>
      <c r="J198" s="9" t="e">
        <f t="shared" si="29"/>
        <v>#VALUE!</v>
      </c>
      <c r="K198" s="9" t="e">
        <f t="shared" si="25"/>
        <v>#VALUE!</v>
      </c>
      <c r="M198" s="8" t="e">
        <f t="shared" si="30"/>
        <v>#REF!</v>
      </c>
      <c r="N198" s="8" t="e">
        <f t="shared" si="31"/>
        <v>#REF!</v>
      </c>
      <c r="O198" s="8" t="e">
        <f>#REF!</f>
        <v>#REF!</v>
      </c>
    </row>
    <row r="199" spans="2:15" s="3" customFormat="1" x14ac:dyDescent="0.2">
      <c r="B199" s="3" t="str">
        <f t="shared" si="26"/>
        <v/>
      </c>
      <c r="C199" s="5" t="str">
        <f t="shared" si="27"/>
        <v/>
      </c>
      <c r="E199" s="6" t="e">
        <f t="shared" si="22"/>
        <v>#VALUE!</v>
      </c>
      <c r="F199" s="7" t="e">
        <f t="shared" si="23"/>
        <v>#VALUE!</v>
      </c>
      <c r="G199" s="8" t="e">
        <f t="shared" si="24"/>
        <v>#VALUE!</v>
      </c>
      <c r="I199" s="9" t="e">
        <f t="shared" si="28"/>
        <v>#VALUE!</v>
      </c>
      <c r="J199" s="9" t="e">
        <f t="shared" si="29"/>
        <v>#VALUE!</v>
      </c>
      <c r="K199" s="9" t="e">
        <f t="shared" si="25"/>
        <v>#VALUE!</v>
      </c>
      <c r="M199" s="8" t="e">
        <f t="shared" si="30"/>
        <v>#REF!</v>
      </c>
      <c r="N199" s="8" t="e">
        <f t="shared" si="31"/>
        <v>#REF!</v>
      </c>
      <c r="O199" s="8" t="e">
        <f>#REF!</f>
        <v>#REF!</v>
      </c>
    </row>
    <row r="200" spans="2:15" s="3" customFormat="1" x14ac:dyDescent="0.2">
      <c r="B200" s="3" t="str">
        <f t="shared" si="26"/>
        <v/>
      </c>
      <c r="C200" s="5" t="str">
        <f t="shared" si="27"/>
        <v/>
      </c>
      <c r="E200" s="6" t="e">
        <f t="shared" si="22"/>
        <v>#VALUE!</v>
      </c>
      <c r="F200" s="7" t="e">
        <f t="shared" si="23"/>
        <v>#VALUE!</v>
      </c>
      <c r="G200" s="8" t="e">
        <f t="shared" si="24"/>
        <v>#VALUE!</v>
      </c>
      <c r="I200" s="9" t="e">
        <f t="shared" si="28"/>
        <v>#VALUE!</v>
      </c>
      <c r="J200" s="9" t="e">
        <f t="shared" si="29"/>
        <v>#VALUE!</v>
      </c>
      <c r="K200" s="9" t="e">
        <f t="shared" si="25"/>
        <v>#VALUE!</v>
      </c>
      <c r="M200" s="8" t="e">
        <f t="shared" si="30"/>
        <v>#REF!</v>
      </c>
      <c r="N200" s="8" t="e">
        <f t="shared" si="31"/>
        <v>#REF!</v>
      </c>
      <c r="O200" s="8" t="e">
        <f>#REF!</f>
        <v>#REF!</v>
      </c>
    </row>
    <row r="201" spans="2:15" s="3" customFormat="1" x14ac:dyDescent="0.2">
      <c r="B201" s="3" t="str">
        <f t="shared" si="26"/>
        <v/>
      </c>
      <c r="C201" s="5" t="str">
        <f t="shared" si="27"/>
        <v/>
      </c>
      <c r="E201" s="6" t="e">
        <f t="shared" si="22"/>
        <v>#VALUE!</v>
      </c>
      <c r="F201" s="7" t="e">
        <f t="shared" si="23"/>
        <v>#VALUE!</v>
      </c>
      <c r="G201" s="8" t="e">
        <f t="shared" si="24"/>
        <v>#VALUE!</v>
      </c>
      <c r="I201" s="9" t="e">
        <f t="shared" si="28"/>
        <v>#VALUE!</v>
      </c>
      <c r="J201" s="9" t="e">
        <f t="shared" si="29"/>
        <v>#VALUE!</v>
      </c>
      <c r="K201" s="9" t="e">
        <f t="shared" si="25"/>
        <v>#VALUE!</v>
      </c>
      <c r="M201" s="8" t="e">
        <f t="shared" si="30"/>
        <v>#REF!</v>
      </c>
      <c r="N201" s="8" t="e">
        <f t="shared" si="31"/>
        <v>#REF!</v>
      </c>
      <c r="O201" s="8" t="e">
        <f>#REF!</f>
        <v>#REF!</v>
      </c>
    </row>
    <row r="202" spans="2:15" s="3" customFormat="1" x14ac:dyDescent="0.2">
      <c r="B202" s="3" t="str">
        <f t="shared" si="26"/>
        <v/>
      </c>
      <c r="C202" s="5" t="str">
        <f t="shared" si="27"/>
        <v/>
      </c>
      <c r="E202" s="6" t="e">
        <f t="shared" si="22"/>
        <v>#VALUE!</v>
      </c>
      <c r="F202" s="7" t="e">
        <f t="shared" si="23"/>
        <v>#VALUE!</v>
      </c>
      <c r="G202" s="8" t="e">
        <f t="shared" si="24"/>
        <v>#VALUE!</v>
      </c>
      <c r="I202" s="9" t="e">
        <f t="shared" si="28"/>
        <v>#VALUE!</v>
      </c>
      <c r="J202" s="9" t="e">
        <f t="shared" si="29"/>
        <v>#VALUE!</v>
      </c>
      <c r="K202" s="9" t="e">
        <f t="shared" si="25"/>
        <v>#VALUE!</v>
      </c>
      <c r="M202" s="8" t="e">
        <f t="shared" si="30"/>
        <v>#REF!</v>
      </c>
      <c r="N202" s="8" t="e">
        <f t="shared" si="31"/>
        <v>#REF!</v>
      </c>
      <c r="O202" s="8" t="e">
        <f>#REF!</f>
        <v>#REF!</v>
      </c>
    </row>
    <row r="203" spans="2:15" s="3" customFormat="1" x14ac:dyDescent="0.2">
      <c r="B203" s="3" t="str">
        <f t="shared" si="26"/>
        <v/>
      </c>
      <c r="C203" s="5" t="str">
        <f t="shared" si="27"/>
        <v/>
      </c>
      <c r="E203" s="6" t="e">
        <f t="shared" si="22"/>
        <v>#VALUE!</v>
      </c>
      <c r="F203" s="7" t="e">
        <f t="shared" si="23"/>
        <v>#VALUE!</v>
      </c>
      <c r="G203" s="8" t="e">
        <f t="shared" si="24"/>
        <v>#VALUE!</v>
      </c>
      <c r="I203" s="9" t="e">
        <f t="shared" si="28"/>
        <v>#VALUE!</v>
      </c>
      <c r="J203" s="9" t="e">
        <f t="shared" si="29"/>
        <v>#VALUE!</v>
      </c>
      <c r="K203" s="9" t="e">
        <f t="shared" si="25"/>
        <v>#VALUE!</v>
      </c>
      <c r="M203" s="8" t="e">
        <f t="shared" si="30"/>
        <v>#REF!</v>
      </c>
      <c r="N203" s="8" t="e">
        <f t="shared" si="31"/>
        <v>#REF!</v>
      </c>
      <c r="O203" s="8" t="e">
        <f>#REF!</f>
        <v>#REF!</v>
      </c>
    </row>
    <row r="204" spans="2:15" s="3" customFormat="1" x14ac:dyDescent="0.2">
      <c r="B204" s="3" t="str">
        <f t="shared" si="26"/>
        <v/>
      </c>
      <c r="C204" s="5" t="str">
        <f t="shared" si="27"/>
        <v/>
      </c>
      <c r="E204" s="6" t="e">
        <f t="shared" si="22"/>
        <v>#VALUE!</v>
      </c>
      <c r="F204" s="7" t="e">
        <f t="shared" si="23"/>
        <v>#VALUE!</v>
      </c>
      <c r="G204" s="8" t="e">
        <f t="shared" si="24"/>
        <v>#VALUE!</v>
      </c>
      <c r="I204" s="9" t="e">
        <f t="shared" si="28"/>
        <v>#VALUE!</v>
      </c>
      <c r="J204" s="9" t="e">
        <f t="shared" si="29"/>
        <v>#VALUE!</v>
      </c>
      <c r="K204" s="9" t="e">
        <f t="shared" si="25"/>
        <v>#VALUE!</v>
      </c>
      <c r="M204" s="8" t="e">
        <f t="shared" si="30"/>
        <v>#REF!</v>
      </c>
      <c r="N204" s="8" t="e">
        <f t="shared" si="31"/>
        <v>#REF!</v>
      </c>
      <c r="O204" s="8" t="e">
        <f>#REF!</f>
        <v>#REF!</v>
      </c>
    </row>
    <row r="205" spans="2:15" s="3" customFormat="1" x14ac:dyDescent="0.2">
      <c r="B205" s="3" t="str">
        <f t="shared" si="26"/>
        <v/>
      </c>
      <c r="C205" s="5" t="str">
        <f t="shared" si="27"/>
        <v/>
      </c>
      <c r="E205" s="6" t="e">
        <f t="shared" si="22"/>
        <v>#VALUE!</v>
      </c>
      <c r="F205" s="7" t="e">
        <f t="shared" si="23"/>
        <v>#VALUE!</v>
      </c>
      <c r="G205" s="8" t="e">
        <f t="shared" si="24"/>
        <v>#VALUE!</v>
      </c>
      <c r="I205" s="9" t="e">
        <f t="shared" si="28"/>
        <v>#VALUE!</v>
      </c>
      <c r="J205" s="9" t="e">
        <f t="shared" si="29"/>
        <v>#VALUE!</v>
      </c>
      <c r="K205" s="9" t="e">
        <f t="shared" si="25"/>
        <v>#VALUE!</v>
      </c>
      <c r="M205" s="8" t="e">
        <f t="shared" si="30"/>
        <v>#REF!</v>
      </c>
      <c r="N205" s="8" t="e">
        <f t="shared" si="31"/>
        <v>#REF!</v>
      </c>
      <c r="O205" s="8" t="e">
        <f>#REF!</f>
        <v>#REF!</v>
      </c>
    </row>
    <row r="206" spans="2:15" s="3" customFormat="1" x14ac:dyDescent="0.2">
      <c r="B206" s="3" t="str">
        <f t="shared" si="26"/>
        <v/>
      </c>
      <c r="C206" s="5" t="str">
        <f t="shared" si="27"/>
        <v/>
      </c>
      <c r="E206" s="6" t="e">
        <f t="shared" si="22"/>
        <v>#VALUE!</v>
      </c>
      <c r="F206" s="7" t="e">
        <f t="shared" si="23"/>
        <v>#VALUE!</v>
      </c>
      <c r="G206" s="8" t="e">
        <f t="shared" si="24"/>
        <v>#VALUE!</v>
      </c>
      <c r="I206" s="9" t="e">
        <f t="shared" si="28"/>
        <v>#VALUE!</v>
      </c>
      <c r="J206" s="9" t="e">
        <f t="shared" si="29"/>
        <v>#VALUE!</v>
      </c>
      <c r="K206" s="9" t="e">
        <f t="shared" si="25"/>
        <v>#VALUE!</v>
      </c>
      <c r="M206" s="8" t="e">
        <f t="shared" si="30"/>
        <v>#REF!</v>
      </c>
      <c r="N206" s="8" t="e">
        <f t="shared" si="31"/>
        <v>#REF!</v>
      </c>
      <c r="O206" s="8" t="e">
        <f>#REF!</f>
        <v>#REF!</v>
      </c>
    </row>
    <row r="207" spans="2:15" s="3" customFormat="1" x14ac:dyDescent="0.2">
      <c r="B207" s="3" t="str">
        <f t="shared" si="26"/>
        <v/>
      </c>
      <c r="C207" s="5" t="str">
        <f t="shared" si="27"/>
        <v/>
      </c>
      <c r="E207" s="6" t="e">
        <f t="shared" si="22"/>
        <v>#VALUE!</v>
      </c>
      <c r="F207" s="7" t="e">
        <f t="shared" si="23"/>
        <v>#VALUE!</v>
      </c>
      <c r="G207" s="8" t="e">
        <f t="shared" si="24"/>
        <v>#VALUE!</v>
      </c>
      <c r="I207" s="9" t="e">
        <f t="shared" si="28"/>
        <v>#VALUE!</v>
      </c>
      <c r="J207" s="9" t="e">
        <f t="shared" si="29"/>
        <v>#VALUE!</v>
      </c>
      <c r="K207" s="9" t="e">
        <f t="shared" si="25"/>
        <v>#VALUE!</v>
      </c>
      <c r="M207" s="8" t="e">
        <f t="shared" si="30"/>
        <v>#REF!</v>
      </c>
      <c r="N207" s="8" t="e">
        <f t="shared" si="31"/>
        <v>#REF!</v>
      </c>
      <c r="O207" s="8" t="e">
        <f>#REF!</f>
        <v>#REF!</v>
      </c>
    </row>
    <row r="208" spans="2:15" s="3" customFormat="1" x14ac:dyDescent="0.2">
      <c r="B208" s="3" t="str">
        <f t="shared" si="26"/>
        <v/>
      </c>
      <c r="C208" s="5" t="str">
        <f t="shared" si="27"/>
        <v/>
      </c>
      <c r="E208" s="6" t="e">
        <f t="shared" si="22"/>
        <v>#VALUE!</v>
      </c>
      <c r="F208" s="7" t="e">
        <f t="shared" si="23"/>
        <v>#VALUE!</v>
      </c>
      <c r="G208" s="8" t="e">
        <f t="shared" si="24"/>
        <v>#VALUE!</v>
      </c>
      <c r="I208" s="9" t="e">
        <f t="shared" si="28"/>
        <v>#VALUE!</v>
      </c>
      <c r="J208" s="9" t="e">
        <f t="shared" si="29"/>
        <v>#VALUE!</v>
      </c>
      <c r="K208" s="9" t="e">
        <f t="shared" si="25"/>
        <v>#VALUE!</v>
      </c>
      <c r="M208" s="8" t="e">
        <f t="shared" si="30"/>
        <v>#REF!</v>
      </c>
      <c r="N208" s="8" t="e">
        <f t="shared" si="31"/>
        <v>#REF!</v>
      </c>
      <c r="O208" s="8" t="e">
        <f>#REF!</f>
        <v>#REF!</v>
      </c>
    </row>
    <row r="209" spans="2:15" s="3" customFormat="1" x14ac:dyDescent="0.2">
      <c r="B209" s="3" t="str">
        <f t="shared" si="26"/>
        <v/>
      </c>
      <c r="C209" s="5" t="str">
        <f t="shared" si="27"/>
        <v/>
      </c>
      <c r="E209" s="6" t="e">
        <f t="shared" si="22"/>
        <v>#VALUE!</v>
      </c>
      <c r="F209" s="7" t="e">
        <f t="shared" si="23"/>
        <v>#VALUE!</v>
      </c>
      <c r="G209" s="8" t="e">
        <f t="shared" si="24"/>
        <v>#VALUE!</v>
      </c>
      <c r="I209" s="9" t="e">
        <f t="shared" si="28"/>
        <v>#VALUE!</v>
      </c>
      <c r="J209" s="9" t="e">
        <f t="shared" si="29"/>
        <v>#VALUE!</v>
      </c>
      <c r="K209" s="9" t="e">
        <f t="shared" si="25"/>
        <v>#VALUE!</v>
      </c>
      <c r="M209" s="8" t="e">
        <f t="shared" si="30"/>
        <v>#REF!</v>
      </c>
      <c r="N209" s="8" t="e">
        <f t="shared" si="31"/>
        <v>#REF!</v>
      </c>
      <c r="O209" s="8" t="e">
        <f>#REF!</f>
        <v>#REF!</v>
      </c>
    </row>
    <row r="210" spans="2:15" s="3" customFormat="1" x14ac:dyDescent="0.2">
      <c r="B210" s="3" t="str">
        <f t="shared" si="26"/>
        <v/>
      </c>
      <c r="C210" s="5" t="str">
        <f t="shared" si="27"/>
        <v/>
      </c>
      <c r="E210" s="6" t="e">
        <f>DAY(C210)</f>
        <v>#VALUE!</v>
      </c>
      <c r="F210" s="7" t="e">
        <f>+IF(E210&lt;8,1,IF(E210&lt;15,2,IF(E210&lt;22,3,IF(E210&lt;29,4,5))))</f>
        <v>#VALUE!</v>
      </c>
      <c r="G210" s="8" t="e">
        <f>WEEKDAY(C210)</f>
        <v>#VALUE!</v>
      </c>
      <c r="I210" s="9" t="e">
        <f>VLOOKUP(F210,$H$165:$M$176,6,FALSE)</f>
        <v>#VALUE!</v>
      </c>
      <c r="J210" s="9" t="e">
        <f>VLOOKUP(G210,$O$165:$T$176,6,FALSE)</f>
        <v>#VALUE!</v>
      </c>
      <c r="K210" s="9" t="e">
        <f>+I210*J210</f>
        <v>#VALUE!</v>
      </c>
      <c r="M210" s="8" t="e">
        <f t="shared" si="30"/>
        <v>#REF!</v>
      </c>
      <c r="N210" s="8" t="e">
        <f>$M$214/$K$214*K210</f>
        <v>#REF!</v>
      </c>
      <c r="O210" s="8" t="e">
        <f>#REF!</f>
        <v>#REF!</v>
      </c>
    </row>
    <row r="211" spans="2:15" s="3" customFormat="1" x14ac:dyDescent="0.2">
      <c r="B211" s="3" t="str">
        <f t="shared" si="26"/>
        <v/>
      </c>
      <c r="C211" s="5" t="str">
        <f t="shared" si="27"/>
        <v/>
      </c>
      <c r="E211" s="6" t="e">
        <f>DAY(C211)</f>
        <v>#VALUE!</v>
      </c>
      <c r="F211" s="7" t="e">
        <f>+IF(E211&lt;8,1,IF(E211&lt;15,2,IF(E211&lt;22,3,IF(E211&lt;29,4,5))))</f>
        <v>#VALUE!</v>
      </c>
      <c r="G211" s="8" t="e">
        <f>WEEKDAY(C211)</f>
        <v>#VALUE!</v>
      </c>
      <c r="I211" s="9" t="e">
        <f>VLOOKUP(F211,$H$165:$M$176,6,FALSE)</f>
        <v>#VALUE!</v>
      </c>
      <c r="J211" s="9" t="e">
        <f>VLOOKUP(G211,$O$165:$T$176,6,FALSE)</f>
        <v>#VALUE!</v>
      </c>
      <c r="K211" s="9" t="e">
        <f>+I211*J211</f>
        <v>#VALUE!</v>
      </c>
      <c r="M211" s="8" t="e">
        <f t="shared" si="30"/>
        <v>#REF!</v>
      </c>
      <c r="N211" s="8" t="e">
        <f>$M$214/$K$214*K211</f>
        <v>#REF!</v>
      </c>
      <c r="O211" s="8" t="e">
        <f>#REF!</f>
        <v>#REF!</v>
      </c>
    </row>
    <row r="212" spans="2:15" s="3" customFormat="1" x14ac:dyDescent="0.2">
      <c r="B212" s="3" t="e">
        <f t="shared" si="26"/>
        <v>#REF!</v>
      </c>
      <c r="C212" s="5" t="e">
        <f t="shared" si="27"/>
        <v>#REF!</v>
      </c>
      <c r="E212" s="6" t="e">
        <f>DAY(C212)</f>
        <v>#REF!</v>
      </c>
      <c r="F212" s="7" t="e">
        <f>+IF(E212&lt;8,1,IF(E212&lt;15,2,IF(E212&lt;22,3,IF(E212&lt;29,4,5))))</f>
        <v>#REF!</v>
      </c>
      <c r="G212" s="8" t="e">
        <f>WEEKDAY(C212)</f>
        <v>#REF!</v>
      </c>
      <c r="I212" s="9" t="e">
        <f>VLOOKUP(F212,$H$165:$M$176,6,FALSE)</f>
        <v>#REF!</v>
      </c>
      <c r="J212" s="9" t="e">
        <f>VLOOKUP(G212,$O$165:$T$176,6,FALSE)</f>
        <v>#REF!</v>
      </c>
      <c r="K212" s="9" t="e">
        <f>+I212*J212</f>
        <v>#REF!</v>
      </c>
      <c r="M212" s="8" t="e">
        <f t="shared" si="30"/>
        <v>#REF!</v>
      </c>
      <c r="N212" s="8" t="e">
        <f>$M$214/$K$214*K212</f>
        <v>#REF!</v>
      </c>
      <c r="O212" s="8" t="e">
        <f>#REF!</f>
        <v>#REF!</v>
      </c>
    </row>
    <row r="213" spans="2:15" s="3" customFormat="1" x14ac:dyDescent="0.2">
      <c r="C213" s="5"/>
      <c r="E213" s="6"/>
      <c r="F213" s="7"/>
      <c r="G213" s="8"/>
      <c r="I213" s="9"/>
      <c r="J213" s="9"/>
      <c r="K213" s="9"/>
      <c r="M213" s="8"/>
      <c r="N213" s="8"/>
      <c r="O213" s="8"/>
    </row>
    <row r="214" spans="2:15" s="3" customFormat="1" ht="12" thickBot="1" x14ac:dyDescent="0.25">
      <c r="B214" s="10"/>
      <c r="C214" s="11"/>
      <c r="E214" s="12"/>
      <c r="F214" s="13"/>
      <c r="G214" s="13"/>
      <c r="I214" s="14" t="e">
        <f>SUM(I182:I213)</f>
        <v>#VALUE!</v>
      </c>
      <c r="J214" s="14" t="e">
        <f>SUM(J182:J213)</f>
        <v>#VALUE!</v>
      </c>
      <c r="K214" s="121" t="e">
        <f>SUM(K182:K213)</f>
        <v>#VALUE!</v>
      </c>
      <c r="M214" s="15" t="e">
        <f>SUM(M182:M213)</f>
        <v>#REF!</v>
      </c>
      <c r="N214" s="15" t="e">
        <f>SUM(N182:N213)</f>
        <v>#REF!</v>
      </c>
      <c r="O214" s="15" t="e">
        <f>SUM(O182:O213)</f>
        <v>#REF!</v>
      </c>
    </row>
    <row r="215" spans="2:15" s="3" customFormat="1" x14ac:dyDescent="0.2">
      <c r="C215" s="16"/>
      <c r="E215" s="12"/>
      <c r="F215" s="13"/>
      <c r="G215" s="13"/>
    </row>
  </sheetData>
  <mergeCells count="39">
    <mergeCell ref="J180:J181"/>
    <mergeCell ref="B180:B181"/>
    <mergeCell ref="B65:B66"/>
    <mergeCell ref="C65:C66"/>
    <mergeCell ref="C180:C181"/>
    <mergeCell ref="B123:B124"/>
    <mergeCell ref="I123:I124"/>
    <mergeCell ref="J65:J66"/>
    <mergeCell ref="C123:C124"/>
    <mergeCell ref="J123:J124"/>
    <mergeCell ref="E180:E181"/>
    <mergeCell ref="F180:F181"/>
    <mergeCell ref="I180:I181"/>
    <mergeCell ref="G180:G181"/>
    <mergeCell ref="M180:M181"/>
    <mergeCell ref="O65:O66"/>
    <mergeCell ref="N65:N66"/>
    <mergeCell ref="M123:M124"/>
    <mergeCell ref="K65:K66"/>
    <mergeCell ref="M179:O179"/>
    <mergeCell ref="K180:K181"/>
    <mergeCell ref="O180:O181"/>
    <mergeCell ref="N180:N181"/>
    <mergeCell ref="D4:D6"/>
    <mergeCell ref="E4:E6"/>
    <mergeCell ref="F4:F6"/>
    <mergeCell ref="F65:F66"/>
    <mergeCell ref="E123:E124"/>
    <mergeCell ref="E65:E66"/>
    <mergeCell ref="F123:F124"/>
    <mergeCell ref="M64:O64"/>
    <mergeCell ref="G123:G124"/>
    <mergeCell ref="M122:O122"/>
    <mergeCell ref="O123:O124"/>
    <mergeCell ref="M65:M66"/>
    <mergeCell ref="I65:I66"/>
    <mergeCell ref="G65:G66"/>
    <mergeCell ref="N123:N124"/>
    <mergeCell ref="K123:K124"/>
  </mergeCells>
  <phoneticPr fontId="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9:BK37"/>
  <sheetViews>
    <sheetView workbookViewId="0">
      <selection sqref="A1:XFD1048576"/>
    </sheetView>
  </sheetViews>
  <sheetFormatPr defaultColWidth="9.28515625" defaultRowHeight="12.75" x14ac:dyDescent="0.2"/>
  <cols>
    <col min="1" max="1" width="28" bestFit="1" customWidth="1"/>
    <col min="2" max="2" width="9.33203125" bestFit="1" customWidth="1"/>
    <col min="3" max="3" width="8.5546875" bestFit="1" customWidth="1"/>
    <col min="4" max="4" width="5.33203125" bestFit="1" customWidth="1"/>
    <col min="5" max="5" width="13.88671875" bestFit="1" customWidth="1"/>
    <col min="6" max="7" width="11" bestFit="1" customWidth="1"/>
    <col min="8" max="8" width="8.109375" bestFit="1" customWidth="1"/>
    <col min="9" max="9" width="7.109375" bestFit="1" customWidth="1"/>
    <col min="10" max="10" width="6" bestFit="1" customWidth="1"/>
    <col min="11" max="11" width="7" bestFit="1" customWidth="1"/>
    <col min="12" max="12" width="5.88671875" bestFit="1" customWidth="1"/>
    <col min="13" max="13" width="13.88671875" bestFit="1" customWidth="1"/>
    <col min="14" max="14" width="11" bestFit="1" customWidth="1"/>
    <col min="15" max="15" width="21" bestFit="1" customWidth="1"/>
    <col min="16" max="16" width="6.6640625" bestFit="1" customWidth="1"/>
    <col min="17" max="17" width="6.5546875" bestFit="1" customWidth="1"/>
    <col min="18" max="19" width="7" bestFit="1" customWidth="1"/>
    <col min="20" max="20" width="9.6640625" bestFit="1" customWidth="1"/>
    <col min="21" max="21" width="9" bestFit="1" customWidth="1"/>
    <col min="22" max="22" width="6.44140625" bestFit="1" customWidth="1"/>
    <col min="25" max="25" width="11.5546875" bestFit="1" customWidth="1"/>
    <col min="26" max="26" width="6.6640625" bestFit="1" customWidth="1"/>
    <col min="27" max="28" width="6" bestFit="1" customWidth="1"/>
    <col min="29" max="29" width="6.44140625" bestFit="1" customWidth="1"/>
    <col min="30" max="30" width="11.109375" bestFit="1" customWidth="1"/>
    <col min="31" max="31" width="12.6640625" bestFit="1" customWidth="1"/>
    <col min="32" max="32" width="11.6640625" bestFit="1" customWidth="1"/>
    <col min="33" max="33" width="8.6640625" bestFit="1" customWidth="1"/>
    <col min="34" max="34" width="10.88671875" bestFit="1" customWidth="1"/>
    <col min="35" max="35" width="10.109375" bestFit="1" customWidth="1"/>
    <col min="36" max="36" width="7" bestFit="1" customWidth="1"/>
    <col min="37" max="37" width="11" bestFit="1" customWidth="1"/>
    <col min="38" max="38" width="20.5546875" bestFit="1" customWidth="1"/>
    <col min="39" max="39" width="7" bestFit="1" customWidth="1"/>
    <col min="40" max="40" width="15.109375" bestFit="1" customWidth="1"/>
    <col min="41" max="41" width="6" bestFit="1" customWidth="1"/>
    <col min="42" max="42" width="12.109375" bestFit="1" customWidth="1"/>
    <col min="43" max="43" width="12.33203125" bestFit="1" customWidth="1"/>
    <col min="44" max="44" width="12.6640625" bestFit="1" customWidth="1"/>
    <col min="45" max="45" width="12.44140625" bestFit="1" customWidth="1"/>
    <col min="46" max="46" width="11.44140625" bestFit="1" customWidth="1"/>
    <col min="47" max="47" width="12.44140625" bestFit="1" customWidth="1"/>
    <col min="48" max="48" width="7" bestFit="1" customWidth="1"/>
    <col min="49" max="49" width="6.6640625" bestFit="1" customWidth="1"/>
    <col min="50" max="50" width="6.88671875" bestFit="1" customWidth="1"/>
    <col min="51" max="51" width="26.6640625" bestFit="1" customWidth="1"/>
    <col min="52" max="53" width="10.5546875" bestFit="1" customWidth="1"/>
    <col min="54" max="54" width="10" bestFit="1" customWidth="1"/>
    <col min="55" max="55" width="11.33203125" bestFit="1" customWidth="1"/>
    <col min="56" max="56" width="18.33203125" bestFit="1" customWidth="1"/>
    <col min="58" max="58" width="9" bestFit="1" customWidth="1"/>
    <col min="59" max="60" width="10" bestFit="1" customWidth="1"/>
    <col min="61" max="61" width="9.6640625" bestFit="1" customWidth="1"/>
    <col min="62" max="62" width="18.6640625" bestFit="1" customWidth="1"/>
    <col min="63" max="63" width="9" bestFit="1" customWidth="1"/>
    <col min="64" max="64" width="9.33203125" bestFit="1" customWidth="1"/>
    <col min="66" max="66" width="9.33203125" bestFit="1" customWidth="1"/>
  </cols>
  <sheetData>
    <row r="9" spans="5:63" x14ac:dyDescent="0.2">
      <c r="E9" s="167"/>
      <c r="G9" s="167"/>
      <c r="K9" s="167"/>
      <c r="M9" s="167"/>
      <c r="N9" s="167"/>
      <c r="O9" s="167"/>
      <c r="S9" s="167"/>
      <c r="T9" s="167"/>
      <c r="AD9" s="167"/>
      <c r="AE9" s="167"/>
      <c r="AF9" s="167"/>
      <c r="AG9" s="167"/>
      <c r="AH9" s="167"/>
      <c r="AI9" s="167"/>
      <c r="AK9" s="167"/>
      <c r="AL9" s="167"/>
      <c r="AN9" s="167"/>
      <c r="AU9" s="167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</row>
    <row r="10" spans="5:63" x14ac:dyDescent="0.2">
      <c r="E10" s="167"/>
      <c r="G10" s="167"/>
      <c r="K10" s="167"/>
      <c r="M10" s="167"/>
      <c r="N10" s="167"/>
      <c r="O10" s="167"/>
      <c r="T10" s="167"/>
      <c r="AD10" s="167"/>
      <c r="AE10" s="167"/>
      <c r="AF10" s="167"/>
      <c r="AG10" s="167"/>
      <c r="AH10" s="167"/>
      <c r="AI10" s="167"/>
      <c r="AK10" s="167"/>
      <c r="AL10" s="167"/>
      <c r="AN10" s="167"/>
      <c r="AU10" s="167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</row>
    <row r="11" spans="5:63" x14ac:dyDescent="0.2">
      <c r="E11" s="167"/>
      <c r="G11" s="167"/>
      <c r="K11" s="167"/>
      <c r="M11" s="167"/>
      <c r="N11" s="167"/>
      <c r="O11" s="167"/>
      <c r="S11" s="167"/>
      <c r="T11" s="167"/>
      <c r="AD11" s="167"/>
      <c r="AE11" s="167"/>
      <c r="AF11" s="167"/>
      <c r="AG11" s="167"/>
      <c r="AH11" s="167"/>
      <c r="AI11" s="167"/>
      <c r="AK11" s="167"/>
      <c r="AL11" s="167"/>
      <c r="AN11" s="167"/>
      <c r="AU11" s="167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</row>
    <row r="12" spans="5:63" x14ac:dyDescent="0.2">
      <c r="E12" s="167"/>
      <c r="G12" s="167"/>
      <c r="K12" s="167"/>
      <c r="M12" s="167"/>
      <c r="N12" s="167"/>
      <c r="O12" s="167"/>
      <c r="T12" s="167"/>
      <c r="AD12" s="167"/>
      <c r="AE12" s="167"/>
      <c r="AF12" s="167"/>
      <c r="AG12" s="167"/>
      <c r="AH12" s="167"/>
      <c r="AI12" s="167"/>
      <c r="AK12" s="167"/>
      <c r="AL12" s="167"/>
      <c r="AN12" s="167"/>
      <c r="AP12" s="285"/>
      <c r="AS12" s="285"/>
      <c r="AT12" s="285"/>
      <c r="AU12" s="167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</row>
    <row r="13" spans="5:63" x14ac:dyDescent="0.2">
      <c r="E13" s="167"/>
      <c r="M13" s="167"/>
      <c r="O13" s="167"/>
      <c r="AD13" s="167"/>
      <c r="AE13" s="167"/>
      <c r="AF13" s="167"/>
      <c r="AG13" s="167"/>
      <c r="AH13" s="167"/>
      <c r="AI13" s="167"/>
      <c r="AL13" s="167"/>
      <c r="AN13" s="167"/>
      <c r="AP13" s="285"/>
      <c r="AS13" s="285"/>
      <c r="AT13" s="285"/>
      <c r="AU13" s="167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</row>
    <row r="15" spans="5:63" x14ac:dyDescent="0.2">
      <c r="E15" s="167"/>
      <c r="G15" s="167"/>
      <c r="K15" s="167"/>
      <c r="M15" s="167"/>
      <c r="N15" s="167"/>
      <c r="O15" s="167"/>
      <c r="T15" s="167"/>
      <c r="AD15" s="167"/>
      <c r="AE15" s="167"/>
      <c r="AF15" s="167"/>
      <c r="AG15" s="167"/>
      <c r="AH15" s="167"/>
      <c r="AI15" s="167"/>
      <c r="AK15" s="167"/>
      <c r="AL15" s="167"/>
      <c r="AN15" s="167"/>
      <c r="AP15" s="285"/>
      <c r="AS15" s="285"/>
      <c r="AT15" s="285"/>
      <c r="AU15" s="167"/>
      <c r="BB15" s="167"/>
      <c r="BC15" s="167"/>
      <c r="BG15" s="167"/>
      <c r="BH15" s="167"/>
    </row>
    <row r="21" spans="3:63" x14ac:dyDescent="0.2">
      <c r="E21" s="167"/>
      <c r="M21" s="167"/>
      <c r="O21" s="167"/>
      <c r="AD21" s="167"/>
      <c r="AE21" s="167"/>
      <c r="AF21" s="167"/>
      <c r="AG21" s="167"/>
      <c r="AH21" s="167"/>
      <c r="AI21" s="167"/>
      <c r="AL21" s="167"/>
      <c r="AN21" s="167"/>
      <c r="AP21" s="285"/>
      <c r="AQ21" s="285"/>
      <c r="AS21" s="285"/>
      <c r="AT21" s="285"/>
      <c r="AU21" s="167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</row>
    <row r="23" spans="3:63" x14ac:dyDescent="0.2">
      <c r="E23" s="167"/>
      <c r="G23" s="167"/>
      <c r="K23" s="167"/>
      <c r="M23" s="167"/>
      <c r="N23" s="167"/>
      <c r="O23" s="167"/>
      <c r="T23" s="167"/>
      <c r="AD23" s="167"/>
      <c r="AE23" s="167"/>
      <c r="AF23" s="167"/>
      <c r="AG23" s="167"/>
      <c r="AH23" s="167"/>
      <c r="AI23" s="167"/>
      <c r="AK23" s="167"/>
      <c r="AL23" s="167"/>
      <c r="AN23" s="167"/>
      <c r="AP23" s="285"/>
      <c r="AQ23" s="285"/>
      <c r="AS23" s="285"/>
      <c r="AT23" s="285"/>
      <c r="AU23" s="167"/>
      <c r="BB23" s="167"/>
      <c r="BC23" s="167"/>
      <c r="BG23" s="167"/>
      <c r="BH23" s="167"/>
    </row>
    <row r="26" spans="3:63" x14ac:dyDescent="0.2">
      <c r="C26" s="168"/>
      <c r="E26" s="168"/>
      <c r="F26" s="168"/>
      <c r="G26" s="168"/>
      <c r="K26" s="168"/>
      <c r="M26" s="168"/>
      <c r="N26" s="168"/>
      <c r="O26" s="168"/>
      <c r="T26" s="168"/>
      <c r="U26" s="168"/>
      <c r="AD26" s="168"/>
      <c r="AE26" s="168"/>
      <c r="AG26" s="168"/>
      <c r="AH26" s="168"/>
      <c r="AI26" s="168"/>
      <c r="AK26" s="168"/>
      <c r="AL26" s="168"/>
      <c r="AN26" s="168"/>
      <c r="AU26" s="168"/>
    </row>
    <row r="27" spans="3:63" x14ac:dyDescent="0.2">
      <c r="N27" s="167"/>
      <c r="O27" s="167"/>
      <c r="T27" s="167"/>
      <c r="AD27" s="167"/>
      <c r="AE27" s="167"/>
      <c r="AG27" s="167"/>
      <c r="AH27" s="167"/>
      <c r="AI27" s="167"/>
      <c r="AL27" s="167"/>
      <c r="AN27" s="167"/>
      <c r="AU27" s="167"/>
    </row>
    <row r="31" spans="3:63" x14ac:dyDescent="0.2">
      <c r="E31" s="167"/>
      <c r="M31" s="167"/>
      <c r="N31" s="167"/>
      <c r="O31" s="167"/>
      <c r="AD31" s="167"/>
      <c r="AE31" s="167"/>
      <c r="AF31" s="167"/>
      <c r="AG31" s="167"/>
      <c r="AH31" s="167"/>
      <c r="AI31" s="167"/>
      <c r="AL31" s="167"/>
      <c r="AN31" s="167"/>
      <c r="AU31" s="167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</row>
    <row r="33" spans="3:60" x14ac:dyDescent="0.2">
      <c r="E33" s="167"/>
      <c r="F33" s="167"/>
      <c r="G33" s="167"/>
      <c r="K33" s="167"/>
      <c r="M33" s="167"/>
      <c r="N33" s="167"/>
      <c r="O33" s="167"/>
      <c r="S33" s="167"/>
      <c r="T33" s="167"/>
      <c r="AD33" s="167"/>
      <c r="AE33" s="167"/>
      <c r="AF33" s="167"/>
      <c r="AG33" s="167"/>
      <c r="AH33" s="167"/>
      <c r="AI33" s="167"/>
      <c r="AK33" s="167"/>
      <c r="AL33" s="167"/>
      <c r="AN33" s="167"/>
      <c r="AU33" s="167"/>
      <c r="BB33" s="167"/>
      <c r="BC33" s="167"/>
      <c r="BG33" s="167"/>
      <c r="BH33" s="167"/>
    </row>
    <row r="34" spans="3:60" x14ac:dyDescent="0.2">
      <c r="BB34" s="167"/>
      <c r="BC34" s="167"/>
      <c r="BG34" s="167"/>
      <c r="BH34" s="167"/>
    </row>
    <row r="36" spans="3:60" x14ac:dyDescent="0.2">
      <c r="C36" s="168"/>
      <c r="E36" s="168"/>
      <c r="F36" s="168"/>
      <c r="G36" s="168"/>
      <c r="K36" s="168"/>
      <c r="M36" s="168"/>
      <c r="N36" s="168"/>
      <c r="O36" s="168"/>
      <c r="S36" s="168"/>
      <c r="T36" s="168"/>
      <c r="U36" s="168"/>
      <c r="AD36" s="168"/>
      <c r="AE36" s="168"/>
      <c r="AG36" s="168"/>
      <c r="AH36" s="168"/>
      <c r="AI36" s="168"/>
      <c r="AK36" s="168"/>
      <c r="AL36" s="168"/>
      <c r="AN36" s="168"/>
      <c r="AU36" s="168"/>
    </row>
    <row r="37" spans="3:60" x14ac:dyDescent="0.2">
      <c r="G37" s="167"/>
      <c r="K37" s="167"/>
      <c r="N37" s="167"/>
      <c r="O37" s="167"/>
      <c r="S37" s="167"/>
      <c r="T37" s="167"/>
      <c r="AD37" s="167"/>
      <c r="AE37" s="167"/>
      <c r="AG37" s="167"/>
      <c r="AH37" s="167"/>
      <c r="AI37" s="167"/>
      <c r="AK37" s="167"/>
      <c r="AL37" s="167"/>
      <c r="AN37" s="167"/>
      <c r="AU37" s="16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8:BK37"/>
  <sheetViews>
    <sheetView workbookViewId="0">
      <selection sqref="A1:XFD1048576"/>
    </sheetView>
  </sheetViews>
  <sheetFormatPr defaultColWidth="9.140625" defaultRowHeight="12.75" x14ac:dyDescent="0.2"/>
  <cols>
    <col min="1" max="1" width="28.88671875" bestFit="1" customWidth="1"/>
    <col min="2" max="2" width="9.33203125" bestFit="1" customWidth="1"/>
    <col min="3" max="3" width="8.5546875" bestFit="1" customWidth="1"/>
    <col min="4" max="4" width="5.33203125" bestFit="1" customWidth="1"/>
    <col min="5" max="5" width="13.88671875" bestFit="1" customWidth="1"/>
    <col min="6" max="6" width="11" bestFit="1" customWidth="1"/>
    <col min="7" max="7" width="10.109375" bestFit="1" customWidth="1"/>
    <col min="8" max="8" width="8.109375" bestFit="1" customWidth="1"/>
    <col min="9" max="9" width="7.109375" bestFit="1" customWidth="1"/>
    <col min="10" max="10" width="6" bestFit="1" customWidth="1"/>
    <col min="11" max="11" width="7.33203125" bestFit="1" customWidth="1"/>
    <col min="12" max="12" width="5.88671875" bestFit="1" customWidth="1"/>
    <col min="13" max="13" width="12.6640625" bestFit="1" customWidth="1"/>
    <col min="14" max="14" width="10.44140625" bestFit="1" customWidth="1"/>
    <col min="15" max="15" width="21" bestFit="1" customWidth="1"/>
    <col min="16" max="16" width="6.6640625" bestFit="1" customWidth="1"/>
    <col min="17" max="17" width="6" bestFit="1" customWidth="1"/>
    <col min="18" max="19" width="7" bestFit="1" customWidth="1"/>
    <col min="20" max="20" width="9.6640625" bestFit="1" customWidth="1"/>
    <col min="21" max="21" width="9" bestFit="1" customWidth="1"/>
    <col min="22" max="22" width="6.44140625" bestFit="1" customWidth="1"/>
    <col min="25" max="25" width="11.5546875" bestFit="1" customWidth="1"/>
    <col min="26" max="26" width="6.6640625" bestFit="1" customWidth="1"/>
    <col min="27" max="28" width="6" bestFit="1" customWidth="1"/>
    <col min="29" max="29" width="6.44140625" bestFit="1" customWidth="1"/>
    <col min="30" max="30" width="11.109375" bestFit="1" customWidth="1"/>
    <col min="31" max="31" width="12.44140625" bestFit="1" customWidth="1"/>
    <col min="32" max="32" width="10.6640625" bestFit="1" customWidth="1"/>
    <col min="33" max="33" width="8.6640625" bestFit="1" customWidth="1"/>
    <col min="34" max="34" width="10.88671875" bestFit="1" customWidth="1"/>
    <col min="35" max="35" width="10.109375" bestFit="1" customWidth="1"/>
    <col min="36" max="36" width="7" bestFit="1" customWidth="1"/>
    <col min="37" max="37" width="10.109375" bestFit="1" customWidth="1"/>
    <col min="38" max="38" width="20.5546875" bestFit="1" customWidth="1"/>
    <col min="39" max="39" width="7" bestFit="1" customWidth="1"/>
    <col min="40" max="40" width="15.109375" bestFit="1" customWidth="1"/>
    <col min="41" max="41" width="6" bestFit="1" customWidth="1"/>
    <col min="42" max="42" width="12.109375" bestFit="1" customWidth="1"/>
    <col min="43" max="43" width="12.33203125" bestFit="1" customWidth="1"/>
    <col min="44" max="45" width="12.44140625" bestFit="1" customWidth="1"/>
    <col min="46" max="46" width="11.44140625" bestFit="1" customWidth="1"/>
    <col min="47" max="47" width="12.44140625" bestFit="1" customWidth="1"/>
    <col min="48" max="48" width="6" bestFit="1" customWidth="1"/>
    <col min="49" max="49" width="6.6640625" bestFit="1" customWidth="1"/>
    <col min="50" max="50" width="6.88671875" bestFit="1" customWidth="1"/>
    <col min="51" max="51" width="26.6640625" bestFit="1" customWidth="1"/>
    <col min="52" max="53" width="10.5546875" bestFit="1" customWidth="1"/>
    <col min="54" max="54" width="10.109375" bestFit="1" customWidth="1"/>
    <col min="55" max="55" width="11.33203125" bestFit="1" customWidth="1"/>
    <col min="56" max="56" width="18.33203125" bestFit="1" customWidth="1"/>
    <col min="58" max="58" width="9" bestFit="1" customWidth="1"/>
    <col min="59" max="60" width="10.109375" bestFit="1" customWidth="1"/>
    <col min="61" max="61" width="9.6640625" bestFit="1" customWidth="1"/>
    <col min="62" max="62" width="18.6640625" bestFit="1" customWidth="1"/>
    <col min="63" max="63" width="9" bestFit="1" customWidth="1"/>
    <col min="64" max="64" width="9.33203125" bestFit="1" customWidth="1"/>
    <col min="66" max="66" width="9.33203125" bestFit="1" customWidth="1"/>
  </cols>
  <sheetData>
    <row r="8" spans="5:63" x14ac:dyDescent="0.2">
      <c r="BH8" s="167"/>
    </row>
    <row r="9" spans="5:63" x14ac:dyDescent="0.2">
      <c r="E9" s="167"/>
      <c r="F9" s="167"/>
      <c r="G9" s="167"/>
      <c r="K9" s="167"/>
      <c r="M9" s="167"/>
      <c r="N9" s="167"/>
      <c r="O9" s="167"/>
      <c r="T9" s="167"/>
      <c r="AD9" s="167"/>
      <c r="AE9" s="167"/>
      <c r="AF9" s="167"/>
      <c r="AK9" s="167"/>
      <c r="AL9" s="167"/>
      <c r="AN9" s="167"/>
      <c r="AU9" s="167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</row>
    <row r="10" spans="5:63" x14ac:dyDescent="0.2">
      <c r="E10" s="167"/>
      <c r="F10" s="167"/>
      <c r="G10" s="167"/>
      <c r="K10" s="167"/>
      <c r="M10" s="167"/>
      <c r="N10" s="167"/>
      <c r="O10" s="167"/>
      <c r="S10" s="167"/>
      <c r="T10" s="167"/>
      <c r="AD10" s="167"/>
      <c r="AE10" s="167"/>
      <c r="AF10" s="167"/>
      <c r="AK10" s="167"/>
      <c r="AL10" s="167"/>
      <c r="AN10" s="167"/>
      <c r="AU10" s="167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</row>
    <row r="11" spans="5:63" x14ac:dyDescent="0.2">
      <c r="E11" s="167"/>
      <c r="F11" s="167"/>
      <c r="G11" s="167"/>
      <c r="K11" s="167"/>
      <c r="M11" s="167"/>
      <c r="N11" s="167"/>
      <c r="O11" s="167"/>
      <c r="T11" s="167"/>
      <c r="AD11" s="167"/>
      <c r="AE11" s="167"/>
      <c r="AF11" s="167"/>
      <c r="AK11" s="167"/>
      <c r="AL11" s="167"/>
      <c r="AN11" s="167"/>
      <c r="AU11" s="167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</row>
    <row r="12" spans="5:63" x14ac:dyDescent="0.2">
      <c r="E12" s="167"/>
      <c r="F12" s="167"/>
      <c r="G12" s="167"/>
      <c r="K12" s="167"/>
      <c r="M12" s="167"/>
      <c r="N12" s="167"/>
      <c r="O12" s="167"/>
      <c r="S12" s="167"/>
      <c r="T12" s="167"/>
      <c r="AD12" s="167"/>
      <c r="AE12" s="167"/>
      <c r="AF12" s="167"/>
      <c r="AK12" s="167"/>
      <c r="AL12" s="167"/>
      <c r="AN12" s="167"/>
      <c r="AU12" s="167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</row>
    <row r="13" spans="5:63" x14ac:dyDescent="0.2">
      <c r="E13" s="167"/>
      <c r="G13" s="167"/>
      <c r="M13" s="167"/>
      <c r="N13" s="167"/>
      <c r="O13" s="167"/>
      <c r="AD13" s="167"/>
      <c r="AE13" s="167"/>
      <c r="AF13" s="167"/>
      <c r="AK13" s="167"/>
      <c r="AL13" s="167"/>
      <c r="AN13" s="167"/>
      <c r="AU13" s="167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</row>
    <row r="15" spans="5:63" x14ac:dyDescent="0.2">
      <c r="E15" s="167"/>
      <c r="F15" s="167"/>
      <c r="G15" s="167"/>
      <c r="K15" s="167"/>
      <c r="M15" s="167"/>
      <c r="N15" s="167"/>
      <c r="O15" s="167"/>
      <c r="S15" s="167"/>
      <c r="T15" s="167"/>
      <c r="AD15" s="167"/>
      <c r="AE15" s="167"/>
      <c r="AF15" s="167"/>
      <c r="AK15" s="167"/>
      <c r="AL15" s="167"/>
      <c r="AN15" s="167"/>
      <c r="AU15" s="167"/>
      <c r="BB15" s="167"/>
      <c r="BC15" s="167"/>
      <c r="BG15" s="167"/>
      <c r="BH15" s="167"/>
    </row>
    <row r="16" spans="5:63" x14ac:dyDescent="0.2">
      <c r="BB16" s="167"/>
      <c r="BC16" s="167"/>
    </row>
    <row r="21" spans="3:63" x14ac:dyDescent="0.2">
      <c r="E21" s="167"/>
      <c r="G21" s="167"/>
      <c r="M21" s="167"/>
      <c r="N21" s="167"/>
      <c r="O21" s="167"/>
      <c r="AD21" s="167"/>
      <c r="AE21" s="167"/>
      <c r="AF21" s="167"/>
      <c r="AG21" s="167"/>
      <c r="AH21" s="167"/>
      <c r="AI21" s="167"/>
      <c r="AK21" s="167"/>
      <c r="AL21" s="167"/>
      <c r="AN21" s="167"/>
      <c r="AU21" s="167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</row>
    <row r="23" spans="3:63" x14ac:dyDescent="0.2">
      <c r="E23" s="167"/>
      <c r="F23" s="167"/>
      <c r="G23" s="167"/>
      <c r="K23" s="167"/>
      <c r="M23" s="167"/>
      <c r="N23" s="167"/>
      <c r="O23" s="167"/>
      <c r="S23" s="167"/>
      <c r="T23" s="167"/>
      <c r="AD23" s="167"/>
      <c r="AE23" s="167"/>
      <c r="AF23" s="167"/>
      <c r="AG23" s="167"/>
      <c r="AH23" s="167"/>
      <c r="AI23" s="167"/>
      <c r="AK23" s="167"/>
      <c r="AL23" s="167"/>
      <c r="AN23" s="167"/>
      <c r="AU23" s="167"/>
      <c r="BB23" s="167"/>
      <c r="BC23" s="167"/>
      <c r="BG23" s="167"/>
      <c r="BH23" s="167"/>
    </row>
    <row r="24" spans="3:63" x14ac:dyDescent="0.2">
      <c r="BB24" s="167"/>
      <c r="BG24" s="167"/>
    </row>
    <row r="26" spans="3:63" x14ac:dyDescent="0.2">
      <c r="C26" s="168"/>
      <c r="E26" s="168"/>
      <c r="F26" s="168"/>
      <c r="G26" s="168"/>
      <c r="K26" s="168"/>
      <c r="M26" s="168"/>
      <c r="N26" s="168"/>
      <c r="O26" s="168"/>
      <c r="S26" s="168"/>
      <c r="T26" s="168"/>
      <c r="U26" s="168"/>
      <c r="AD26" s="168"/>
      <c r="AE26" s="168"/>
      <c r="AG26" s="168"/>
      <c r="AH26" s="168"/>
      <c r="AI26" s="168"/>
      <c r="AK26" s="168"/>
      <c r="AL26" s="168"/>
      <c r="AN26" s="168"/>
      <c r="AU26" s="168"/>
    </row>
    <row r="27" spans="3:63" x14ac:dyDescent="0.2">
      <c r="E27" s="167"/>
      <c r="F27" s="167"/>
      <c r="G27" s="167"/>
      <c r="K27" s="167"/>
      <c r="N27" s="167"/>
      <c r="O27" s="167"/>
      <c r="S27" s="167"/>
      <c r="T27" s="167"/>
      <c r="AD27" s="167"/>
      <c r="AE27" s="167"/>
      <c r="AG27" s="167"/>
      <c r="AH27" s="167"/>
      <c r="AI27" s="167"/>
      <c r="AK27" s="167"/>
      <c r="AL27" s="167"/>
      <c r="AN27" s="167"/>
      <c r="AU27" s="167"/>
    </row>
    <row r="31" spans="3:63" x14ac:dyDescent="0.2">
      <c r="E31" s="167"/>
      <c r="F31" s="167"/>
      <c r="G31" s="167"/>
      <c r="M31" s="167"/>
      <c r="N31" s="167"/>
      <c r="O31" s="167"/>
      <c r="AD31" s="167"/>
      <c r="AE31" s="167"/>
      <c r="AF31" s="167"/>
      <c r="AG31" s="167"/>
      <c r="AH31" s="167"/>
      <c r="AI31" s="167"/>
      <c r="AK31" s="167"/>
      <c r="AL31" s="167"/>
      <c r="AN31" s="167"/>
      <c r="AU31" s="167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</row>
    <row r="33" spans="3:60" x14ac:dyDescent="0.2">
      <c r="E33" s="167"/>
      <c r="F33" s="167"/>
      <c r="G33" s="167"/>
      <c r="K33" s="167"/>
      <c r="M33" s="167"/>
      <c r="N33" s="167"/>
      <c r="O33" s="167"/>
      <c r="S33" s="167"/>
      <c r="T33" s="167"/>
      <c r="AD33" s="167"/>
      <c r="AE33" s="167"/>
      <c r="AF33" s="167"/>
      <c r="AG33" s="167"/>
      <c r="AH33" s="167"/>
      <c r="AI33" s="167"/>
      <c r="AK33" s="167"/>
      <c r="AL33" s="167"/>
      <c r="AN33" s="167"/>
      <c r="AU33" s="167"/>
      <c r="BB33" s="167"/>
      <c r="BC33" s="167"/>
      <c r="BG33" s="167"/>
      <c r="BH33" s="167"/>
    </row>
    <row r="34" spans="3:60" x14ac:dyDescent="0.2">
      <c r="BB34" s="167"/>
      <c r="BC34" s="167"/>
      <c r="BG34" s="167"/>
      <c r="BH34" s="167"/>
    </row>
    <row r="36" spans="3:60" x14ac:dyDescent="0.2">
      <c r="C36" s="168"/>
      <c r="E36" s="168"/>
      <c r="F36" s="168"/>
      <c r="G36" s="168"/>
      <c r="K36" s="168"/>
      <c r="M36" s="168"/>
      <c r="N36" s="168"/>
      <c r="O36" s="168"/>
      <c r="T36" s="168"/>
      <c r="U36" s="168"/>
      <c r="AD36" s="168"/>
      <c r="AE36" s="168"/>
      <c r="AG36" s="168"/>
      <c r="AH36" s="168"/>
      <c r="AI36" s="168"/>
      <c r="AK36" s="168"/>
      <c r="AL36" s="168"/>
      <c r="AN36" s="168"/>
      <c r="AU36" s="168"/>
    </row>
    <row r="37" spans="3:60" x14ac:dyDescent="0.2">
      <c r="F37" s="167"/>
      <c r="G37" s="167"/>
      <c r="K37" s="167"/>
      <c r="M37" s="167"/>
      <c r="N37" s="167"/>
      <c r="O37" s="167"/>
      <c r="S37" s="167"/>
      <c r="T37" s="167"/>
      <c r="AD37" s="167"/>
      <c r="AE37" s="167"/>
      <c r="AG37" s="167"/>
      <c r="AH37" s="167"/>
      <c r="AI37" s="167"/>
      <c r="AK37" s="167"/>
      <c r="AL37" s="167"/>
      <c r="AN37" s="167"/>
      <c r="AU37" s="16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BK37"/>
  <sheetViews>
    <sheetView workbookViewId="0">
      <selection sqref="A1:XFD1048576"/>
    </sheetView>
  </sheetViews>
  <sheetFormatPr defaultColWidth="9.140625" defaultRowHeight="12.75" x14ac:dyDescent="0.2"/>
  <cols>
    <col min="1" max="1" width="28.88671875" bestFit="1" customWidth="1"/>
    <col min="2" max="2" width="9.33203125" bestFit="1" customWidth="1"/>
    <col min="3" max="3" width="8.5546875" bestFit="1" customWidth="1"/>
    <col min="4" max="4" width="5.33203125" bestFit="1" customWidth="1"/>
    <col min="5" max="5" width="13.88671875" bestFit="1" customWidth="1"/>
    <col min="6" max="7" width="11" bestFit="1" customWidth="1"/>
    <col min="8" max="8" width="8.109375" bestFit="1" customWidth="1"/>
    <col min="9" max="9" width="7.109375" bestFit="1" customWidth="1"/>
    <col min="10" max="11" width="7" bestFit="1" customWidth="1"/>
    <col min="12" max="12" width="5.88671875" bestFit="1" customWidth="1"/>
    <col min="13" max="13" width="12.6640625" bestFit="1" customWidth="1"/>
    <col min="14" max="14" width="10.44140625" bestFit="1" customWidth="1"/>
    <col min="15" max="15" width="21" bestFit="1" customWidth="1"/>
    <col min="16" max="16" width="6.6640625" bestFit="1" customWidth="1"/>
    <col min="17" max="17" width="6" bestFit="1" customWidth="1"/>
    <col min="18" max="18" width="7" bestFit="1" customWidth="1"/>
    <col min="19" max="19" width="7.33203125" bestFit="1" customWidth="1"/>
    <col min="20" max="20" width="9.6640625" bestFit="1" customWidth="1"/>
    <col min="21" max="21" width="9" bestFit="1" customWidth="1"/>
    <col min="22" max="22" width="6.44140625" bestFit="1" customWidth="1"/>
    <col min="23" max="24" width="9.109375" bestFit="1" customWidth="1"/>
    <col min="25" max="25" width="11.5546875" bestFit="1" customWidth="1"/>
    <col min="26" max="26" width="6.6640625" bestFit="1" customWidth="1"/>
    <col min="27" max="28" width="6" bestFit="1" customWidth="1"/>
    <col min="29" max="29" width="6.44140625" bestFit="1" customWidth="1"/>
    <col min="30" max="30" width="11" bestFit="1" customWidth="1"/>
    <col min="31" max="31" width="12.6640625" bestFit="1" customWidth="1"/>
    <col min="32" max="32" width="10.6640625" bestFit="1" customWidth="1"/>
    <col min="33" max="33" width="8.6640625" bestFit="1" customWidth="1"/>
    <col min="34" max="34" width="10.88671875" bestFit="1" customWidth="1"/>
    <col min="35" max="35" width="10.109375" bestFit="1" customWidth="1"/>
    <col min="36" max="36" width="6" bestFit="1" customWidth="1"/>
    <col min="37" max="37" width="11" bestFit="1" customWidth="1"/>
    <col min="38" max="38" width="20.5546875" bestFit="1" customWidth="1"/>
    <col min="39" max="39" width="7" bestFit="1" customWidth="1"/>
    <col min="40" max="40" width="15.109375" bestFit="1" customWidth="1"/>
    <col min="41" max="41" width="6" bestFit="1" customWidth="1"/>
    <col min="42" max="42" width="12.109375" bestFit="1" customWidth="1"/>
    <col min="43" max="43" width="12.33203125" bestFit="1" customWidth="1"/>
    <col min="44" max="45" width="12.44140625" bestFit="1" customWidth="1"/>
    <col min="46" max="46" width="11.44140625" bestFit="1" customWidth="1"/>
    <col min="47" max="47" width="12.44140625" bestFit="1" customWidth="1"/>
    <col min="48" max="48" width="6" bestFit="1" customWidth="1"/>
    <col min="49" max="49" width="6.6640625" bestFit="1" customWidth="1"/>
    <col min="50" max="50" width="6.88671875" bestFit="1" customWidth="1"/>
    <col min="51" max="51" width="26.6640625" bestFit="1" customWidth="1"/>
    <col min="52" max="53" width="10.5546875" bestFit="1" customWidth="1"/>
    <col min="54" max="54" width="10.109375" bestFit="1" customWidth="1"/>
    <col min="55" max="55" width="11.33203125" bestFit="1" customWidth="1"/>
    <col min="56" max="56" width="18.33203125" bestFit="1" customWidth="1"/>
    <col min="57" max="57" width="9.109375" bestFit="1" customWidth="1"/>
    <col min="58" max="58" width="9" bestFit="1" customWidth="1"/>
    <col min="59" max="60" width="10.109375" bestFit="1" customWidth="1"/>
    <col min="61" max="61" width="9.6640625" bestFit="1" customWidth="1"/>
    <col min="62" max="62" width="18.6640625" bestFit="1" customWidth="1"/>
    <col min="63" max="63" width="9" bestFit="1" customWidth="1"/>
    <col min="64" max="64" width="9.33203125" bestFit="1" customWidth="1"/>
    <col min="65" max="65" width="9.109375" bestFit="1" customWidth="1"/>
    <col min="66" max="66" width="9.33203125" bestFit="1" customWidth="1"/>
  </cols>
  <sheetData>
    <row r="8" spans="5:63" x14ac:dyDescent="0.2">
      <c r="BH8" s="167"/>
    </row>
    <row r="9" spans="5:63" x14ac:dyDescent="0.2">
      <c r="E9" s="167"/>
      <c r="F9" s="167"/>
      <c r="G9" s="167"/>
      <c r="K9" s="167"/>
      <c r="M9" s="167"/>
      <c r="N9" s="167"/>
      <c r="O9" s="167"/>
      <c r="S9" s="167"/>
      <c r="T9" s="167"/>
      <c r="AD9" s="167"/>
      <c r="AE9" s="167"/>
      <c r="AF9" s="167"/>
      <c r="AK9" s="167"/>
      <c r="AL9" s="167"/>
      <c r="AN9" s="167"/>
      <c r="AU9" s="167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</row>
    <row r="10" spans="5:63" x14ac:dyDescent="0.2">
      <c r="E10" s="167"/>
      <c r="F10" s="167"/>
      <c r="G10" s="167"/>
      <c r="K10" s="167"/>
      <c r="M10" s="167"/>
      <c r="N10" s="167"/>
      <c r="O10" s="167"/>
      <c r="S10" s="167"/>
      <c r="T10" s="167"/>
      <c r="AD10" s="167"/>
      <c r="AE10" s="167"/>
      <c r="AF10" s="167"/>
      <c r="AG10" s="167"/>
      <c r="AH10" s="167"/>
      <c r="AI10" s="167"/>
      <c r="AK10" s="167"/>
      <c r="AL10" s="167"/>
      <c r="AN10" s="167"/>
      <c r="AU10" s="167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</row>
    <row r="11" spans="5:63" x14ac:dyDescent="0.2">
      <c r="E11" s="167"/>
      <c r="F11" s="167"/>
      <c r="G11" s="167"/>
      <c r="K11" s="167"/>
      <c r="M11" s="167"/>
      <c r="N11" s="167"/>
      <c r="O11" s="167"/>
      <c r="S11" s="167"/>
      <c r="T11" s="167"/>
      <c r="AD11" s="167"/>
      <c r="AE11" s="167"/>
      <c r="AF11" s="167"/>
      <c r="AG11" s="167"/>
      <c r="AH11" s="167"/>
      <c r="AI11" s="167"/>
      <c r="AK11" s="167"/>
      <c r="AL11" s="167"/>
      <c r="AN11" s="167"/>
      <c r="AU11" s="167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</row>
    <row r="12" spans="5:63" x14ac:dyDescent="0.2">
      <c r="E12" s="167"/>
      <c r="F12" s="167"/>
      <c r="G12" s="167"/>
      <c r="K12" s="167"/>
      <c r="M12" s="167"/>
      <c r="N12" s="167"/>
      <c r="O12" s="167"/>
      <c r="S12" s="167"/>
      <c r="T12" s="167"/>
      <c r="AD12" s="167"/>
      <c r="AE12" s="167"/>
      <c r="AF12" s="167"/>
      <c r="AG12" s="167"/>
      <c r="AH12" s="167"/>
      <c r="AI12" s="167"/>
      <c r="AK12" s="167"/>
      <c r="AL12" s="167"/>
      <c r="AN12" s="167"/>
      <c r="AU12" s="167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</row>
    <row r="13" spans="5:63" x14ac:dyDescent="0.2">
      <c r="E13" s="167"/>
      <c r="G13" s="167"/>
      <c r="M13" s="167"/>
      <c r="N13" s="167"/>
      <c r="O13" s="167"/>
      <c r="AD13" s="167"/>
      <c r="AE13" s="167"/>
      <c r="AF13" s="167"/>
      <c r="AG13" s="167"/>
      <c r="AH13" s="167"/>
      <c r="AI13" s="167"/>
      <c r="AL13" s="167"/>
      <c r="AN13" s="167"/>
      <c r="AU13" s="167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</row>
    <row r="15" spans="5:63" x14ac:dyDescent="0.2">
      <c r="E15" s="167"/>
      <c r="F15" s="167"/>
      <c r="G15" s="167"/>
      <c r="K15" s="167"/>
      <c r="M15" s="167"/>
      <c r="N15" s="167"/>
      <c r="O15" s="167"/>
      <c r="S15" s="167"/>
      <c r="T15" s="167"/>
      <c r="AD15" s="167"/>
      <c r="AE15" s="167"/>
      <c r="AF15" s="167"/>
      <c r="AG15" s="167"/>
      <c r="AH15" s="167"/>
      <c r="AI15" s="167"/>
      <c r="AK15" s="167"/>
      <c r="AL15" s="167"/>
      <c r="AN15" s="167"/>
      <c r="AU15" s="167"/>
      <c r="BB15" s="167"/>
      <c r="BC15" s="167"/>
      <c r="BG15" s="167"/>
      <c r="BH15" s="167"/>
    </row>
    <row r="21" spans="3:63" x14ac:dyDescent="0.2">
      <c r="E21" s="167"/>
      <c r="G21" s="167"/>
      <c r="M21" s="167"/>
      <c r="N21" s="167"/>
      <c r="O21" s="167"/>
      <c r="AD21" s="167"/>
      <c r="AE21" s="167"/>
      <c r="AF21" s="167"/>
      <c r="AG21" s="167"/>
      <c r="AH21" s="167"/>
      <c r="AI21" s="167"/>
      <c r="AK21" s="167"/>
      <c r="AL21" s="167"/>
      <c r="AN21" s="167"/>
      <c r="AU21" s="167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</row>
    <row r="23" spans="3:63" x14ac:dyDescent="0.2">
      <c r="E23" s="167"/>
      <c r="F23" s="167"/>
      <c r="G23" s="167"/>
      <c r="K23" s="167"/>
      <c r="M23" s="167"/>
      <c r="N23" s="167"/>
      <c r="O23" s="167"/>
      <c r="S23" s="167"/>
      <c r="T23" s="167"/>
      <c r="AD23" s="167"/>
      <c r="AE23" s="167"/>
      <c r="AF23" s="167"/>
      <c r="AG23" s="167"/>
      <c r="AH23" s="167"/>
      <c r="AI23" s="167"/>
      <c r="AK23" s="167"/>
      <c r="AL23" s="167"/>
      <c r="AN23" s="167"/>
      <c r="AU23" s="167"/>
      <c r="BB23" s="167"/>
      <c r="BC23" s="167"/>
      <c r="BG23" s="167"/>
      <c r="BH23" s="167"/>
    </row>
    <row r="24" spans="3:63" x14ac:dyDescent="0.2">
      <c r="BB24" s="167"/>
      <c r="BG24" s="167"/>
    </row>
    <row r="26" spans="3:63" x14ac:dyDescent="0.2">
      <c r="C26" s="168"/>
      <c r="E26" s="168"/>
      <c r="F26" s="168"/>
      <c r="G26" s="168"/>
      <c r="K26" s="168"/>
      <c r="M26" s="168"/>
      <c r="N26" s="168"/>
      <c r="O26" s="168"/>
      <c r="T26" s="168"/>
      <c r="U26" s="168"/>
      <c r="AD26" s="168"/>
      <c r="AE26" s="168"/>
      <c r="AG26" s="168"/>
      <c r="AH26" s="168"/>
      <c r="AI26" s="168"/>
      <c r="AK26" s="168"/>
      <c r="AL26" s="168"/>
      <c r="AN26" s="168"/>
      <c r="AU26" s="168"/>
    </row>
    <row r="27" spans="3:63" x14ac:dyDescent="0.2">
      <c r="E27" s="167"/>
      <c r="F27" s="167"/>
      <c r="G27" s="167"/>
      <c r="K27" s="167"/>
      <c r="M27" s="167"/>
      <c r="N27" s="167"/>
      <c r="O27" s="167"/>
      <c r="T27" s="167"/>
      <c r="AD27" s="167"/>
      <c r="AE27" s="167"/>
      <c r="AG27" s="167"/>
      <c r="AH27" s="167"/>
      <c r="AI27" s="167"/>
      <c r="AK27" s="167"/>
      <c r="AL27" s="167"/>
      <c r="AN27" s="167"/>
      <c r="AU27" s="167"/>
    </row>
    <row r="31" spans="3:63" x14ac:dyDescent="0.2">
      <c r="E31" s="167"/>
      <c r="G31" s="167"/>
      <c r="M31" s="167"/>
      <c r="N31" s="167"/>
      <c r="O31" s="167"/>
      <c r="AD31" s="167"/>
      <c r="AE31" s="167"/>
      <c r="AF31" s="167"/>
      <c r="AG31" s="167"/>
      <c r="AH31" s="167"/>
      <c r="AI31" s="167"/>
      <c r="AK31" s="167"/>
      <c r="AL31" s="167"/>
      <c r="AN31" s="167"/>
      <c r="AU31" s="167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</row>
    <row r="33" spans="3:60" x14ac:dyDescent="0.2">
      <c r="E33" s="167"/>
      <c r="F33" s="167"/>
      <c r="G33" s="167"/>
      <c r="K33" s="167"/>
      <c r="M33" s="167"/>
      <c r="N33" s="167"/>
      <c r="O33" s="167"/>
      <c r="S33" s="167"/>
      <c r="T33" s="167"/>
      <c r="AD33" s="167"/>
      <c r="AE33" s="167"/>
      <c r="AF33" s="167"/>
      <c r="AG33" s="167"/>
      <c r="AH33" s="167"/>
      <c r="AI33" s="167"/>
      <c r="AK33" s="167"/>
      <c r="AL33" s="167"/>
      <c r="AN33" s="167"/>
      <c r="AU33" s="167"/>
      <c r="BB33" s="167"/>
      <c r="BC33" s="167"/>
      <c r="BG33" s="167"/>
      <c r="BH33" s="167"/>
    </row>
    <row r="34" spans="3:60" x14ac:dyDescent="0.2">
      <c r="BB34" s="167"/>
      <c r="BC34" s="167"/>
      <c r="BG34" s="167"/>
      <c r="BH34" s="167"/>
    </row>
    <row r="36" spans="3:60" x14ac:dyDescent="0.2">
      <c r="C36" s="168"/>
      <c r="E36" s="168"/>
      <c r="F36" s="168"/>
      <c r="G36" s="168"/>
      <c r="K36" s="168"/>
      <c r="M36" s="168"/>
      <c r="N36" s="168"/>
      <c r="O36" s="168"/>
      <c r="T36" s="168"/>
      <c r="U36" s="168"/>
      <c r="AD36" s="168"/>
      <c r="AE36" s="168"/>
      <c r="AG36" s="168"/>
      <c r="AH36" s="168"/>
      <c r="AI36" s="168"/>
      <c r="AK36" s="168"/>
      <c r="AL36" s="168"/>
      <c r="AN36" s="168"/>
      <c r="AU36" s="168"/>
    </row>
    <row r="37" spans="3:60" x14ac:dyDescent="0.2">
      <c r="F37" s="167"/>
      <c r="G37" s="167"/>
      <c r="K37" s="167"/>
      <c r="N37" s="167"/>
      <c r="O37" s="167"/>
      <c r="S37" s="167"/>
      <c r="T37" s="167"/>
      <c r="AD37" s="167"/>
      <c r="AE37" s="167"/>
      <c r="AH37" s="167"/>
      <c r="AI37" s="167"/>
      <c r="AK37" s="167"/>
      <c r="AL37" s="167"/>
      <c r="AN37" s="167"/>
      <c r="AU37" s="16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8:BK37"/>
  <sheetViews>
    <sheetView workbookViewId="0">
      <selection sqref="A1:XFD1048576"/>
    </sheetView>
  </sheetViews>
  <sheetFormatPr defaultColWidth="9.140625" defaultRowHeight="12.75" x14ac:dyDescent="0.2"/>
  <cols>
    <col min="1" max="1" width="28.88671875" bestFit="1" customWidth="1"/>
    <col min="2" max="2" width="9.33203125" bestFit="1" customWidth="1"/>
    <col min="3" max="3" width="8.5546875" bestFit="1" customWidth="1"/>
    <col min="4" max="4" width="5.33203125" bestFit="1" customWidth="1"/>
    <col min="5" max="5" width="13.88671875" bestFit="1" customWidth="1"/>
    <col min="6" max="7" width="11" bestFit="1" customWidth="1"/>
    <col min="8" max="8" width="8.109375" bestFit="1" customWidth="1"/>
    <col min="9" max="9" width="7.109375" bestFit="1" customWidth="1"/>
    <col min="10" max="10" width="6" bestFit="1" customWidth="1"/>
    <col min="11" max="11" width="7" bestFit="1" customWidth="1"/>
    <col min="12" max="12" width="5.88671875" bestFit="1" customWidth="1"/>
    <col min="13" max="13" width="13.88671875" bestFit="1" customWidth="1"/>
    <col min="14" max="14" width="11" bestFit="1" customWidth="1"/>
    <col min="15" max="15" width="21" bestFit="1" customWidth="1"/>
    <col min="16" max="16" width="6.6640625" bestFit="1" customWidth="1"/>
    <col min="17" max="17" width="6" bestFit="1" customWidth="1"/>
    <col min="18" max="19" width="7" bestFit="1" customWidth="1"/>
    <col min="20" max="20" width="9.6640625" bestFit="1" customWidth="1"/>
    <col min="21" max="21" width="9" bestFit="1" customWidth="1"/>
    <col min="22" max="22" width="6.44140625" bestFit="1" customWidth="1"/>
    <col min="25" max="25" width="11.5546875" bestFit="1" customWidth="1"/>
    <col min="26" max="26" width="6.6640625" bestFit="1" customWidth="1"/>
    <col min="27" max="28" width="6" bestFit="1" customWidth="1"/>
    <col min="29" max="29" width="6.44140625" bestFit="1" customWidth="1"/>
    <col min="30" max="30" width="11.109375" bestFit="1" customWidth="1"/>
    <col min="31" max="31" width="12.6640625" bestFit="1" customWidth="1"/>
    <col min="32" max="32" width="11.6640625" bestFit="1" customWidth="1"/>
    <col min="33" max="33" width="8.6640625" bestFit="1" customWidth="1"/>
    <col min="34" max="34" width="10.88671875" bestFit="1" customWidth="1"/>
    <col min="35" max="35" width="10.109375" bestFit="1" customWidth="1"/>
    <col min="36" max="36" width="6" bestFit="1" customWidth="1"/>
    <col min="37" max="37" width="11" bestFit="1" customWidth="1"/>
    <col min="38" max="38" width="20.5546875" bestFit="1" customWidth="1"/>
    <col min="39" max="39" width="7" bestFit="1" customWidth="1"/>
    <col min="40" max="40" width="15.109375" bestFit="1" customWidth="1"/>
    <col min="41" max="41" width="6" bestFit="1" customWidth="1"/>
    <col min="42" max="42" width="12.109375" bestFit="1" customWidth="1"/>
    <col min="43" max="43" width="12.33203125" bestFit="1" customWidth="1"/>
    <col min="44" max="44" width="12.6640625" bestFit="1" customWidth="1"/>
    <col min="45" max="45" width="12.44140625" bestFit="1" customWidth="1"/>
    <col min="46" max="46" width="11.44140625" bestFit="1" customWidth="1"/>
    <col min="47" max="47" width="12.44140625" bestFit="1" customWidth="1"/>
    <col min="48" max="48" width="6" bestFit="1" customWidth="1"/>
    <col min="49" max="49" width="6.6640625" bestFit="1" customWidth="1"/>
    <col min="50" max="50" width="6.88671875" bestFit="1" customWidth="1"/>
    <col min="51" max="51" width="26.6640625" bestFit="1" customWidth="1"/>
    <col min="52" max="54" width="10.5546875" bestFit="1" customWidth="1"/>
    <col min="55" max="55" width="11.33203125" bestFit="1" customWidth="1"/>
    <col min="56" max="56" width="18.33203125" bestFit="1" customWidth="1"/>
    <col min="58" max="58" width="9" bestFit="1" customWidth="1"/>
    <col min="59" max="59" width="10.109375" bestFit="1" customWidth="1"/>
    <col min="60" max="60" width="10" bestFit="1" customWidth="1"/>
    <col min="61" max="61" width="9.6640625" bestFit="1" customWidth="1"/>
    <col min="62" max="62" width="18.6640625" bestFit="1" customWidth="1"/>
    <col min="63" max="63" width="9" bestFit="1" customWidth="1"/>
    <col min="64" max="64" width="9.33203125" bestFit="1" customWidth="1"/>
    <col min="66" max="66" width="9.33203125" bestFit="1" customWidth="1"/>
  </cols>
  <sheetData>
    <row r="8" spans="5:63" x14ac:dyDescent="0.2">
      <c r="BG8" s="167"/>
    </row>
    <row r="9" spans="5:63" x14ac:dyDescent="0.2">
      <c r="E9" s="167"/>
      <c r="G9" s="167"/>
      <c r="K9" s="167"/>
      <c r="M9" s="167"/>
      <c r="N9" s="167"/>
      <c r="O9" s="167"/>
      <c r="S9" s="167"/>
      <c r="T9" s="167"/>
      <c r="AD9" s="167"/>
      <c r="AE9" s="167"/>
      <c r="AF9" s="167"/>
      <c r="AG9" s="167"/>
      <c r="AH9" s="167"/>
      <c r="AI9" s="167"/>
      <c r="AK9" s="167"/>
      <c r="AL9" s="167"/>
      <c r="AN9" s="167"/>
      <c r="AU9" s="167"/>
      <c r="AY9" s="167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</row>
    <row r="10" spans="5:63" x14ac:dyDescent="0.2">
      <c r="E10" s="167"/>
      <c r="G10" s="167"/>
      <c r="K10" s="167"/>
      <c r="M10" s="167"/>
      <c r="O10" s="167"/>
      <c r="S10" s="167"/>
      <c r="T10" s="167"/>
      <c r="AD10" s="167"/>
      <c r="AE10" s="167"/>
      <c r="AF10" s="167"/>
      <c r="AG10" s="167"/>
      <c r="AH10" s="167"/>
      <c r="AI10" s="167"/>
      <c r="AK10" s="167"/>
      <c r="AL10" s="167"/>
      <c r="AN10" s="167"/>
      <c r="AU10" s="167"/>
      <c r="AY10" s="167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</row>
    <row r="11" spans="5:63" x14ac:dyDescent="0.2">
      <c r="E11" s="167"/>
      <c r="K11" s="167"/>
      <c r="M11" s="167"/>
      <c r="N11" s="167"/>
      <c r="O11" s="167"/>
      <c r="S11" s="167"/>
      <c r="T11" s="167"/>
      <c r="AD11" s="167"/>
      <c r="AE11" s="167"/>
      <c r="AF11" s="167"/>
      <c r="AG11" s="167"/>
      <c r="AH11" s="167"/>
      <c r="AI11" s="167"/>
      <c r="AL11" s="167"/>
      <c r="AN11" s="167"/>
      <c r="AU11" s="167"/>
      <c r="AY11" s="167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</row>
    <row r="12" spans="5:63" x14ac:dyDescent="0.2">
      <c r="E12" s="167"/>
      <c r="G12" s="167"/>
      <c r="K12" s="167"/>
      <c r="M12" s="167"/>
      <c r="N12" s="167"/>
      <c r="O12" s="167"/>
      <c r="T12" s="167"/>
      <c r="AD12" s="167"/>
      <c r="AE12" s="167"/>
      <c r="AF12" s="167"/>
      <c r="AG12" s="167"/>
      <c r="AH12" s="167"/>
      <c r="AI12" s="167"/>
      <c r="AL12" s="167"/>
      <c r="AN12" s="167"/>
      <c r="AP12" s="285"/>
      <c r="AS12" s="285"/>
      <c r="AT12" s="285"/>
      <c r="AU12" s="167"/>
      <c r="AY12" s="167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</row>
    <row r="13" spans="5:63" x14ac:dyDescent="0.2">
      <c r="E13" s="167"/>
      <c r="M13" s="167"/>
      <c r="O13" s="167"/>
      <c r="AD13" s="167"/>
      <c r="AE13" s="167"/>
      <c r="AF13" s="167"/>
      <c r="AG13" s="167"/>
      <c r="AH13" s="167"/>
      <c r="AI13" s="167"/>
      <c r="AL13" s="167"/>
      <c r="AN13" s="167"/>
      <c r="AP13" s="285"/>
      <c r="AS13" s="285"/>
      <c r="AT13" s="285"/>
      <c r="AU13" s="167"/>
      <c r="AY13" s="167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</row>
    <row r="15" spans="5:63" x14ac:dyDescent="0.2">
      <c r="E15" s="167"/>
      <c r="G15" s="167"/>
      <c r="K15" s="167"/>
      <c r="M15" s="167"/>
      <c r="N15" s="167"/>
      <c r="O15" s="167"/>
      <c r="S15" s="167"/>
      <c r="T15" s="167"/>
      <c r="AD15" s="167"/>
      <c r="AE15" s="167"/>
      <c r="AF15" s="167"/>
      <c r="AG15" s="167"/>
      <c r="AH15" s="167"/>
      <c r="AI15" s="167"/>
      <c r="AK15" s="167"/>
      <c r="AL15" s="167"/>
      <c r="AN15" s="167"/>
      <c r="AP15" s="285"/>
      <c r="AS15" s="285"/>
      <c r="AT15" s="285"/>
      <c r="AU15" s="167"/>
      <c r="BC15" s="167"/>
      <c r="BH15" s="167"/>
    </row>
    <row r="21" spans="3:63" x14ac:dyDescent="0.2">
      <c r="E21" s="167"/>
      <c r="M21" s="167"/>
      <c r="O21" s="167"/>
      <c r="AD21" s="167"/>
      <c r="AE21" s="167"/>
      <c r="AF21" s="167"/>
      <c r="AG21" s="167"/>
      <c r="AH21" s="167"/>
      <c r="AI21" s="167"/>
      <c r="AL21" s="167"/>
      <c r="AN21" s="167"/>
      <c r="AP21" s="285"/>
      <c r="AQ21" s="285"/>
      <c r="AS21" s="285"/>
      <c r="AT21" s="285"/>
      <c r="AU21" s="167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</row>
    <row r="23" spans="3:63" x14ac:dyDescent="0.2">
      <c r="E23" s="167"/>
      <c r="G23" s="167"/>
      <c r="K23" s="167"/>
      <c r="M23" s="167"/>
      <c r="N23" s="167"/>
      <c r="O23" s="167"/>
      <c r="T23" s="167"/>
      <c r="AD23" s="167"/>
      <c r="AE23" s="167"/>
      <c r="AF23" s="167"/>
      <c r="AG23" s="167"/>
      <c r="AH23" s="167"/>
      <c r="AI23" s="167"/>
      <c r="AL23" s="167"/>
      <c r="AN23" s="167"/>
      <c r="AP23" s="285"/>
      <c r="AQ23" s="285"/>
      <c r="AS23" s="285"/>
      <c r="AT23" s="285"/>
      <c r="AU23" s="167"/>
    </row>
    <row r="26" spans="3:63" x14ac:dyDescent="0.2">
      <c r="C26" s="168"/>
      <c r="E26" s="168"/>
      <c r="F26" s="168"/>
      <c r="G26" s="168"/>
      <c r="K26" s="168"/>
      <c r="M26" s="168"/>
      <c r="N26" s="168"/>
      <c r="O26" s="168"/>
      <c r="T26" s="168"/>
      <c r="U26" s="168"/>
      <c r="AD26" s="168"/>
      <c r="AE26" s="168"/>
      <c r="AG26" s="168"/>
      <c r="AH26" s="168"/>
      <c r="AI26" s="168"/>
      <c r="AK26" s="168"/>
      <c r="AL26" s="168"/>
      <c r="AN26" s="168"/>
      <c r="AU26" s="168"/>
    </row>
    <row r="27" spans="3:63" x14ac:dyDescent="0.2">
      <c r="F27" s="167"/>
      <c r="G27" s="167"/>
      <c r="K27" s="167"/>
      <c r="N27" s="167"/>
      <c r="O27" s="167"/>
      <c r="T27" s="167"/>
      <c r="AD27" s="167"/>
      <c r="AE27" s="167"/>
      <c r="AG27" s="167"/>
      <c r="AH27" s="167"/>
      <c r="AI27" s="167"/>
      <c r="AL27" s="167"/>
      <c r="AN27" s="167"/>
      <c r="AU27" s="167"/>
    </row>
    <row r="31" spans="3:63" x14ac:dyDescent="0.2">
      <c r="E31" s="167"/>
      <c r="M31" s="167"/>
      <c r="N31" s="167"/>
      <c r="O31" s="167"/>
      <c r="AD31" s="167"/>
      <c r="AE31" s="167"/>
      <c r="AF31" s="167"/>
      <c r="AG31" s="167"/>
      <c r="AH31" s="167"/>
      <c r="AI31" s="167"/>
      <c r="AL31" s="167"/>
      <c r="AN31" s="167"/>
      <c r="AU31" s="167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</row>
    <row r="33" spans="3:60" x14ac:dyDescent="0.2">
      <c r="E33" s="167"/>
      <c r="G33" s="167"/>
      <c r="K33" s="167"/>
      <c r="M33" s="167"/>
      <c r="N33" s="167"/>
      <c r="O33" s="167"/>
      <c r="S33" s="167"/>
      <c r="T33" s="167"/>
      <c r="AD33" s="167"/>
      <c r="AE33" s="167"/>
      <c r="AF33" s="167"/>
      <c r="AG33" s="167"/>
      <c r="AH33" s="167"/>
      <c r="AI33" s="167"/>
      <c r="AK33" s="167"/>
      <c r="AL33" s="167"/>
      <c r="AN33" s="167"/>
      <c r="AU33" s="167"/>
      <c r="BB33" s="167"/>
      <c r="BC33" s="167"/>
      <c r="BG33" s="167"/>
      <c r="BH33" s="167"/>
    </row>
    <row r="34" spans="3:60" x14ac:dyDescent="0.2">
      <c r="BB34" s="167"/>
      <c r="BC34" s="167"/>
      <c r="BG34" s="167"/>
      <c r="BH34" s="167"/>
    </row>
    <row r="36" spans="3:60" x14ac:dyDescent="0.2">
      <c r="C36" s="168"/>
      <c r="E36" s="168"/>
      <c r="F36" s="168"/>
      <c r="G36" s="168"/>
      <c r="K36" s="168"/>
      <c r="M36" s="168"/>
      <c r="N36" s="168"/>
      <c r="O36" s="168"/>
      <c r="S36" s="168"/>
      <c r="T36" s="168"/>
      <c r="U36" s="168"/>
      <c r="AD36" s="168"/>
      <c r="AE36" s="168"/>
      <c r="AG36" s="168"/>
      <c r="AH36" s="168"/>
      <c r="AI36" s="168"/>
      <c r="AK36" s="168"/>
      <c r="AL36" s="168"/>
      <c r="AN36" s="168"/>
      <c r="AU36" s="168"/>
    </row>
    <row r="37" spans="3:60" x14ac:dyDescent="0.2">
      <c r="G37" s="167"/>
      <c r="K37" s="167"/>
      <c r="N37" s="167"/>
      <c r="O37" s="167"/>
      <c r="S37" s="167"/>
      <c r="T37" s="167"/>
      <c r="AD37" s="167"/>
      <c r="AE37" s="167"/>
      <c r="AH37" s="167"/>
      <c r="AI37" s="167"/>
      <c r="AK37" s="167"/>
      <c r="AL37" s="167"/>
      <c r="AN37" s="167"/>
      <c r="AU37" s="1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Biyemas S.A.</vt:lpstr>
      <vt:lpstr>Kandiko S.A</vt:lpstr>
      <vt:lpstr>Rebisco S.A.</vt:lpstr>
      <vt:lpstr>Tabla</vt:lpstr>
      <vt:lpstr>Seasonality</vt:lpstr>
      <vt:lpstr>Datos Biyemas</vt:lpstr>
      <vt:lpstr>Datos Kandiko</vt:lpstr>
      <vt:lpstr>Datos Rebisco</vt:lpstr>
      <vt:lpstr>Datos Consolidados</vt:lpstr>
    </vt:vector>
  </TitlesOfParts>
  <Company>CROWN CASINO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vgudino</dc:creator>
  <cp:lastModifiedBy>Marcela Barrios</cp:lastModifiedBy>
  <cp:lastPrinted>2013-02-08T18:50:56Z</cp:lastPrinted>
  <dcterms:created xsi:type="dcterms:W3CDTF">2007-07-26T22:54:29Z</dcterms:created>
  <dcterms:modified xsi:type="dcterms:W3CDTF">2026-07-28T17:04:48Z</dcterms:modified>
</cp:coreProperties>
</file>